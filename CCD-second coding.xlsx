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A and CCI LASSO" sheetId="1" r:id="rId5"/>
    <sheet state="visible" name="Revised LOs" sheetId="2" r:id="rId6"/>
    <sheet state="visible" name="timeline - 10 items" sheetId="3" r:id="rId7"/>
    <sheet state="visible" name="timeline - 6 items" sheetId="4" r:id="rId8"/>
    <sheet state="visible" name="Coding-KR" sheetId="5" r:id="rId9"/>
    <sheet state="visible" name="2ndCoding Qs" sheetId="6" r:id="rId10"/>
    <sheet state="visible" name="Coding-KR3" sheetId="7" r:id="rId11"/>
    <sheet state="visible" name="Coding-JN" sheetId="8" r:id="rId12"/>
    <sheet state="visible" name="CCI Q" sheetId="9" r:id="rId13"/>
    <sheet state="visible" name="CCA Q" sheetId="10" r:id="rId14"/>
    <sheet state="visible" name="PCA Q" sheetId="11" r:id="rId15"/>
    <sheet state="visible" name="Lots of fit stats" sheetId="12" r:id="rId16"/>
    <sheet state="visible" name="DINA-CCI" sheetId="13" r:id="rId17"/>
    <sheet state="visible" name="DINA_CCI_5LO" sheetId="14" r:id="rId18"/>
    <sheet state="visible" name="DINA-CCA" sheetId="15" r:id="rId19"/>
    <sheet state="visible" name="DINA_CCA_5LO" sheetId="16" r:id="rId20"/>
    <sheet state="visible" name="DINA-PCA" sheetId="17" r:id="rId21"/>
    <sheet state="visible" name="DINA_PCA_5LO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tc={4aacde5c-1154-4392-aba1-90825c9c23ad}</author>
    <author>tc={69257704-6f15-4cc4-b3c3-159775960d8f}</author>
    <author>tc={8cab36f2-0dd1-497c-b023-512a32125589}</author>
    <author>tc={a79f032b-3f79-4ab6-bf6b-539f44d8177d}</author>
    <author>tc={ce2792d3-c820-47b4-9770-b85499283277}</author>
    <author>tc={df9731e7-785e-4fd6-8b5c-b024056b2d70}</author>
  </authors>
  <commentList>
    <comment authorId="0" xr:uid="{4aacde5c-1154-4392-aba1-90825c9c23ad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though I would argue that these require understanding P5 as they use exponential functions and logarithms.
Reply:
	there are 2 currently active on LASSO
</t>
      </text>
    </comment>
    <comment authorId="1" xr:uid="{69257704-6f15-4cc4-b3c3-159775960d8f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reduce this by 2
Reply:
	there are 6 active currently on LASSO
</t>
      </text>
    </comment>
    <comment authorId="2" xr:uid="{8cab36f2-0dd1-497c-b023-512a32125589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is ready to go but maybe we wait on this one?
</t>
      </text>
    </comment>
    <comment authorId="3" xr:uid="{a79f032b-3f79-4ab6-bf6b-539f44d8177d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 test on LASSO
</t>
      </text>
    </comment>
    <comment authorId="4" xr:uid="{ce2792d3-c820-47b4-9770-b85499283277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probably should add one more here.
Reply:
	there are 4 active currently on LASSO
</t>
      </text>
    </comment>
    <comment authorId="5" xr:uid="{df9731e7-785e-4fd6-8b5c-b024056b2d70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test on lasso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tc={8af8a192-eae1-45e7-9c3e-54828d3dcdcb}</author>
    <author>tc={a13c2f68-6637-43bb-a562-55977917941e}</author>
    <author>tc={b4b3adb9-b101-406e-bb0e-214b9950c7aa}</author>
    <author>tc={ed751c4b-9af0-4db4-bb20-cdef06983717}</author>
  </authors>
  <commentList>
    <comment authorId="0" xr:uid="{8af8a192-eae1-45e7-9c3e-54828d3dcdcb}" ref="A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could be a question you'd want to ask in this LO but strictly speaking does not require any calculus. I think what happens is the a lot of rational function examples do not cross their VA and a possible misconception arises.
</t>
      </text>
    </comment>
    <comment authorId="1" xr:uid="{a13c2f68-6637-43bb-a562-55977917941e}" ref="S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had a one here because it uses avg rates of change and this could be something they want to ask but it is also a review item.
</t>
      </text>
    </comment>
    <comment authorId="2" xr:uid="{b4b3adb9-b101-406e-bb0e-214b9950c7aa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had a one here but agree with Jayson's pov on this.
</t>
      </text>
    </comment>
    <comment authorId="3" xr:uid="{ed751c4b-9af0-4db4-bb20-cdef06983717}" ref="W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had a 1 here since we are inferring something about the graph of f by using f' but I think this relies more on the close interval.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tc={56973b74-6dc2-45f2-9520-6f821d1e8e97}</author>
  </authors>
  <commentList>
    <comment authorId="0" xr:uid="{56973b74-6dc2-45f2-9520-6f821d1e8e97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perhaps not this 1 because you would not NEED this skill to answer the question correctly though it might increase the probability of answering it correctly
</t>
      </text>
    </comment>
  </commentList>
</comments>
</file>

<file path=xl/sharedStrings.xml><?xml version="1.0" encoding="utf-8"?>
<sst xmlns="http://schemas.openxmlformats.org/spreadsheetml/2006/main" count="1878" uniqueCount="292">
  <si>
    <t>assessment_code</t>
  </si>
  <si>
    <t>course_name</t>
  </si>
  <si>
    <t>institution_name</t>
  </si>
  <si>
    <t>term</t>
  </si>
  <si>
    <t>year</t>
  </si>
  <si>
    <t>instructor</t>
  </si>
  <si>
    <t>discipline</t>
  </si>
  <si>
    <t>n</t>
  </si>
  <si>
    <t>CCA</t>
  </si>
  <si>
    <t>CalcCI</t>
  </si>
  <si>
    <t>Sci Math Ed Theory and Pract</t>
  </si>
  <si>
    <t>Texas A&amp;amp;M University - Commerce</t>
  </si>
  <si>
    <t>Fall</t>
  </si>
  <si>
    <t>James Stanfield</t>
  </si>
  <si>
    <t>PHYS</t>
  </si>
  <si>
    <t>Calculus I</t>
  </si>
  <si>
    <t>Spring</t>
  </si>
  <si>
    <t>Robynne Lock</t>
  </si>
  <si>
    <t>MATH</t>
  </si>
  <si>
    <t>Introduction to Differential Equations</t>
  </si>
  <si>
    <t>University of Hawaii at Manoa</t>
  </si>
  <si>
    <t>Sarah Post</t>
  </si>
  <si>
    <t>Math</t>
  </si>
  <si>
    <t>George Mason University</t>
  </si>
  <si>
    <t>Stephanie Foster</t>
  </si>
  <si>
    <t>Robert Campbell</t>
  </si>
  <si>
    <t>Math Mod of Sci for Mid Sch-Calc I</t>
  </si>
  <si>
    <t>Nick Bianco</t>
  </si>
  <si>
    <t>Comlan de Souza</t>
  </si>
  <si>
    <t>Rick Downs</t>
  </si>
  <si>
    <t>Andrew Shulman</t>
  </si>
  <si>
    <t>Florida Gulf Coast University</t>
  </si>
  <si>
    <t>MAC</t>
  </si>
  <si>
    <t>James Rabchuk</t>
  </si>
  <si>
    <t>Calculus II</t>
  </si>
  <si>
    <t>California State University-Fresno</t>
  </si>
  <si>
    <t>Katie Johnson</t>
  </si>
  <si>
    <t>Sean Bailey</t>
  </si>
  <si>
    <t>Khang Tran</t>
  </si>
  <si>
    <t>Thomas Mattman</t>
  </si>
  <si>
    <t>Calc III</t>
  </si>
  <si>
    <t>Haik Stepanian</t>
  </si>
  <si>
    <t>South Seattle College</t>
  </si>
  <si>
    <t>Winter</t>
  </si>
  <si>
    <t>Alexander Yatskar</t>
  </si>
  <si>
    <t>Calculus with Algebra/Trig. Part A</t>
  </si>
  <si>
    <t>MAT</t>
  </si>
  <si>
    <t>Robert Sachs, Stephanie Foster</t>
  </si>
  <si>
    <t>Calculus 2</t>
  </si>
  <si>
    <t>University of Illinois at Chicago</t>
  </si>
  <si>
    <t>Summer</t>
  </si>
  <si>
    <t>Yue Lei</t>
  </si>
  <si>
    <t>Keith Thompson</t>
  </si>
  <si>
    <t>Erica Rutter</t>
  </si>
  <si>
    <t>University Physics 1</t>
  </si>
  <si>
    <t>Western Illinois University</t>
  </si>
  <si>
    <t>Martina Bode</t>
  </si>
  <si>
    <t>University Physics I</t>
  </si>
  <si>
    <t>Calculus 1</t>
  </si>
  <si>
    <t>Texas A&amp;amp;M University Texarkana</t>
  </si>
  <si>
    <t>Discrete Mathematics</t>
  </si>
  <si>
    <t>California State University-Chico</t>
  </si>
  <si>
    <t>Calculus I for Physical Sciences and Engineering</t>
  </si>
  <si>
    <t>University of California-Merced</t>
  </si>
  <si>
    <t>Top Level</t>
  </si>
  <si>
    <t>MoreSpecific</t>
  </si>
  <si>
    <t>Prereq</t>
  </si>
  <si>
    <t>P1</t>
  </si>
  <si>
    <t>Foundations of Functions</t>
  </si>
  <si>
    <t>func notation, evaluation, domain/range, graph, zeros/roots, composition, symmetry, table of values</t>
  </si>
  <si>
    <t>P2</t>
  </si>
  <si>
    <t>Basic Classes of Functions</t>
  </si>
  <si>
    <t>Slope/meaning, degree of poly, odd/even, rational, power/root, alg/transcendental, piecewise, transformations</t>
  </si>
  <si>
    <t>P3</t>
  </si>
  <si>
    <t>Trigonometric Functions</t>
  </si>
  <si>
    <t>degrees/radians, triangle/unit circle, basic trig identities, graphs and periods, transformations</t>
  </si>
  <si>
    <t>P4</t>
  </si>
  <si>
    <t>Inverse Functions</t>
  </si>
  <si>
    <t>conditions/test for inv, horizontal line test, find inverse, graph inverse, inverse trig</t>
  </si>
  <si>
    <t>P5</t>
  </si>
  <si>
    <t>Exponential and Logarithmic Functions.</t>
  </si>
  <si>
    <t>form of, x^b vs b^x, significance of 'e', form of logs, exp vs logs, calculate with logs, hyperbolic functions</t>
  </si>
  <si>
    <t>P6</t>
  </si>
  <si>
    <t>Algebraic Basics</t>
  </si>
  <si>
    <t>Inequalities, proportions</t>
  </si>
  <si>
    <t>P7</t>
  </si>
  <si>
    <t>Graphical Fluency</t>
  </si>
  <si>
    <t>Limits</t>
  </si>
  <si>
    <t>L2</t>
  </si>
  <si>
    <t>The Limit of a Function</t>
  </si>
  <si>
    <t>Correct notation-limit of func, limits from table, limits from graph, exist or not, one-sided, two sided, inf limit, vert asymptote</t>
  </si>
  <si>
    <t>L3</t>
  </si>
  <si>
    <t>The Limit Laws</t>
  </si>
  <si>
    <t>basic limit laws, eval funcs by factoring, polynoms, rational funcs, conjugates, squeeze theorem</t>
  </si>
  <si>
    <t>L4</t>
  </si>
  <si>
    <t>Continuity</t>
  </si>
  <si>
    <t>three conditions for continuity at a point, 3 kinds of discontinuity, continuity on a interval, limits of compositions, IVT</t>
  </si>
  <si>
    <t>Derivatives</t>
  </si>
  <si>
    <t>D1</t>
  </si>
  <si>
    <t>Defining the Derivative</t>
  </si>
  <si>
    <t>Meaning of tangent line, calculate slope of tangent, derivative as a diff quotient, calc y' at a point, y' as velocity, avg vel vs instant vel, y' from a table.</t>
  </si>
  <si>
    <t>D2</t>
  </si>
  <si>
    <t>The Derivative as a Function</t>
  </si>
  <si>
    <t>Def derivative function, graph y' from y, derivatives and continuity, existence, higher-order derivatives</t>
  </si>
  <si>
    <t>D3</t>
  </si>
  <si>
    <t>Differentiation Rules</t>
  </si>
  <si>
    <t>const, power, product, quotient, polynomials, rational functions</t>
  </si>
  <si>
    <t>D5</t>
  </si>
  <si>
    <t>Derivatives of Trig Functions</t>
  </si>
  <si>
    <t>derivatives of trig functions and higher order derivatives of sine and cosine (and inverse trig functions)</t>
  </si>
  <si>
    <t>D6</t>
  </si>
  <si>
    <t>The Chain Rule</t>
  </si>
  <si>
    <t>state chain rule for f(g(x)), apply with power rule, appy with product/quot rule, apply for f(g(h(x))), describe proof</t>
  </si>
  <si>
    <t>D9</t>
  </si>
  <si>
    <t>Derivatives of Exp &amp; Log functions</t>
  </si>
  <si>
    <t>find the derivative of exponential functions, log functions and use logarithmic differentiation to take a derivative.</t>
  </si>
  <si>
    <t>Applications of Derivatives</t>
  </si>
  <si>
    <t>AD1</t>
  </si>
  <si>
    <t>Related Rates</t>
  </si>
  <si>
    <t>Express changing quantities as derivatives, find relationships between derivatives, use chain rule to relate rates</t>
  </si>
  <si>
    <t>AD2</t>
  </si>
  <si>
    <t>Linear Approximation and Differentials</t>
  </si>
  <si>
    <t>Write linearization of a func at a point, graphical use of differentials, relative error and percentage errors using differentials</t>
  </si>
  <si>
    <t>AD3</t>
  </si>
  <si>
    <t>Maxima and Minima</t>
  </si>
  <si>
    <t>absolute extrema, local extrema, how to find critical points, why open vs closed interval matters</t>
  </si>
  <si>
    <t>AD5</t>
  </si>
  <si>
    <t>Derivatives and shape of a graph</t>
  </si>
  <si>
    <t>How y'affects graph, first deriv test for crit points, concavity and inflect pts and y'', concavity test, relationship y, y' and y'', 2nd deriv test for extrema</t>
  </si>
  <si>
    <t>AD6</t>
  </si>
  <si>
    <t>Limits at Infinity and Asymptotes</t>
  </si>
  <si>
    <t>limits at inf, recognize horizont asympt on graph, estimate end behavior, recognize oblique asympt, analyze function + y' and y'' to draw graph</t>
  </si>
  <si>
    <t>AD8</t>
  </si>
  <si>
    <t>L'Hopital's Rule</t>
  </si>
  <si>
    <t>Recognize when to apply, identify indeterminate forms, describe relative growth rates of functions</t>
  </si>
  <si>
    <t>AD10</t>
  </si>
  <si>
    <t>Antiderivatives</t>
  </si>
  <si>
    <t>Find general antiderivative, terms and notation for indefinite integral, power rule for antiderivatives, simple IVPs</t>
  </si>
  <si>
    <t>Integration</t>
  </si>
  <si>
    <t>I1</t>
  </si>
  <si>
    <t>Approximating Areas</t>
  </si>
  <si>
    <t>Use sigma notation to calculate sums, use sums of rectangular areas to approx areas, use Riemann sums to approx area</t>
  </si>
  <si>
    <t>I2</t>
  </si>
  <si>
    <t>The Definite Integral</t>
  </si>
  <si>
    <t>define definite integral, terms: integrand, limits, variable of, when is a function integrable, def int and net area, geometry to compute def int, avg value of a function</t>
  </si>
  <si>
    <t>I3</t>
  </si>
  <si>
    <t>The Fund. Theorem of Calculus</t>
  </si>
  <si>
    <t>MVT for integrals, FTC part 1, FTC part 2, differentiating integrals, relationship between differentiation and integration</t>
  </si>
  <si>
    <t>I5</t>
  </si>
  <si>
    <t>Substitution</t>
  </si>
  <si>
    <t>Use substitution to evaluate indefinite and definite integrals</t>
  </si>
  <si>
    <t>I6</t>
  </si>
  <si>
    <t>Integrals w/exponential &amp; logarithms</t>
  </si>
  <si>
    <t>Integration exponential and logarithmic functions</t>
  </si>
  <si>
    <t>Current Active</t>
  </si>
  <si>
    <t>Current Test</t>
  </si>
  <si>
    <t>Test Fall 25</t>
  </si>
  <si>
    <t>Test Sp 26</t>
  </si>
  <si>
    <t>Totl's</t>
  </si>
  <si>
    <t>Test Fall 26</t>
  </si>
  <si>
    <t>Test Sp 27</t>
  </si>
  <si>
    <t>Total by Fall '27</t>
  </si>
  <si>
    <t>grant totals</t>
  </si>
  <si>
    <t>This could be collapsed into 1 or 2 LOs or maybe 3.  A general "differentiation rules" LO that dealt with polynomials and then an LO that dealt with transcendental functions (or that could be split into trig vs not trig)</t>
  </si>
  <si>
    <t>grand totals</t>
  </si>
  <si>
    <t>CCI</t>
  </si>
  <si>
    <t>PCA</t>
  </si>
  <si>
    <t>LO</t>
  </si>
  <si>
    <t>SUM</t>
  </si>
  <si>
    <t>P</t>
  </si>
  <si>
    <t>L</t>
  </si>
  <si>
    <t>D</t>
  </si>
  <si>
    <t>AD</t>
  </si>
  <si>
    <t>I</t>
  </si>
  <si>
    <t>1*</t>
  </si>
  <si>
    <t>PT</t>
  </si>
  <si>
    <t>##</t>
  </si>
  <si>
    <t>AIC</t>
  </si>
  <si>
    <t>BIC</t>
  </si>
  <si>
    <t>SRMSR</t>
  </si>
  <si>
    <t>RMSEA2</t>
  </si>
  <si>
    <t>CCI - No hierarchy enforced</t>
  </si>
  <si>
    <t>CCI - Hierarchy enforced</t>
  </si>
  <si>
    <t>CCI original</t>
  </si>
  <si>
    <t>Attr Profile</t>
  </si>
  <si>
    <t>CA</t>
  </si>
  <si>
    <t>N</t>
  </si>
  <si>
    <t>CCI restricted</t>
  </si>
  <si>
    <t>00000</t>
  </si>
  <si>
    <t>CCI with att.str</t>
  </si>
  <si>
    <t>01000</t>
  </si>
  <si>
    <t xml:space="preserve">10000  </t>
  </si>
  <si>
    <t>00001</t>
  </si>
  <si>
    <t xml:space="preserve">11000  </t>
  </si>
  <si>
    <t>CCA original</t>
  </si>
  <si>
    <t>10100</t>
  </si>
  <si>
    <t>CCA restricted</t>
  </si>
  <si>
    <t>01100</t>
  </si>
  <si>
    <t xml:space="preserve">11100  </t>
  </si>
  <si>
    <t>CCA with att.str</t>
  </si>
  <si>
    <t>01010</t>
  </si>
  <si>
    <t xml:space="preserve">10110  </t>
  </si>
  <si>
    <t>00110</t>
  </si>
  <si>
    <t xml:space="preserve">10101  </t>
  </si>
  <si>
    <t>PCA original</t>
  </si>
  <si>
    <t>00101</t>
  </si>
  <si>
    <t xml:space="preserve">11110  </t>
  </si>
  <si>
    <t>PCA restricted</t>
  </si>
  <si>
    <t>10110</t>
  </si>
  <si>
    <t xml:space="preserve">11101  </t>
  </si>
  <si>
    <t>PCA with att.str</t>
  </si>
  <si>
    <t>10101</t>
  </si>
  <si>
    <t xml:space="preserve">10111  </t>
  </si>
  <si>
    <t>10011</t>
  </si>
  <si>
    <t xml:space="preserve">11111 </t>
  </si>
  <si>
    <t>00111</t>
  </si>
  <si>
    <t>11110</t>
  </si>
  <si>
    <t>11111</t>
  </si>
  <si>
    <t>0000</t>
  </si>
  <si>
    <t>1000</t>
  </si>
  <si>
    <t>0100</t>
  </si>
  <si>
    <t>0010</t>
  </si>
  <si>
    <t>0001</t>
  </si>
  <si>
    <t>1100</t>
  </si>
  <si>
    <t>1010</t>
  </si>
  <si>
    <t>CCA - No hierarchy enforced</t>
  </si>
  <si>
    <t>CCA- Hierarchy enforced</t>
  </si>
  <si>
    <t>1001</t>
  </si>
  <si>
    <t>0110</t>
  </si>
  <si>
    <t xml:space="preserve">00000         </t>
  </si>
  <si>
    <t>0101</t>
  </si>
  <si>
    <t>00010</t>
  </si>
  <si>
    <t>10000</t>
  </si>
  <si>
    <t>0011</t>
  </si>
  <si>
    <t>01110</t>
  </si>
  <si>
    <t>1110</t>
  </si>
  <si>
    <t>11000</t>
  </si>
  <si>
    <t>1101</t>
  </si>
  <si>
    <t>10010</t>
  </si>
  <si>
    <t>11100</t>
  </si>
  <si>
    <t>1011</t>
  </si>
  <si>
    <t>10001</t>
  </si>
  <si>
    <t>0111</t>
  </si>
  <si>
    <t>11010</t>
  </si>
  <si>
    <t>1111</t>
  </si>
  <si>
    <t>PCA - No hierarchy enforced</t>
  </si>
  <si>
    <t>PCA- Hierarchy enforced</t>
  </si>
  <si>
    <t>with Q_restric</t>
  </si>
  <si>
    <t>with att.str added</t>
  </si>
  <si>
    <t>CAIC</t>
  </si>
  <si>
    <t>SABIC</t>
  </si>
  <si>
    <t xml:space="preserve">SRMSR </t>
  </si>
  <si>
    <t>guessing</t>
  </si>
  <si>
    <t>slip</t>
  </si>
  <si>
    <t>SE[guessing]</t>
  </si>
  <si>
    <t>SE[slip]</t>
  </si>
  <si>
    <t>Test level accuracy =  0.9121</t>
  </si>
  <si>
    <t>278 of the 2048 permutations have a CA greater than 0.90?!</t>
  </si>
  <si>
    <t>CCI - QVAL</t>
  </si>
  <si>
    <t/>
  </si>
  <si>
    <t>00100</t>
  </si>
  <si>
    <t>Test level accuracy =  0.8428</t>
  </si>
  <si>
    <t>01001</t>
  </si>
  <si>
    <t>00011</t>
  </si>
  <si>
    <t>11001</t>
  </si>
  <si>
    <t>01101</t>
  </si>
  <si>
    <t>01011</t>
  </si>
  <si>
    <t>11101</t>
  </si>
  <si>
    <t>11011</t>
  </si>
  <si>
    <t>10111</t>
  </si>
  <si>
    <t>01111</t>
  </si>
  <si>
    <t>SE_guess</t>
  </si>
  <si>
    <t xml:space="preserve">Test level accuracy =  0.7027 </t>
  </si>
  <si>
    <t>341 permutations out of the 2048 have over 0.90 CA</t>
  </si>
  <si>
    <t>CCA - QVAL</t>
  </si>
  <si>
    <t>Test level accuracy =  0.645</t>
  </si>
  <si>
    <t>Test level accuracy =  0.5115</t>
  </si>
  <si>
    <t>Out of the 512 permutations only 6 are higher than 0.90</t>
  </si>
  <si>
    <t>PCA-QVAL</t>
  </si>
  <si>
    <t>Test level accuracy =  0</t>
  </si>
  <si>
    <t>0.0653</t>
  </si>
  <si>
    <t>0.2739</t>
  </si>
  <si>
    <t>0.0193</t>
  </si>
  <si>
    <t>0.0197</t>
  </si>
  <si>
    <t>0.0182</t>
  </si>
  <si>
    <t>0.0190</t>
  </si>
  <si>
    <t>0.0225</t>
  </si>
  <si>
    <t>0.0204</t>
  </si>
  <si>
    <t>0.0202</t>
  </si>
  <si>
    <t>0.0184</t>
  </si>
  <si>
    <t>0.0124</t>
  </si>
  <si>
    <t>0.0173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</si>
</sst>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6">
    <font>
      <sz val="10.0"/>
      <color rgb="FF000000"/>
      <name val="Arial"/>
      <scheme val="minor"/>
    </font>
    <font>
      <b/>
      <sz val="12.0"/>
      <color rgb="FF000000"/>
      <name val="&quot;DejaVu Sans&quot;"/>
    </font>
    <font>
      <sz val="12.0"/>
      <color theme="1"/>
      <name val="Arial"/>
      <scheme val="minor"/>
    </font>
    <font>
      <sz val="12.0"/>
      <color rgb="FF000000"/>
      <name val="&quot;DejaVu Sans&quot;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strike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/>
    <font>
      <color rgb="FF000000"/>
      <name val="&quot;Lucida Console&quot;"/>
    </font>
    <font>
      <b/>
      <sz val="8.0"/>
      <color rgb="FF000000"/>
      <name val="&quot;DejaVu Sans&quot;"/>
    </font>
    <font>
      <sz val="8.0"/>
      <color rgb="FF000000"/>
      <name val="&quot;DejaVu Sans&quot;"/>
    </font>
    <font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2">
    <border/>
    <border>
      <right style="thin">
        <color rgb="FFD6DADC"/>
      </right>
      <bottom style="thin">
        <color rgb="FFD6DADC"/>
      </bottom>
    </border>
    <border>
      <right style="thin">
        <color rgb="FFD6DADC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right style="thick">
        <color rgb="FF000000"/>
      </right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0" fillId="0" fontId="2" numFmtId="0" xfId="0" applyFont="1"/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right" readingOrder="0" shrinkToFit="0" wrapText="0"/>
    </xf>
    <xf borderId="0" fillId="2" fontId="2" numFmtId="0" xfId="0" applyFill="1" applyFont="1"/>
    <xf borderId="1" fillId="3" fontId="3" numFmtId="0" xfId="0" applyAlignment="1" applyBorder="1" applyFill="1" applyFont="1">
      <alignment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1" fillId="4" fontId="3" numFmtId="0" xfId="0" applyAlignment="1" applyBorder="1" applyFill="1" applyFont="1">
      <alignment readingOrder="0" shrinkToFit="0" wrapText="0"/>
    </xf>
    <xf borderId="1" fillId="4" fontId="3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0" fillId="5" fontId="4" numFmtId="0" xfId="0" applyAlignment="1" applyFill="1" applyFont="1">
      <alignment vertical="bottom"/>
    </xf>
    <xf borderId="0" fillId="5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6" numFmtId="0" xfId="0" applyAlignment="1" applyFill="1" applyFont="1">
      <alignment vertical="bottom"/>
    </xf>
    <xf borderId="0" fillId="7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0" fillId="6" fontId="5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8" fontId="7" numFmtId="0" xfId="0" applyAlignment="1" applyFont="1">
      <alignment vertical="bottom"/>
    </xf>
    <xf borderId="0" fillId="9" fontId="5" numFmtId="0" xfId="0" applyAlignment="1" applyFill="1" applyFont="1">
      <alignment vertical="bottom"/>
    </xf>
    <xf borderId="0" fillId="10" fontId="5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11" fontId="5" numFmtId="0" xfId="0" applyAlignment="1" applyFill="1" applyFont="1">
      <alignment vertical="bottom"/>
    </xf>
    <xf borderId="0" fillId="12" fontId="5" numFmtId="0" xfId="0" applyAlignment="1" applyFill="1" applyFont="1">
      <alignment vertical="bottom"/>
    </xf>
    <xf borderId="0" fillId="13" fontId="5" numFmtId="0" xfId="0" applyAlignment="1" applyFill="1" applyFont="1">
      <alignment vertical="bottom"/>
    </xf>
    <xf borderId="0" fillId="13" fontId="5" numFmtId="0" xfId="0" applyAlignment="1" applyFont="1">
      <alignment readingOrder="0" vertical="bottom"/>
    </xf>
    <xf borderId="0" fillId="14" fontId="5" numFmtId="0" xfId="0" applyAlignment="1" applyFill="1" applyFont="1">
      <alignment shrinkToFit="0" vertical="bottom" wrapText="1"/>
    </xf>
    <xf borderId="0" fillId="15" fontId="5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14" fontId="5" numFmtId="0" xfId="0" applyAlignment="1" applyFont="1">
      <alignment vertical="bottom"/>
    </xf>
    <xf borderId="0" fillId="16" fontId="6" numFmtId="0" xfId="0" applyAlignment="1" applyFill="1" applyFont="1">
      <alignment vertical="bottom"/>
    </xf>
    <xf borderId="0" fillId="17" fontId="5" numFmtId="0" xfId="0" applyAlignment="1" applyFill="1" applyFont="1">
      <alignment vertical="bottom"/>
    </xf>
    <xf borderId="0" fillId="18" fontId="5" numFmtId="0" xfId="0" applyAlignment="1" applyFill="1" applyFont="1">
      <alignment vertical="bottom"/>
    </xf>
    <xf borderId="0" fillId="16" fontId="5" numFmtId="0" xfId="0" applyAlignment="1" applyFont="1">
      <alignment vertical="bottom"/>
    </xf>
    <xf borderId="0" fillId="5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18" fontId="9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3" fontId="9" numFmtId="0" xfId="0" applyFont="1"/>
    <xf borderId="0" fillId="0" fontId="9" numFmtId="0" xfId="0" applyAlignment="1" applyFont="1">
      <alignment horizontal="center" readingOrder="0" vertical="center"/>
    </xf>
    <xf borderId="0" fillId="2" fontId="9" numFmtId="0" xfId="0" applyAlignment="1" applyFont="1">
      <alignment horizontal="center"/>
    </xf>
    <xf borderId="0" fillId="19" fontId="10" numFmtId="0" xfId="0" applyAlignment="1" applyFill="1" applyFont="1">
      <alignment horizontal="center"/>
    </xf>
    <xf borderId="0" fillId="3" fontId="9" numFmtId="0" xfId="0" applyAlignment="1" applyFont="1">
      <alignment horizontal="center" readingOrder="0"/>
    </xf>
    <xf borderId="0" fillId="19" fontId="9" numFmtId="0" xfId="0" applyAlignment="1" applyFont="1">
      <alignment horizontal="center" readingOrder="0"/>
    </xf>
    <xf borderId="0" fillId="2" fontId="9" numFmtId="0" xfId="0" applyAlignment="1" applyFont="1">
      <alignment horizontal="center"/>
    </xf>
    <xf borderId="0" fillId="20" fontId="9" numFmtId="0" xfId="0" applyAlignment="1" applyFill="1" applyFont="1">
      <alignment horizontal="center" readingOrder="0"/>
    </xf>
    <xf borderId="0" fillId="20" fontId="9" numFmtId="0" xfId="0" applyAlignment="1" applyFont="1">
      <alignment horizontal="center"/>
    </xf>
    <xf borderId="0" fillId="0" fontId="9" numFmtId="0" xfId="0" applyFont="1"/>
    <xf borderId="3" fillId="11" fontId="5" numFmtId="0" xfId="0" applyAlignment="1" applyBorder="1" applyFont="1">
      <alignment vertical="bottom"/>
    </xf>
    <xf borderId="4" fillId="12" fontId="5" numFmtId="0" xfId="0" applyAlignment="1" applyBorder="1" applyFont="1">
      <alignment vertical="bottom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 vertical="center"/>
    </xf>
    <xf borderId="4" fillId="18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 readingOrder="0" shrinkToFit="0" vertical="center" wrapText="1"/>
    </xf>
    <xf borderId="6" fillId="11" fontId="5" numFmtId="0" xfId="0" applyAlignment="1" applyBorder="1" applyFont="1">
      <alignment vertical="bottom"/>
    </xf>
    <xf borderId="7" fillId="0" fontId="9" numFmtId="0" xfId="0" applyAlignment="1" applyBorder="1" applyFont="1">
      <alignment horizontal="center"/>
    </xf>
    <xf borderId="8" fillId="11" fontId="5" numFmtId="0" xfId="0" applyAlignment="1" applyBorder="1" applyFont="1">
      <alignment vertical="bottom"/>
    </xf>
    <xf borderId="9" fillId="12" fontId="5" numFmtId="0" xfId="0" applyAlignment="1" applyBorder="1" applyFont="1">
      <alignment vertical="bottom"/>
    </xf>
    <xf borderId="9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/>
    </xf>
    <xf borderId="9" fillId="0" fontId="9" numFmtId="0" xfId="0" applyAlignment="1" applyBorder="1" applyFont="1">
      <alignment horizontal="center" readingOrder="0" vertical="center"/>
    </xf>
    <xf borderId="9" fillId="18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/>
    </xf>
    <xf borderId="11" fillId="18" fontId="5" numFmtId="0" xfId="0" applyAlignment="1" applyBorder="1" applyFont="1">
      <alignment vertical="bottom"/>
    </xf>
    <xf borderId="0" fillId="5" fontId="4" numFmtId="0" xfId="0" applyAlignment="1" applyFont="1">
      <alignment horizontal="center" vertical="bottom"/>
    </xf>
    <xf borderId="12" fillId="0" fontId="11" numFmtId="0" xfId="0" applyBorder="1" applyFont="1"/>
    <xf borderId="0" fillId="4" fontId="4" numFmtId="0" xfId="0" applyAlignment="1" applyFont="1">
      <alignment horizontal="center" vertical="bottom"/>
    </xf>
    <xf borderId="0" fillId="18" fontId="4" numFmtId="0" xfId="0" applyAlignment="1" applyFont="1">
      <alignment horizontal="center" vertical="bottom"/>
    </xf>
    <xf borderId="0" fillId="21" fontId="4" numFmtId="0" xfId="0" applyAlignment="1" applyFill="1" applyFont="1">
      <alignment vertical="bottom"/>
    </xf>
    <xf borderId="11" fillId="22" fontId="5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12" fillId="0" fontId="5" numFmtId="0" xfId="0" applyAlignment="1" applyBorder="1" applyFont="1">
      <alignment horizontal="right" vertical="bottom"/>
    </xf>
    <xf borderId="11" fillId="0" fontId="9" numFmtId="0" xfId="0" applyBorder="1" applyFont="1"/>
    <xf borderId="12" fillId="0" fontId="9" numFmtId="0" xfId="0" applyBorder="1" applyFont="1"/>
    <xf borderId="12" fillId="0" fontId="9" numFmtId="0" xfId="0" applyAlignment="1" applyBorder="1" applyFont="1">
      <alignment readingOrder="0"/>
    </xf>
    <xf borderId="0" fillId="0" fontId="9" numFmtId="0" xfId="0" applyFont="1"/>
    <xf borderId="0" fillId="19" fontId="9" numFmtId="0" xfId="0" applyAlignment="1" applyFont="1">
      <alignment readingOrder="0"/>
    </xf>
    <xf borderId="13" fillId="7" fontId="5" numFmtId="0" xfId="0" applyAlignment="1" applyBorder="1" applyFont="1">
      <alignment readingOrder="0" vertical="bottom"/>
    </xf>
    <xf borderId="13" fillId="0" fontId="9" numFmtId="0" xfId="0" applyBorder="1" applyFont="1"/>
    <xf borderId="13" fillId="0" fontId="9" numFmtId="0" xfId="0" applyAlignment="1" applyBorder="1" applyFont="1">
      <alignment readingOrder="0"/>
    </xf>
    <xf borderId="14" fillId="0" fontId="9" numFmtId="0" xfId="0" applyBorder="1" applyFont="1"/>
    <xf borderId="13" fillId="19" fontId="9" numFmtId="0" xfId="0" applyAlignment="1" applyBorder="1" applyFont="1">
      <alignment readingOrder="0"/>
    </xf>
    <xf borderId="13" fillId="10" fontId="5" numFmtId="0" xfId="0" applyAlignment="1" applyBorder="1" applyFont="1">
      <alignment vertical="bottom"/>
    </xf>
    <xf borderId="15" fillId="0" fontId="9" numFmtId="0" xfId="0" applyBorder="1" applyFont="1"/>
    <xf borderId="0" fillId="19" fontId="9" numFmtId="0" xfId="0" applyFont="1"/>
    <xf borderId="13" fillId="12" fontId="5" numFmtId="0" xfId="0" applyAlignment="1" applyBorder="1" applyFont="1">
      <alignment vertical="bottom"/>
    </xf>
    <xf borderId="13" fillId="15" fontId="5" numFmtId="0" xfId="0" applyAlignment="1" applyBorder="1" applyFont="1">
      <alignment vertical="bottom"/>
    </xf>
    <xf borderId="13" fillId="17" fontId="5" numFmtId="0" xfId="0" applyAlignment="1" applyBorder="1" applyFont="1">
      <alignment vertical="bottom"/>
    </xf>
    <xf borderId="0" fillId="18" fontId="4" numFmtId="0" xfId="0" applyAlignment="1" applyFont="1">
      <alignment horizontal="center" readingOrder="0" vertical="bottom"/>
    </xf>
    <xf borderId="16" fillId="3" fontId="9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bottom"/>
    </xf>
    <xf borderId="16" fillId="0" fontId="9" numFmtId="0" xfId="0" applyAlignment="1" applyBorder="1" applyFont="1">
      <alignment readingOrder="0"/>
    </xf>
    <xf borderId="16" fillId="0" fontId="9" numFmtId="0" xfId="0" applyBorder="1" applyFont="1"/>
    <xf borderId="16" fillId="0" fontId="9" numFmtId="0" xfId="0" applyAlignment="1" applyBorder="1" applyFont="1">
      <alignment horizontal="center"/>
    </xf>
    <xf borderId="16" fillId="0" fontId="9" numFmtId="0" xfId="0" applyAlignment="1" applyBorder="1" applyFont="1">
      <alignment horizontal="center"/>
    </xf>
    <xf borderId="16" fillId="0" fontId="9" numFmtId="0" xfId="0" applyAlignment="1" applyBorder="1" applyFont="1">
      <alignment horizontal="center" readingOrder="0"/>
    </xf>
    <xf borderId="16" fillId="0" fontId="9" numFmtId="0" xfId="0" applyBorder="1" applyFont="1"/>
    <xf borderId="0" fillId="0" fontId="5" numFmtId="0" xfId="0" applyAlignment="1" applyFont="1">
      <alignment horizontal="right" readingOrder="0" vertical="bottom"/>
    </xf>
    <xf borderId="0" fillId="4" fontId="9" numFmtId="2" xfId="0" applyFont="1" applyNumberFormat="1"/>
    <xf borderId="0" fillId="4" fontId="9" numFmtId="2" xfId="0" applyAlignment="1" applyFont="1" applyNumberFormat="1">
      <alignment horizontal="center" readingOrder="0"/>
    </xf>
    <xf borderId="0" fillId="4" fontId="9" numFmtId="0" xfId="0" applyFont="1"/>
    <xf borderId="0" fillId="23" fontId="12" numFmtId="0" xfId="0" applyAlignment="1" applyFill="1" applyFont="1">
      <alignment readingOrder="0"/>
    </xf>
    <xf borderId="0" fillId="4" fontId="9" numFmtId="2" xfId="0" applyAlignment="1" applyFont="1" applyNumberFormat="1">
      <alignment horizontal="center"/>
    </xf>
    <xf borderId="16" fillId="23" fontId="12" numFmtId="0" xfId="0" applyAlignment="1" applyBorder="1" applyFont="1">
      <alignment readingOrder="0"/>
    </xf>
    <xf borderId="16" fillId="19" fontId="9" numFmtId="0" xfId="0" applyAlignment="1" applyBorder="1" applyFont="1">
      <alignment horizontal="center"/>
    </xf>
    <xf borderId="0" fillId="2" fontId="9" numFmtId="0" xfId="0" applyFont="1"/>
    <xf borderId="0" fillId="2" fontId="9" numFmtId="0" xfId="0" applyAlignment="1" applyFont="1">
      <alignment readingOrder="0"/>
    </xf>
    <xf borderId="12" fillId="2" fontId="9" numFmtId="0" xfId="0" applyBorder="1" applyFont="1"/>
    <xf borderId="0" fillId="4" fontId="9" numFmtId="2" xfId="0" applyAlignment="1" applyFont="1" applyNumberFormat="1">
      <alignment readingOrder="0"/>
    </xf>
    <xf borderId="0" fillId="4" fontId="9" numFmtId="1" xfId="0" applyFont="1" applyNumberFormat="1"/>
    <xf borderId="0" fillId="4" fontId="9" numFmtId="0" xfId="0" applyAlignment="1" applyFont="1">
      <alignment readingOrder="0"/>
    </xf>
    <xf borderId="0" fillId="0" fontId="9" numFmtId="2" xfId="0" applyFont="1" applyNumberFormat="1"/>
    <xf borderId="13" fillId="7" fontId="5" numFmtId="0" xfId="0" applyAlignment="1" applyBorder="1" applyFont="1">
      <alignment vertical="bottom"/>
    </xf>
    <xf borderId="16" fillId="5" fontId="9" numFmtId="0" xfId="0" applyAlignment="1" applyBorder="1" applyFont="1">
      <alignment readingOrder="0"/>
    </xf>
    <xf borderId="16" fillId="5" fontId="9" numFmtId="49" xfId="0" applyAlignment="1" applyBorder="1" applyFont="1" applyNumberFormat="1">
      <alignment readingOrder="0"/>
    </xf>
    <xf borderId="16" fillId="5" fontId="9" numFmtId="49" xfId="0" applyAlignment="1" applyBorder="1" applyFont="1" applyNumberFormat="1">
      <alignment horizontal="center" readingOrder="0"/>
    </xf>
    <xf borderId="0" fillId="4" fontId="10" numFmtId="0" xfId="0" applyAlignment="1" applyFont="1">
      <alignment readingOrder="0"/>
    </xf>
    <xf borderId="16" fillId="5" fontId="9" numFmtId="49" xfId="0" applyBorder="1" applyFont="1" applyNumberFormat="1"/>
    <xf borderId="16" fillId="4" fontId="9" numFmtId="2" xfId="0" applyBorder="1" applyFont="1" applyNumberFormat="1"/>
    <xf borderId="16" fillId="0" fontId="9" numFmtId="3" xfId="0" applyAlignment="1" applyBorder="1" applyFont="1" applyNumberFormat="1">
      <alignment horizontal="center"/>
    </xf>
    <xf borderId="16" fillId="4" fontId="9" numFmtId="2" xfId="0" applyAlignment="1" applyBorder="1" applyFont="1" applyNumberFormat="1">
      <alignment readingOrder="0"/>
    </xf>
    <xf borderId="16" fillId="0" fontId="9" numFmtId="3" xfId="0" applyAlignment="1" applyBorder="1" applyFont="1" applyNumberFormat="1">
      <alignment horizontal="center" readingOrder="0"/>
    </xf>
    <xf borderId="16" fillId="0" fontId="9" numFmtId="2" xfId="0" applyBorder="1" applyFont="1" applyNumberFormat="1"/>
    <xf borderId="16" fillId="0" fontId="9" numFmtId="2" xfId="0" applyAlignment="1" applyBorder="1" applyFont="1" applyNumberFormat="1">
      <alignment readingOrder="0"/>
    </xf>
    <xf borderId="0" fillId="13" fontId="9" numFmtId="0" xfId="0" applyAlignment="1" applyFont="1">
      <alignment readingOrder="0"/>
    </xf>
    <xf borderId="0" fillId="13" fontId="10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16" fillId="3" fontId="9" numFmtId="2" xfId="0" applyBorder="1" applyFont="1" applyNumberFormat="1"/>
    <xf borderId="0" fillId="2" fontId="12" numFmtId="3" xfId="0" applyAlignment="1" applyFont="1" applyNumberFormat="1">
      <alignment horizontal="center" readingOrder="0"/>
    </xf>
    <xf borderId="16" fillId="5" fontId="9" numFmtId="0" xfId="0" applyAlignment="1" applyBorder="1" applyFont="1">
      <alignment horizontal="center" readingOrder="0"/>
    </xf>
    <xf borderId="16" fillId="0" fontId="9" numFmtId="2" xfId="0" applyAlignment="1" applyBorder="1" applyFont="1" applyNumberFormat="1">
      <alignment horizontal="center" readingOrder="0"/>
    </xf>
    <xf borderId="0" fillId="24" fontId="9" numFmtId="0" xfId="0" applyFill="1" applyFont="1"/>
    <xf borderId="16" fillId="3" fontId="9" numFmtId="2" xfId="0" applyAlignment="1" applyBorder="1" applyFont="1" applyNumberFormat="1">
      <alignment readingOrder="0"/>
    </xf>
    <xf borderId="16" fillId="2" fontId="9" numFmtId="2" xfId="0" applyAlignment="1" applyBorder="1" applyFont="1" applyNumberFormat="1">
      <alignment readingOrder="0"/>
    </xf>
    <xf borderId="16" fillId="0" fontId="9" numFmtId="1" xfId="0" applyAlignment="1" applyBorder="1" applyFont="1" applyNumberFormat="1">
      <alignment readingOrder="0"/>
    </xf>
    <xf borderId="0" fillId="2" fontId="9" numFmtId="1" xfId="0" applyFont="1" applyNumberFormat="1"/>
    <xf borderId="16" fillId="5" fontId="9" numFmtId="0" xfId="0" applyBorder="1" applyFont="1"/>
    <xf borderId="17" fillId="0" fontId="5" numFmtId="0" xfId="0" applyAlignment="1" applyBorder="1" applyFont="1">
      <alignment vertical="bottom"/>
    </xf>
    <xf borderId="18" fillId="5" fontId="4" numFmtId="0" xfId="0" applyAlignment="1" applyBorder="1" applyFont="1">
      <alignment horizontal="center" vertical="bottom"/>
    </xf>
    <xf borderId="18" fillId="0" fontId="11" numFmtId="0" xfId="0" applyBorder="1" applyFont="1"/>
    <xf borderId="19" fillId="0" fontId="11" numFmtId="0" xfId="0" applyBorder="1" applyFont="1"/>
    <xf borderId="20" fillId="21" fontId="4" numFmtId="0" xfId="0" applyAlignment="1" applyBorder="1" applyFont="1">
      <alignment vertical="bottom"/>
    </xf>
    <xf borderId="11" fillId="0" fontId="5" numFmtId="0" xfId="0" applyAlignment="1" applyBorder="1" applyFont="1">
      <alignment horizontal="right" vertical="bottom"/>
    </xf>
    <xf borderId="20" fillId="7" fontId="5" numFmtId="0" xfId="0" applyAlignment="1" applyBorder="1" applyFont="1">
      <alignment vertical="bottom"/>
    </xf>
    <xf borderId="11" fillId="0" fontId="9" numFmtId="0" xfId="0" applyAlignment="1" applyBorder="1" applyFont="1">
      <alignment readingOrder="0"/>
    </xf>
    <xf borderId="21" fillId="7" fontId="5" numFmtId="0" xfId="0" applyAlignment="1" applyBorder="1" applyFont="1">
      <alignment vertical="bottom"/>
    </xf>
    <xf borderId="16" fillId="2" fontId="9" numFmtId="0" xfId="0" applyAlignment="1" applyBorder="1" applyFont="1">
      <alignment readingOrder="0"/>
    </xf>
    <xf borderId="20" fillId="10" fontId="5" numFmtId="0" xfId="0" applyAlignment="1" applyBorder="1" applyFont="1">
      <alignment vertical="bottom"/>
    </xf>
    <xf borderId="20" fillId="12" fontId="5" numFmtId="0" xfId="0" applyAlignment="1" applyBorder="1" applyFont="1">
      <alignment vertical="bottom"/>
    </xf>
    <xf borderId="20" fillId="15" fontId="5" numFmtId="0" xfId="0" applyAlignment="1" applyBorder="1" applyFont="1">
      <alignment vertical="bottom"/>
    </xf>
    <xf borderId="21" fillId="17" fontId="5" numFmtId="0" xfId="0" applyAlignment="1" applyBorder="1" applyFont="1">
      <alignment vertical="bottom"/>
    </xf>
    <xf borderId="16" fillId="5" fontId="9" numFmtId="0" xfId="0" applyAlignment="1" applyBorder="1" applyFont="1">
      <alignment horizontal="center"/>
    </xf>
    <xf borderId="16" fillId="0" fontId="9" numFmtId="2" xfId="0" applyAlignment="1" applyBorder="1" applyFont="1" applyNumberFormat="1">
      <alignment horizontal="center"/>
    </xf>
    <xf borderId="16" fillId="0" fontId="9" numFmtId="164" xfId="0" applyBorder="1" applyFont="1" applyNumberFormat="1"/>
    <xf borderId="16" fillId="23" fontId="12" numFmtId="2" xfId="0" applyAlignment="1" applyBorder="1" applyFont="1" applyNumberFormat="1">
      <alignment horizontal="center"/>
    </xf>
    <xf borderId="16" fillId="0" fontId="5" numFmtId="0" xfId="0" applyAlignment="1" applyBorder="1" applyFont="1">
      <alignment horizontal="right" vertical="bottom"/>
    </xf>
    <xf borderId="0" fillId="5" fontId="9" numFmtId="0" xfId="0" applyAlignment="1" applyFont="1">
      <alignment readingOrder="0"/>
    </xf>
    <xf borderId="16" fillId="7" fontId="5" numFmtId="0" xfId="0" applyAlignment="1" applyBorder="1" applyFont="1">
      <alignment vertical="bottom"/>
    </xf>
    <xf borderId="16" fillId="19" fontId="9" numFmtId="2" xfId="0" applyAlignment="1" applyBorder="1" applyFont="1" applyNumberFormat="1">
      <alignment horizontal="center"/>
    </xf>
    <xf borderId="16" fillId="10" fontId="5" numFmtId="0" xfId="0" applyAlignment="1" applyBorder="1" applyFont="1">
      <alignment vertical="bottom"/>
    </xf>
    <xf borderId="16" fillId="19" fontId="12" numFmtId="2" xfId="0" applyAlignment="1" applyBorder="1" applyFont="1" applyNumberFormat="1">
      <alignment horizontal="center"/>
    </xf>
    <xf borderId="16" fillId="12" fontId="5" numFmtId="0" xfId="0" applyAlignment="1" applyBorder="1" applyFont="1">
      <alignment vertical="bottom"/>
    </xf>
    <xf borderId="16" fillId="15" fontId="5" numFmtId="0" xfId="0" applyAlignment="1" applyBorder="1" applyFont="1">
      <alignment vertical="bottom"/>
    </xf>
    <xf borderId="16" fillId="17" fontId="5" numFmtId="0" xfId="0" applyAlignment="1" applyBorder="1" applyFont="1">
      <alignment vertical="bottom"/>
    </xf>
    <xf borderId="16" fillId="19" fontId="9" numFmtId="0" xfId="0" applyBorder="1" applyFont="1"/>
    <xf borderId="16" fillId="23" fontId="12" numFmtId="0" xfId="0" applyAlignment="1" applyBorder="1" applyFont="1">
      <alignment horizontal="center"/>
    </xf>
    <xf borderId="16" fillId="19" fontId="12" numFmtId="0" xfId="0" applyAlignment="1" applyBorder="1" applyFont="1">
      <alignment horizontal="center"/>
    </xf>
    <xf borderId="1" fillId="0" fontId="13" numFmtId="49" xfId="0" applyAlignment="1" applyBorder="1" applyFont="1" applyNumberFormat="1">
      <alignment horizontal="left" readingOrder="0"/>
    </xf>
    <xf borderId="1" fillId="0" fontId="13" numFmtId="49" xfId="0" applyAlignment="1" applyBorder="1" applyFont="1" applyNumberFormat="1">
      <alignment horizontal="left" readingOrder="0" shrinkToFit="0" wrapText="0"/>
    </xf>
    <xf borderId="0" fillId="0" fontId="9" numFmtId="49" xfId="0" applyFont="1" applyNumberFormat="1"/>
    <xf borderId="2" fillId="0" fontId="13" numFmtId="49" xfId="0" applyAlignment="1" applyBorder="1" applyFont="1" applyNumberFormat="1">
      <alignment horizontal="left"/>
    </xf>
    <xf borderId="1" fillId="0" fontId="14" numFmtId="49" xfId="0" applyAlignment="1" applyBorder="1" applyFont="1" applyNumberFormat="1">
      <alignment readingOrder="0" shrinkToFit="0" wrapText="0"/>
    </xf>
    <xf borderId="1" fillId="0" fontId="14" numFmtId="49" xfId="0" applyAlignment="1" applyBorder="1" applyFont="1" applyNumberFormat="1">
      <alignment horizontal="right" readingOrder="0" shrinkToFit="0" wrapText="0"/>
    </xf>
    <xf borderId="1" fillId="0" fontId="13" numFmtId="49" xfId="0" applyAlignment="1" applyBorder="1" applyFont="1" applyNumberFormat="1">
      <alignment horizontal="right" readingOrder="0" shrinkToFit="0" wrapText="0"/>
    </xf>
    <xf borderId="0" fillId="23" fontId="12" numFmtId="0" xfId="0" applyAlignment="1" applyFont="1">
      <alignment horizontal="center" readingOrder="0"/>
    </xf>
    <xf borderId="18" fillId="4" fontId="4" numFmtId="0" xfId="0" applyAlignment="1" applyBorder="1" applyFont="1">
      <alignment horizontal="center" vertical="bottom"/>
    </xf>
    <xf borderId="20" fillId="17" fontId="5" numFmtId="0" xfId="0" applyAlignment="1" applyBorder="1" applyFont="1">
      <alignment vertical="bottom"/>
    </xf>
    <xf borderId="16" fillId="19" fontId="9" numFmtId="164" xfId="0" applyBorder="1" applyFont="1" applyNumberFormat="1"/>
    <xf borderId="16" fillId="0" fontId="12" numFmtId="2" xfId="0" applyAlignment="1" applyBorder="1" applyFont="1" applyNumberFormat="1">
      <alignment horizontal="center"/>
    </xf>
    <xf borderId="16" fillId="23" fontId="12" numFmtId="0" xfId="0" applyAlignment="1" applyBorder="1" applyFont="1">
      <alignment horizontal="center" readingOrder="0"/>
    </xf>
    <xf borderId="0" fillId="0" fontId="9" numFmtId="164" xfId="0" applyFont="1" applyNumberFormat="1"/>
    <xf borderId="16" fillId="19" fontId="9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 readingOrder="0"/>
    </xf>
    <xf borderId="16" fillId="19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right" readingOrder="0" shrinkToFit="0" wrapText="0"/>
    </xf>
    <xf borderId="1" fillId="0" fontId="14" numFmtId="0" xfId="0" applyAlignment="1" applyBorder="1" applyFont="1">
      <alignment horizontal="right" readingOrder="0" shrinkToFit="0" wrapText="0"/>
    </xf>
    <xf borderId="0" fillId="23" fontId="15" numFmtId="0" xfId="0" applyAlignment="1" applyFont="1">
      <alignment readingOrder="0"/>
    </xf>
    <xf borderId="18" fillId="18" fontId="4" numFmtId="0" xfId="0" applyAlignment="1" applyBorder="1" applyFont="1">
      <alignment horizontal="center" vertical="bottom"/>
    </xf>
    <xf borderId="16" fillId="19" fontId="9" numFmtId="0" xfId="0" applyAlignment="1" applyBorder="1" applyFont="1">
      <alignment readingOrder="0"/>
    </xf>
    <xf borderId="16" fillId="0" fontId="9" numFmtId="49" xfId="0" applyAlignment="1" applyBorder="1" applyFont="1" applyNumberFormat="1">
      <alignment horizontal="center" readingOrder="0"/>
    </xf>
    <xf borderId="0" fillId="23" fontId="12" numFmtId="49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vin roberge" id="{91516e81-bb4c-44ca-844c-fa82f3bec5c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5" dT="2025-06-25T15:38:15.00" personId="{91516e81-bb4c-44ca-844c-fa82f3bec5ca}" id="{ce2792d3-c820-47b4-9770-b85499283277}" done="0">
    <x18tc:text xml:space="preserve">probably should add one more here.</x18tc:text>
  </x18tc:threadedComment>
  <x18tc:threadedComment ref="E15" dT="2025-06-25T15:58:04.00" personId="{91516e81-bb4c-44ca-844c-fa82f3bec5ca}" id="{7ff1eb04-fef3-406b-a65e-fa7606905e3e}" parentId="{ce2792d3-c820-47b4-9770-b85499283277}">
    <x18tc:text xml:space="preserve">there are 4 active currently on LASSO</x18tc:text>
  </x18tc:threadedComment>
  <x18tc:threadedComment ref="E4" dT="2025-06-25T16:05:17.00" personId="{91516e81-bb4c-44ca-844c-fa82f3bec5ca}" id="{a79f032b-3f79-4ab6-bf6b-539f44d8177d}" done="0">
    <x18tc:text xml:space="preserve">9 test on LASSO</x18tc:text>
  </x18tc:threadedComment>
  <x18tc:threadedComment ref="E24" dT="2025-06-25T15:38:23.00" personId="{91516e81-bb4c-44ca-844c-fa82f3bec5ca}" id="{69257704-6f15-4cc4-b3c3-159775960d8f}" done="0">
    <x18tc:text xml:space="preserve">Maybe reduce this by 2</x18tc:text>
  </x18tc:threadedComment>
  <x18tc:threadedComment ref="E24" dT="2025-06-25T15:58:17.00" personId="{91516e81-bb4c-44ca-844c-fa82f3bec5ca}" id="{6a5e62f2-371d-4f55-bb04-27014a86bac7}" parentId="{69257704-6f15-4cc4-b3c3-159775960d8f}">
    <x18tc:text xml:space="preserve">there are 6 active currently on LASSO</x18tc:text>
  </x18tc:threadedComment>
  <x18tc:threadedComment ref="E6" dT="2025-06-25T16:05:28.00" personId="{91516e81-bb4c-44ca-844c-fa82f3bec5ca}" id="{df9731e7-785e-4fd6-8b5c-b024056b2d70}" done="0">
    <x18tc:text xml:space="preserve">5 test on lasso</x18tc:text>
  </x18tc:threadedComment>
  <x18tc:threadedComment ref="E10" dT="2025-06-25T15:29:48.00" personId="{91516e81-bb4c-44ca-844c-fa82f3bec5ca}" id="{4aacde5c-1154-4392-aba1-90825c9c23ad}" done="0">
    <x18tc:text xml:space="preserve">though I would argue that these require understanding P5 as they use exponential functions and logarithms.</x18tc:text>
  </x18tc:threadedComment>
  <x18tc:threadedComment ref="E10" dT="2025-06-25T15:58:40.00" personId="{91516e81-bb4c-44ca-844c-fa82f3bec5ca}" id="{f67a6494-695a-40b7-ae6f-fe589511b9e7}" parentId="{4aacde5c-1154-4392-aba1-90825c9c23ad}">
    <x18tc:text xml:space="preserve">there are 2 currently active on LASSO</x18tc:text>
  </x18tc:threadedComment>
  <x18tc:threadedComment ref="F29" dT="2025-06-25T16:06:47.00" personId="{91516e81-bb4c-44ca-844c-fa82f3bec5ca}" id="{8cab36f2-0dd1-497c-b023-512a32125589}" done="0">
    <x18tc:text xml:space="preserve">1 is ready to go but maybe we wait on this one?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1" dT="2025-04-17T15:52:03.00" personId="{91516e81-bb4c-44ca-844c-fa82f3bec5ca}" id="{ed751c4b-9af0-4db4-bb20-cdef06983717}" done="0">
    <x18tc:text xml:space="preserve">had a 1 here since we are inferring something about the graph of f by using f' but I think this relies more on the close interval.</x18tc:text>
  </x18tc:threadedComment>
  <x18tc:threadedComment ref="H23" dT="2025-04-17T15:48:55.00" personId="{91516e81-bb4c-44ca-844c-fa82f3bec5ca}" id="{b4b3adb9-b101-406e-bb0e-214b9950c7aa}" done="0">
    <x18tc:text xml:space="preserve">I had a one here but agree with Jayson's pov on this.</x18tc:text>
  </x18tc:threadedComment>
  <x18tc:threadedComment ref="AC22" dT="2025-04-17T15:53:45.00" personId="{91516e81-bb4c-44ca-844c-fa82f3bec5ca}" id="{8af8a192-eae1-45e7-9c3e-54828d3dcdcb}" done="0">
    <x18tc:text xml:space="preserve">this could be a question you'd want to ask in this LO but strictly speaking does not require any calculus. I think what happens is the a lot of rational function examples do not cross their VA and a possible misconception arises.</x18tc:text>
  </x18tc:threadedComment>
  <x18tc:threadedComment ref="S12" dT="2025-04-17T15:50:19.00" personId="{91516e81-bb4c-44ca-844c-fa82f3bec5ca}" id="{a13c2f68-6637-43bb-a562-55977917941e}" done="0">
    <x18tc:text xml:space="preserve">had a one here because it uses avg rates of change and this could be something they want to ask but it is also a review item.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4" dT="2025-04-24T14:03:38.00" personId="{91516e81-bb4c-44ca-844c-fa82f3bec5ca}" id="{56973b74-6dc2-45f2-9520-6f821d1e8e97}" done="0">
    <x18tc:text xml:space="preserve">perhaps not this 1 because you would not NEED this skill to answer the question correctly though it might increase the probability of answering it correctly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44.5"/>
    <col customWidth="1" min="3" max="3" width="36.5"/>
    <col customWidth="1" min="4" max="4" width="8.5"/>
    <col customWidth="1" min="5" max="5" width="5.5"/>
    <col customWidth="1" min="6" max="6" width="29.5"/>
    <col customWidth="1" min="7" max="7" width="10.25"/>
    <col customWidth="1" min="8" max="8" width="11.0"/>
    <col customWidth="1" min="10" max="10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 t="str">
        <f t="array" ref="J1:J23">UNIQUE(F:F)</f>
        <v>instructor</v>
      </c>
      <c r="K1" s="3" t="s">
        <v>8</v>
      </c>
      <c r="L1" s="3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8</v>
      </c>
      <c r="B2" s="4" t="s">
        <v>10</v>
      </c>
      <c r="C2" s="4" t="s">
        <v>11</v>
      </c>
      <c r="D2" s="4" t="s">
        <v>12</v>
      </c>
      <c r="E2" s="5">
        <v>2019.0</v>
      </c>
      <c r="F2" s="4" t="s">
        <v>13</v>
      </c>
      <c r="G2" s="4" t="s">
        <v>14</v>
      </c>
      <c r="H2" s="5">
        <v>1.0</v>
      </c>
      <c r="I2" s="2"/>
      <c r="J2" s="2" t="s">
        <v>13</v>
      </c>
      <c r="K2" s="2">
        <f t="shared" ref="K2:L2" si="1">sumifs($H:$H,$F:$F,$J2, $A:$A, K$1)</f>
        <v>49</v>
      </c>
      <c r="L2" s="2">
        <f t="shared" si="1"/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6" t="s">
        <v>8</v>
      </c>
      <c r="B3" s="6" t="s">
        <v>15</v>
      </c>
      <c r="C3" s="6" t="s">
        <v>11</v>
      </c>
      <c r="D3" s="6" t="s">
        <v>16</v>
      </c>
      <c r="E3" s="7">
        <v>2019.0</v>
      </c>
      <c r="F3" s="6" t="s">
        <v>17</v>
      </c>
      <c r="G3" s="6" t="s">
        <v>18</v>
      </c>
      <c r="H3" s="7">
        <v>1.0</v>
      </c>
      <c r="I3" s="2"/>
      <c r="J3" s="2" t="s">
        <v>17</v>
      </c>
      <c r="K3" s="2">
        <f t="shared" ref="K3:K22" si="2">sumifs(H:H,F:F,$J3, A:A, K$1)</f>
        <v>9</v>
      </c>
      <c r="L3" s="2">
        <f t="shared" ref="L3:L22" si="3">sumifs($H:$H,$F:$F,$J3, $A:$A, L$1)</f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6" t="s">
        <v>8</v>
      </c>
      <c r="B4" s="6" t="s">
        <v>19</v>
      </c>
      <c r="C4" s="6" t="s">
        <v>20</v>
      </c>
      <c r="D4" s="6" t="s">
        <v>16</v>
      </c>
      <c r="E4" s="7">
        <v>2019.0</v>
      </c>
      <c r="F4" s="6" t="s">
        <v>21</v>
      </c>
      <c r="G4" s="6" t="s">
        <v>22</v>
      </c>
      <c r="H4" s="7">
        <v>1.0</v>
      </c>
      <c r="I4" s="2"/>
      <c r="J4" s="2" t="s">
        <v>21</v>
      </c>
      <c r="K4" s="2">
        <f t="shared" si="2"/>
        <v>1</v>
      </c>
      <c r="L4" s="2">
        <f t="shared" si="3"/>
        <v>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6" t="s">
        <v>8</v>
      </c>
      <c r="B5" s="6" t="s">
        <v>15</v>
      </c>
      <c r="C5" s="6" t="s">
        <v>23</v>
      </c>
      <c r="D5" s="6" t="s">
        <v>12</v>
      </c>
      <c r="E5" s="7">
        <v>2019.0</v>
      </c>
      <c r="F5" s="6" t="s">
        <v>24</v>
      </c>
      <c r="G5" s="6" t="s">
        <v>22</v>
      </c>
      <c r="H5" s="7">
        <v>1.0</v>
      </c>
      <c r="I5" s="2"/>
      <c r="J5" s="2" t="s">
        <v>24</v>
      </c>
      <c r="K5" s="2">
        <f t="shared" si="2"/>
        <v>10</v>
      </c>
      <c r="L5" s="2">
        <f t="shared" si="3"/>
        <v>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6" t="s">
        <v>8</v>
      </c>
      <c r="B6" s="6" t="s">
        <v>10</v>
      </c>
      <c r="C6" s="6" t="s">
        <v>11</v>
      </c>
      <c r="D6" s="6" t="s">
        <v>16</v>
      </c>
      <c r="E6" s="7">
        <v>2020.0</v>
      </c>
      <c r="F6" s="6" t="s">
        <v>13</v>
      </c>
      <c r="G6" s="6" t="s">
        <v>14</v>
      </c>
      <c r="H6" s="7">
        <v>2.0</v>
      </c>
      <c r="I6" s="2"/>
      <c r="J6" s="2" t="s">
        <v>25</v>
      </c>
      <c r="K6" s="2">
        <f t="shared" si="2"/>
        <v>19</v>
      </c>
      <c r="L6" s="2">
        <f t="shared" si="3"/>
        <v>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6" t="s">
        <v>8</v>
      </c>
      <c r="B7" s="6" t="s">
        <v>26</v>
      </c>
      <c r="C7" s="6" t="s">
        <v>11</v>
      </c>
      <c r="D7" s="6" t="s">
        <v>16</v>
      </c>
      <c r="E7" s="7">
        <v>2020.0</v>
      </c>
      <c r="F7" s="6" t="s">
        <v>13</v>
      </c>
      <c r="G7" s="6" t="s">
        <v>18</v>
      </c>
      <c r="H7" s="7">
        <v>3.0</v>
      </c>
      <c r="I7" s="2"/>
      <c r="J7" s="2" t="s">
        <v>27</v>
      </c>
      <c r="K7" s="2">
        <f t="shared" si="2"/>
        <v>37</v>
      </c>
      <c r="L7" s="2">
        <f t="shared" si="3"/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6" t="s">
        <v>8</v>
      </c>
      <c r="B8" s="6" t="s">
        <v>26</v>
      </c>
      <c r="C8" s="6" t="s">
        <v>11</v>
      </c>
      <c r="D8" s="6" t="s">
        <v>16</v>
      </c>
      <c r="E8" s="7">
        <v>2021.0</v>
      </c>
      <c r="F8" s="6" t="s">
        <v>25</v>
      </c>
      <c r="G8" s="6" t="s">
        <v>18</v>
      </c>
      <c r="H8" s="7">
        <v>3.0</v>
      </c>
      <c r="I8" s="2"/>
      <c r="J8" s="2" t="s">
        <v>28</v>
      </c>
      <c r="K8" s="2">
        <f t="shared" si="2"/>
        <v>0</v>
      </c>
      <c r="L8" s="2">
        <f t="shared" si="3"/>
        <v>41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6" t="s">
        <v>8</v>
      </c>
      <c r="B9" s="6" t="s">
        <v>10</v>
      </c>
      <c r="C9" s="6" t="s">
        <v>11</v>
      </c>
      <c r="D9" s="6" t="s">
        <v>16</v>
      </c>
      <c r="E9" s="7">
        <v>2019.0</v>
      </c>
      <c r="F9" s="6" t="s">
        <v>17</v>
      </c>
      <c r="G9" s="6" t="s">
        <v>14</v>
      </c>
      <c r="H9" s="7">
        <v>3.0</v>
      </c>
      <c r="I9" s="2"/>
      <c r="J9" s="2" t="s">
        <v>29</v>
      </c>
      <c r="K9" s="2">
        <f t="shared" si="2"/>
        <v>0</v>
      </c>
      <c r="L9" s="2">
        <f t="shared" si="3"/>
        <v>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6" t="s">
        <v>8</v>
      </c>
      <c r="B10" s="6" t="s">
        <v>10</v>
      </c>
      <c r="C10" s="6" t="s">
        <v>11</v>
      </c>
      <c r="D10" s="6" t="s">
        <v>12</v>
      </c>
      <c r="E10" s="7">
        <v>2020.0</v>
      </c>
      <c r="F10" s="6" t="s">
        <v>13</v>
      </c>
      <c r="G10" s="6" t="s">
        <v>14</v>
      </c>
      <c r="H10" s="7">
        <v>4.0</v>
      </c>
      <c r="I10" s="2"/>
      <c r="J10" s="2" t="s">
        <v>30</v>
      </c>
      <c r="K10" s="2">
        <f t="shared" si="2"/>
        <v>32</v>
      </c>
      <c r="L10" s="2">
        <f t="shared" si="3"/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6" t="s">
        <v>8</v>
      </c>
      <c r="B11" s="6" t="s">
        <v>15</v>
      </c>
      <c r="C11" s="6" t="s">
        <v>31</v>
      </c>
      <c r="D11" s="6" t="s">
        <v>12</v>
      </c>
      <c r="E11" s="7">
        <v>2023.0</v>
      </c>
      <c r="F11" s="6" t="s">
        <v>27</v>
      </c>
      <c r="G11" s="6" t="s">
        <v>32</v>
      </c>
      <c r="H11" s="7">
        <v>4.0</v>
      </c>
      <c r="I11" s="2"/>
      <c r="J11" s="2" t="s">
        <v>33</v>
      </c>
      <c r="K11" s="2">
        <f t="shared" si="2"/>
        <v>27</v>
      </c>
      <c r="L11" s="2">
        <f t="shared" si="3"/>
        <v>60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6" t="s">
        <v>9</v>
      </c>
      <c r="B12" s="6" t="s">
        <v>34</v>
      </c>
      <c r="C12" s="6" t="s">
        <v>35</v>
      </c>
      <c r="D12" s="6" t="s">
        <v>12</v>
      </c>
      <c r="E12" s="7">
        <v>2022.0</v>
      </c>
      <c r="F12" s="6" t="s">
        <v>28</v>
      </c>
      <c r="G12" s="6" t="s">
        <v>22</v>
      </c>
      <c r="H12" s="7">
        <v>5.0</v>
      </c>
      <c r="I12" s="2"/>
      <c r="J12" s="2" t="s">
        <v>36</v>
      </c>
      <c r="K12" s="2">
        <f t="shared" si="2"/>
        <v>13</v>
      </c>
      <c r="L12" s="2">
        <f t="shared" si="3"/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6" t="s">
        <v>8</v>
      </c>
      <c r="B13" s="6" t="s">
        <v>10</v>
      </c>
      <c r="C13" s="6" t="s">
        <v>11</v>
      </c>
      <c r="D13" s="6" t="s">
        <v>16</v>
      </c>
      <c r="E13" s="7">
        <v>2021.0</v>
      </c>
      <c r="F13" s="6" t="s">
        <v>13</v>
      </c>
      <c r="G13" s="6" t="s">
        <v>14</v>
      </c>
      <c r="H13" s="7">
        <v>5.0</v>
      </c>
      <c r="I13" s="2"/>
      <c r="J13" s="2" t="s">
        <v>37</v>
      </c>
      <c r="K13" s="2">
        <f t="shared" si="2"/>
        <v>0</v>
      </c>
      <c r="L13" s="2">
        <f t="shared" si="3"/>
        <v>14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6" t="s">
        <v>8</v>
      </c>
      <c r="B14" s="6" t="s">
        <v>15</v>
      </c>
      <c r="C14" s="6" t="s">
        <v>11</v>
      </c>
      <c r="D14" s="6" t="s">
        <v>16</v>
      </c>
      <c r="E14" s="7">
        <v>2021.0</v>
      </c>
      <c r="F14" s="6" t="s">
        <v>25</v>
      </c>
      <c r="G14" s="6" t="s">
        <v>18</v>
      </c>
      <c r="H14" s="7">
        <v>5.0</v>
      </c>
      <c r="I14" s="2"/>
      <c r="J14" s="2" t="s">
        <v>38</v>
      </c>
      <c r="K14" s="2">
        <f t="shared" si="2"/>
        <v>0</v>
      </c>
      <c r="L14" s="2">
        <f t="shared" si="3"/>
        <v>164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6" t="s">
        <v>8</v>
      </c>
      <c r="B15" s="6" t="s">
        <v>34</v>
      </c>
      <c r="C15" s="6" t="s">
        <v>11</v>
      </c>
      <c r="D15" s="6" t="s">
        <v>16</v>
      </c>
      <c r="E15" s="7">
        <v>2019.0</v>
      </c>
      <c r="F15" s="6" t="s">
        <v>17</v>
      </c>
      <c r="G15" s="6" t="s">
        <v>18</v>
      </c>
      <c r="H15" s="7">
        <v>5.0</v>
      </c>
      <c r="I15" s="2"/>
      <c r="J15" s="2" t="s">
        <v>39</v>
      </c>
      <c r="K15" s="2">
        <f t="shared" si="2"/>
        <v>22</v>
      </c>
      <c r="L15" s="2">
        <f t="shared" si="3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6" t="s">
        <v>8</v>
      </c>
      <c r="B16" s="6" t="s">
        <v>40</v>
      </c>
      <c r="C16" s="6" t="s">
        <v>11</v>
      </c>
      <c r="D16" s="6" t="s">
        <v>16</v>
      </c>
      <c r="E16" s="7">
        <v>2020.0</v>
      </c>
      <c r="F16" s="6" t="s">
        <v>13</v>
      </c>
      <c r="G16" s="6" t="s">
        <v>18</v>
      </c>
      <c r="H16" s="7">
        <v>8.0</v>
      </c>
      <c r="I16" s="2"/>
      <c r="J16" s="2" t="s">
        <v>41</v>
      </c>
      <c r="K16" s="2">
        <f t="shared" si="2"/>
        <v>0</v>
      </c>
      <c r="L16" s="2">
        <f t="shared" si="3"/>
        <v>25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6" t="s">
        <v>9</v>
      </c>
      <c r="B17" s="6" t="s">
        <v>15</v>
      </c>
      <c r="C17" s="6" t="s">
        <v>42</v>
      </c>
      <c r="D17" s="6" t="s">
        <v>43</v>
      </c>
      <c r="E17" s="7">
        <v>2024.0</v>
      </c>
      <c r="F17" s="6" t="s">
        <v>29</v>
      </c>
      <c r="G17" s="6" t="s">
        <v>22</v>
      </c>
      <c r="H17" s="7">
        <v>9.0</v>
      </c>
      <c r="I17" s="2"/>
      <c r="J17" s="2" t="s">
        <v>44</v>
      </c>
      <c r="K17" s="2">
        <f t="shared" si="2"/>
        <v>0</v>
      </c>
      <c r="L17" s="2">
        <f t="shared" si="3"/>
        <v>76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6" t="s">
        <v>8</v>
      </c>
      <c r="B18" s="6" t="s">
        <v>45</v>
      </c>
      <c r="C18" s="6" t="s">
        <v>23</v>
      </c>
      <c r="D18" s="6" t="s">
        <v>12</v>
      </c>
      <c r="E18" s="7">
        <v>2019.0</v>
      </c>
      <c r="F18" s="6" t="s">
        <v>24</v>
      </c>
      <c r="G18" s="6" t="s">
        <v>46</v>
      </c>
      <c r="H18" s="7">
        <v>9.0</v>
      </c>
      <c r="I18" s="2"/>
      <c r="J18" s="2" t="s">
        <v>47</v>
      </c>
      <c r="K18" s="2">
        <f t="shared" si="2"/>
        <v>37</v>
      </c>
      <c r="L18" s="2">
        <f t="shared" si="3"/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6" t="s">
        <v>8</v>
      </c>
      <c r="B19" s="6" t="s">
        <v>48</v>
      </c>
      <c r="C19" s="6" t="s">
        <v>49</v>
      </c>
      <c r="D19" s="6" t="s">
        <v>50</v>
      </c>
      <c r="E19" s="7">
        <v>2020.0</v>
      </c>
      <c r="F19" s="6" t="s">
        <v>30</v>
      </c>
      <c r="G19" s="6">
        <v>181.0</v>
      </c>
      <c r="H19" s="7">
        <v>10.0</v>
      </c>
      <c r="I19" s="2"/>
      <c r="J19" s="2" t="s">
        <v>51</v>
      </c>
      <c r="K19" s="2">
        <f t="shared" si="2"/>
        <v>0</v>
      </c>
      <c r="L19" s="2">
        <f t="shared" si="3"/>
        <v>328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6" t="s">
        <v>8</v>
      </c>
      <c r="B20" s="6" t="s">
        <v>15</v>
      </c>
      <c r="C20" s="6" t="s">
        <v>11</v>
      </c>
      <c r="D20" s="6" t="s">
        <v>16</v>
      </c>
      <c r="E20" s="7">
        <v>2020.0</v>
      </c>
      <c r="F20" s="6" t="s">
        <v>13</v>
      </c>
      <c r="G20" s="6" t="s">
        <v>18</v>
      </c>
      <c r="H20" s="7">
        <v>10.0</v>
      </c>
      <c r="I20" s="2"/>
      <c r="J20" s="2" t="s">
        <v>52</v>
      </c>
      <c r="K20" s="2">
        <f t="shared" si="2"/>
        <v>0</v>
      </c>
      <c r="L20" s="2">
        <f t="shared" si="3"/>
        <v>618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6" t="s">
        <v>8</v>
      </c>
      <c r="B21" s="6" t="s">
        <v>34</v>
      </c>
      <c r="C21" s="6" t="s">
        <v>11</v>
      </c>
      <c r="D21" s="6" t="s">
        <v>16</v>
      </c>
      <c r="E21" s="7">
        <v>2021.0</v>
      </c>
      <c r="F21" s="6" t="s">
        <v>25</v>
      </c>
      <c r="G21" s="6" t="s">
        <v>18</v>
      </c>
      <c r="H21" s="7">
        <v>11.0</v>
      </c>
      <c r="I21" s="2"/>
      <c r="J21" s="2" t="s">
        <v>53</v>
      </c>
      <c r="K21" s="2">
        <f t="shared" si="2"/>
        <v>0</v>
      </c>
      <c r="L21" s="2">
        <f t="shared" si="3"/>
        <v>74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6" t="s">
        <v>8</v>
      </c>
      <c r="B22" s="6" t="s">
        <v>54</v>
      </c>
      <c r="C22" s="6" t="s">
        <v>55</v>
      </c>
      <c r="D22" s="6" t="s">
        <v>12</v>
      </c>
      <c r="E22" s="7">
        <v>2019.0</v>
      </c>
      <c r="F22" s="6" t="s">
        <v>33</v>
      </c>
      <c r="G22" s="6" t="s">
        <v>14</v>
      </c>
      <c r="H22" s="7">
        <v>13.0</v>
      </c>
      <c r="I22" s="2"/>
      <c r="J22" s="2" t="s">
        <v>56</v>
      </c>
      <c r="K22" s="2">
        <f t="shared" si="2"/>
        <v>1243</v>
      </c>
      <c r="L22" s="2">
        <f t="shared" si="3"/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6" t="s">
        <v>8</v>
      </c>
      <c r="B23" s="6" t="s">
        <v>15</v>
      </c>
      <c r="C23" s="6" t="s">
        <v>31</v>
      </c>
      <c r="D23" s="6" t="s">
        <v>16</v>
      </c>
      <c r="E23" s="7">
        <v>2021.0</v>
      </c>
      <c r="F23" s="6" t="s">
        <v>36</v>
      </c>
      <c r="G23" s="6" t="s">
        <v>32</v>
      </c>
      <c r="H23" s="7">
        <v>13.0</v>
      </c>
      <c r="I23" s="2"/>
      <c r="J23" s="8"/>
      <c r="K23" s="8">
        <f t="shared" ref="K23:L23" si="4">SUM(K2:K22)</f>
        <v>1499</v>
      </c>
      <c r="L23" s="8">
        <f t="shared" si="4"/>
        <v>1409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6" t="s">
        <v>8</v>
      </c>
      <c r="B24" s="6" t="s">
        <v>57</v>
      </c>
      <c r="C24" s="6" t="s">
        <v>55</v>
      </c>
      <c r="D24" s="6" t="s">
        <v>12</v>
      </c>
      <c r="E24" s="7">
        <v>2020.0</v>
      </c>
      <c r="F24" s="6" t="s">
        <v>33</v>
      </c>
      <c r="G24" s="6" t="s">
        <v>14</v>
      </c>
      <c r="H24" s="7">
        <v>14.0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6" t="s">
        <v>9</v>
      </c>
      <c r="B25" s="6" t="s">
        <v>58</v>
      </c>
      <c r="C25" s="6" t="s">
        <v>59</v>
      </c>
      <c r="D25" s="6" t="s">
        <v>12</v>
      </c>
      <c r="E25" s="7">
        <v>2022.0</v>
      </c>
      <c r="F25" s="6" t="s">
        <v>37</v>
      </c>
      <c r="G25" s="6" t="s">
        <v>18</v>
      </c>
      <c r="H25" s="7">
        <v>14.0</v>
      </c>
      <c r="I25" s="2"/>
      <c r="J25" s="2"/>
      <c r="K25" s="2">
        <f>K22/K23</f>
        <v>0.8292194797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6" t="s">
        <v>9</v>
      </c>
      <c r="B26" s="6" t="s">
        <v>15</v>
      </c>
      <c r="C26" s="6" t="s">
        <v>35</v>
      </c>
      <c r="D26" s="6" t="s">
        <v>16</v>
      </c>
      <c r="E26" s="7">
        <v>2022.0</v>
      </c>
      <c r="F26" s="6" t="s">
        <v>28</v>
      </c>
      <c r="G26" s="6" t="s">
        <v>22</v>
      </c>
      <c r="H26" s="7">
        <v>15.0</v>
      </c>
      <c r="I26" s="2"/>
      <c r="J26" s="2"/>
      <c r="K26" s="2"/>
      <c r="L26" s="2">
        <f>sum(L14,L19,L20)/L23</f>
        <v>0.7877927608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6" t="s">
        <v>9</v>
      </c>
      <c r="B27" s="6" t="s">
        <v>34</v>
      </c>
      <c r="C27" s="6" t="s">
        <v>35</v>
      </c>
      <c r="D27" s="6" t="s">
        <v>16</v>
      </c>
      <c r="E27" s="7">
        <v>2022.0</v>
      </c>
      <c r="F27" s="6" t="s">
        <v>38</v>
      </c>
      <c r="G27" s="6" t="s">
        <v>22</v>
      </c>
      <c r="H27" s="7">
        <v>15.0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6" t="s">
        <v>8</v>
      </c>
      <c r="B28" s="6" t="s">
        <v>15</v>
      </c>
      <c r="C28" s="6" t="s">
        <v>31</v>
      </c>
      <c r="D28" s="6" t="s">
        <v>12</v>
      </c>
      <c r="E28" s="7">
        <v>2021.0</v>
      </c>
      <c r="F28" s="6" t="s">
        <v>27</v>
      </c>
      <c r="G28" s="6" t="s">
        <v>32</v>
      </c>
      <c r="H28" s="7">
        <v>15.0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6" t="s">
        <v>8</v>
      </c>
      <c r="B29" s="6" t="s">
        <v>34</v>
      </c>
      <c r="C29" s="6" t="s">
        <v>11</v>
      </c>
      <c r="D29" s="6" t="s">
        <v>12</v>
      </c>
      <c r="E29" s="7">
        <v>2019.0</v>
      </c>
      <c r="F29" s="6" t="s">
        <v>13</v>
      </c>
      <c r="G29" s="6" t="s">
        <v>18</v>
      </c>
      <c r="H29" s="7">
        <v>16.0</v>
      </c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6" t="s">
        <v>8</v>
      </c>
      <c r="B30" s="6" t="s">
        <v>15</v>
      </c>
      <c r="C30" s="6" t="s">
        <v>31</v>
      </c>
      <c r="D30" s="6" t="s">
        <v>16</v>
      </c>
      <c r="E30" s="7">
        <v>2021.0</v>
      </c>
      <c r="F30" s="6" t="s">
        <v>27</v>
      </c>
      <c r="G30" s="6" t="s">
        <v>32</v>
      </c>
      <c r="H30" s="7">
        <v>18.0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6" t="s">
        <v>9</v>
      </c>
      <c r="B31" s="6" t="s">
        <v>15</v>
      </c>
      <c r="C31" s="6" t="s">
        <v>35</v>
      </c>
      <c r="D31" s="6" t="s">
        <v>16</v>
      </c>
      <c r="E31" s="7">
        <v>2023.0</v>
      </c>
      <c r="F31" s="6" t="s">
        <v>28</v>
      </c>
      <c r="G31" s="6" t="s">
        <v>22</v>
      </c>
      <c r="H31" s="7">
        <v>21.0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6" t="s">
        <v>8</v>
      </c>
      <c r="B32" s="6" t="s">
        <v>34</v>
      </c>
      <c r="C32" s="6" t="s">
        <v>49</v>
      </c>
      <c r="D32" s="6" t="s">
        <v>12</v>
      </c>
      <c r="E32" s="7">
        <v>2020.0</v>
      </c>
      <c r="F32" s="6" t="s">
        <v>30</v>
      </c>
      <c r="G32" s="6" t="s">
        <v>18</v>
      </c>
      <c r="H32" s="7">
        <v>22.0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6" t="s">
        <v>8</v>
      </c>
      <c r="B33" s="6" t="s">
        <v>60</v>
      </c>
      <c r="C33" s="6" t="s">
        <v>61</v>
      </c>
      <c r="D33" s="6" t="s">
        <v>12</v>
      </c>
      <c r="E33" s="7">
        <v>2019.0</v>
      </c>
      <c r="F33" s="6" t="s">
        <v>39</v>
      </c>
      <c r="G33" s="6" t="s">
        <v>18</v>
      </c>
      <c r="H33" s="7">
        <v>22.0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6" t="s">
        <v>9</v>
      </c>
      <c r="B34" s="6" t="s">
        <v>62</v>
      </c>
      <c r="C34" s="6" t="s">
        <v>63</v>
      </c>
      <c r="D34" s="6" t="s">
        <v>16</v>
      </c>
      <c r="E34" s="7">
        <v>2023.0</v>
      </c>
      <c r="F34" s="6" t="s">
        <v>41</v>
      </c>
      <c r="G34" s="6" t="s">
        <v>18</v>
      </c>
      <c r="H34" s="7">
        <v>25.0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6" t="s">
        <v>9</v>
      </c>
      <c r="B35" s="6" t="s">
        <v>54</v>
      </c>
      <c r="C35" s="6" t="s">
        <v>55</v>
      </c>
      <c r="D35" s="6" t="s">
        <v>12</v>
      </c>
      <c r="E35" s="7">
        <v>2022.0</v>
      </c>
      <c r="F35" s="6" t="s">
        <v>33</v>
      </c>
      <c r="G35" s="6" t="s">
        <v>14</v>
      </c>
      <c r="H35" s="7">
        <v>26.0</v>
      </c>
      <c r="I35" s="2"/>
      <c r="J35" s="2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6" t="s">
        <v>9</v>
      </c>
      <c r="B36" s="6" t="s">
        <v>62</v>
      </c>
      <c r="C36" s="6" t="s">
        <v>63</v>
      </c>
      <c r="D36" s="6" t="s">
        <v>16</v>
      </c>
      <c r="E36" s="7">
        <v>2022.0</v>
      </c>
      <c r="F36" s="6" t="s">
        <v>44</v>
      </c>
      <c r="G36" s="6" t="s">
        <v>18</v>
      </c>
      <c r="H36" s="7">
        <v>28.0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6" t="s">
        <v>9</v>
      </c>
      <c r="B37" s="6" t="s">
        <v>34</v>
      </c>
      <c r="C37" s="6" t="s">
        <v>35</v>
      </c>
      <c r="D37" s="6" t="s">
        <v>16</v>
      </c>
      <c r="E37" s="7">
        <v>2023.0</v>
      </c>
      <c r="F37" s="6" t="s">
        <v>38</v>
      </c>
      <c r="G37" s="6" t="s">
        <v>22</v>
      </c>
      <c r="H37" s="7">
        <v>30.0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6" t="s">
        <v>9</v>
      </c>
      <c r="B38" s="6" t="s">
        <v>54</v>
      </c>
      <c r="C38" s="6" t="s">
        <v>55</v>
      </c>
      <c r="D38" s="6" t="s">
        <v>12</v>
      </c>
      <c r="E38" s="7">
        <v>2021.0</v>
      </c>
      <c r="F38" s="6" t="s">
        <v>33</v>
      </c>
      <c r="G38" s="6" t="s">
        <v>14</v>
      </c>
      <c r="H38" s="7">
        <v>34.0</v>
      </c>
      <c r="I38" s="2"/>
      <c r="J38" s="2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6" t="s">
        <v>8</v>
      </c>
      <c r="B39" s="6" t="s">
        <v>15</v>
      </c>
      <c r="C39" s="6" t="s">
        <v>23</v>
      </c>
      <c r="D39" s="6" t="s">
        <v>12</v>
      </c>
      <c r="E39" s="7">
        <v>2019.0</v>
      </c>
      <c r="F39" s="6" t="s">
        <v>47</v>
      </c>
      <c r="G39" s="6" t="s">
        <v>22</v>
      </c>
      <c r="H39" s="7">
        <v>37.0</v>
      </c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6" t="s">
        <v>9</v>
      </c>
      <c r="B40" s="6" t="s">
        <v>62</v>
      </c>
      <c r="C40" s="6" t="s">
        <v>63</v>
      </c>
      <c r="D40" s="6" t="s">
        <v>12</v>
      </c>
      <c r="E40" s="7">
        <v>2021.0</v>
      </c>
      <c r="F40" s="6" t="s">
        <v>51</v>
      </c>
      <c r="G40" s="6" t="s">
        <v>18</v>
      </c>
      <c r="H40" s="7">
        <v>44.0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6" t="s">
        <v>9</v>
      </c>
      <c r="B41" s="6" t="s">
        <v>48</v>
      </c>
      <c r="C41" s="6" t="s">
        <v>63</v>
      </c>
      <c r="D41" s="6" t="s">
        <v>16</v>
      </c>
      <c r="E41" s="7">
        <v>2023.0</v>
      </c>
      <c r="F41" s="6" t="s">
        <v>44</v>
      </c>
      <c r="G41" s="6" t="s">
        <v>18</v>
      </c>
      <c r="H41" s="7">
        <v>48.0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6" t="s">
        <v>9</v>
      </c>
      <c r="B42" s="6" t="s">
        <v>62</v>
      </c>
      <c r="C42" s="6" t="s">
        <v>63</v>
      </c>
      <c r="D42" s="6" t="s">
        <v>12</v>
      </c>
      <c r="E42" s="7">
        <v>2023.0</v>
      </c>
      <c r="F42" s="6" t="s">
        <v>51</v>
      </c>
      <c r="G42" s="6" t="s">
        <v>18</v>
      </c>
      <c r="H42" s="7">
        <v>48.0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6" t="s">
        <v>9</v>
      </c>
      <c r="B43" s="6" t="s">
        <v>15</v>
      </c>
      <c r="C43" s="6" t="s">
        <v>35</v>
      </c>
      <c r="D43" s="6" t="s">
        <v>12</v>
      </c>
      <c r="E43" s="7">
        <v>2022.0</v>
      </c>
      <c r="F43" s="6" t="s">
        <v>38</v>
      </c>
      <c r="G43" s="6" t="s">
        <v>22</v>
      </c>
      <c r="H43" s="7">
        <v>55.0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6" t="s">
        <v>9</v>
      </c>
      <c r="B44" s="6" t="s">
        <v>15</v>
      </c>
      <c r="C44" s="6" t="s">
        <v>35</v>
      </c>
      <c r="D44" s="6" t="s">
        <v>12</v>
      </c>
      <c r="E44" s="7">
        <v>2023.0</v>
      </c>
      <c r="F44" s="6" t="s">
        <v>38</v>
      </c>
      <c r="G44" s="6" t="s">
        <v>22</v>
      </c>
      <c r="H44" s="7">
        <v>64.0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9" t="s">
        <v>9</v>
      </c>
      <c r="B45" s="9" t="s">
        <v>62</v>
      </c>
      <c r="C45" s="9" t="s">
        <v>63</v>
      </c>
      <c r="D45" s="9" t="s">
        <v>16</v>
      </c>
      <c r="E45" s="10">
        <v>2022.0</v>
      </c>
      <c r="F45" s="9" t="s">
        <v>52</v>
      </c>
      <c r="G45" s="9" t="s">
        <v>18</v>
      </c>
      <c r="H45" s="10">
        <v>70.0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6" t="s">
        <v>9</v>
      </c>
      <c r="B46" s="6" t="s">
        <v>48</v>
      </c>
      <c r="C46" s="6" t="s">
        <v>63</v>
      </c>
      <c r="D46" s="6" t="s">
        <v>16</v>
      </c>
      <c r="E46" s="7">
        <v>2022.0</v>
      </c>
      <c r="F46" s="6" t="s">
        <v>53</v>
      </c>
      <c r="G46" s="6" t="s">
        <v>18</v>
      </c>
      <c r="H46" s="7">
        <v>74.0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9" t="s">
        <v>9</v>
      </c>
      <c r="B47" s="9" t="s">
        <v>48</v>
      </c>
      <c r="C47" s="9" t="s">
        <v>63</v>
      </c>
      <c r="D47" s="9" t="s">
        <v>16</v>
      </c>
      <c r="E47" s="10">
        <v>2023.0</v>
      </c>
      <c r="F47" s="9" t="s">
        <v>52</v>
      </c>
      <c r="G47" s="9" t="s">
        <v>18</v>
      </c>
      <c r="H47" s="10">
        <v>79.0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9" t="s">
        <v>9</v>
      </c>
      <c r="B48" s="9" t="s">
        <v>62</v>
      </c>
      <c r="C48" s="9" t="s">
        <v>63</v>
      </c>
      <c r="D48" s="9" t="s">
        <v>12</v>
      </c>
      <c r="E48" s="10">
        <v>2023.0</v>
      </c>
      <c r="F48" s="9" t="s">
        <v>52</v>
      </c>
      <c r="G48" s="9" t="s">
        <v>18</v>
      </c>
      <c r="H48" s="10">
        <v>79.0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9" t="s">
        <v>9</v>
      </c>
      <c r="B49" s="9" t="s">
        <v>48</v>
      </c>
      <c r="C49" s="9" t="s">
        <v>63</v>
      </c>
      <c r="D49" s="9" t="s">
        <v>16</v>
      </c>
      <c r="E49" s="10">
        <v>2022.0</v>
      </c>
      <c r="F49" s="9" t="s">
        <v>52</v>
      </c>
      <c r="G49" s="9" t="s">
        <v>18</v>
      </c>
      <c r="H49" s="10">
        <v>80.0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9" t="s">
        <v>9</v>
      </c>
      <c r="B50" s="9" t="s">
        <v>48</v>
      </c>
      <c r="C50" s="9" t="s">
        <v>63</v>
      </c>
      <c r="D50" s="9" t="s">
        <v>12</v>
      </c>
      <c r="E50" s="10">
        <v>2022.0</v>
      </c>
      <c r="F50" s="9" t="s">
        <v>52</v>
      </c>
      <c r="G50" s="9" t="s">
        <v>18</v>
      </c>
      <c r="H50" s="10">
        <v>82.0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9" t="s">
        <v>9</v>
      </c>
      <c r="B51" s="9" t="s">
        <v>62</v>
      </c>
      <c r="C51" s="9" t="s">
        <v>63</v>
      </c>
      <c r="D51" s="9" t="s">
        <v>16</v>
      </c>
      <c r="E51" s="10">
        <v>2023.0</v>
      </c>
      <c r="F51" s="9" t="s">
        <v>52</v>
      </c>
      <c r="G51" s="9" t="s">
        <v>18</v>
      </c>
      <c r="H51" s="10">
        <v>89.0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6" t="s">
        <v>9</v>
      </c>
      <c r="B52" s="6" t="s">
        <v>62</v>
      </c>
      <c r="C52" s="6" t="s">
        <v>63</v>
      </c>
      <c r="D52" s="6" t="s">
        <v>12</v>
      </c>
      <c r="E52" s="7">
        <v>2022.0</v>
      </c>
      <c r="F52" s="6" t="s">
        <v>51</v>
      </c>
      <c r="G52" s="6" t="s">
        <v>18</v>
      </c>
      <c r="H52" s="7">
        <v>112.0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6" t="s">
        <v>9</v>
      </c>
      <c r="B53" s="6" t="s">
        <v>62</v>
      </c>
      <c r="C53" s="6" t="s">
        <v>63</v>
      </c>
      <c r="D53" s="6" t="s">
        <v>16</v>
      </c>
      <c r="E53" s="7">
        <v>2022.0</v>
      </c>
      <c r="F53" s="6" t="s">
        <v>51</v>
      </c>
      <c r="G53" s="6" t="s">
        <v>18</v>
      </c>
      <c r="H53" s="7">
        <v>124.0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9" t="s">
        <v>9</v>
      </c>
      <c r="B54" s="9" t="s">
        <v>62</v>
      </c>
      <c r="C54" s="9" t="s">
        <v>63</v>
      </c>
      <c r="D54" s="9" t="s">
        <v>12</v>
      </c>
      <c r="E54" s="10">
        <v>2021.0</v>
      </c>
      <c r="F54" s="9" t="s">
        <v>52</v>
      </c>
      <c r="G54" s="9" t="s">
        <v>18</v>
      </c>
      <c r="H54" s="10">
        <v>139.0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1" t="s">
        <v>8</v>
      </c>
      <c r="B55" s="11" t="s">
        <v>34</v>
      </c>
      <c r="C55" s="11" t="s">
        <v>49</v>
      </c>
      <c r="D55" s="11" t="s">
        <v>12</v>
      </c>
      <c r="E55" s="12">
        <v>2019.0</v>
      </c>
      <c r="F55" s="11" t="s">
        <v>56</v>
      </c>
      <c r="G55" s="11" t="s">
        <v>18</v>
      </c>
      <c r="H55" s="12">
        <v>148.0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1" t="s">
        <v>8</v>
      </c>
      <c r="B56" s="11" t="s">
        <v>15</v>
      </c>
      <c r="C56" s="11" t="s">
        <v>49</v>
      </c>
      <c r="D56" s="11" t="s">
        <v>16</v>
      </c>
      <c r="E56" s="12">
        <v>2020.0</v>
      </c>
      <c r="F56" s="11" t="s">
        <v>56</v>
      </c>
      <c r="G56" s="11" t="s">
        <v>22</v>
      </c>
      <c r="H56" s="12">
        <v>172.0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1" t="s">
        <v>8</v>
      </c>
      <c r="B57" s="11" t="s">
        <v>34</v>
      </c>
      <c r="C57" s="11" t="s">
        <v>49</v>
      </c>
      <c r="D57" s="11" t="s">
        <v>16</v>
      </c>
      <c r="E57" s="12">
        <v>2020.0</v>
      </c>
      <c r="F57" s="11" t="s">
        <v>56</v>
      </c>
      <c r="G57" s="11" t="s">
        <v>18</v>
      </c>
      <c r="H57" s="12">
        <v>266.0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1" t="s">
        <v>8</v>
      </c>
      <c r="B58" s="11" t="s">
        <v>34</v>
      </c>
      <c r="C58" s="11" t="s">
        <v>49</v>
      </c>
      <c r="D58" s="11" t="s">
        <v>16</v>
      </c>
      <c r="E58" s="12">
        <v>2019.0</v>
      </c>
      <c r="F58" s="11" t="s">
        <v>56</v>
      </c>
      <c r="G58" s="11" t="s">
        <v>18</v>
      </c>
      <c r="H58" s="12">
        <v>291.0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1" t="s">
        <v>8</v>
      </c>
      <c r="B59" s="11" t="s">
        <v>15</v>
      </c>
      <c r="C59" s="11" t="s">
        <v>49</v>
      </c>
      <c r="D59" s="11" t="s">
        <v>12</v>
      </c>
      <c r="E59" s="12">
        <v>2019.0</v>
      </c>
      <c r="F59" s="11" t="s">
        <v>56</v>
      </c>
      <c r="G59" s="11" t="s">
        <v>22</v>
      </c>
      <c r="H59" s="12">
        <v>366.0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3"/>
      <c r="B60" s="13"/>
      <c r="C60" s="13"/>
      <c r="D60" s="13"/>
      <c r="E60" s="13"/>
      <c r="F60" s="13"/>
      <c r="G60" s="14"/>
      <c r="H60" s="1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5"/>
      <c r="B61" s="15"/>
      <c r="C61" s="15"/>
      <c r="D61" s="15"/>
      <c r="E61" s="15"/>
      <c r="F61" s="1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5"/>
      <c r="B62" s="15"/>
      <c r="C62" s="15"/>
      <c r="D62" s="15"/>
      <c r="E62" s="15"/>
      <c r="F62" s="1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5"/>
      <c r="B63" s="15"/>
      <c r="C63" s="15"/>
      <c r="D63" s="15"/>
      <c r="E63" s="15"/>
      <c r="F63" s="1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5"/>
      <c r="B64" s="15"/>
      <c r="C64" s="15"/>
      <c r="D64" s="15"/>
      <c r="E64" s="15"/>
      <c r="F64" s="1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5"/>
      <c r="B65" s="15"/>
      <c r="C65" s="15"/>
      <c r="D65" s="15"/>
      <c r="E65" s="15"/>
      <c r="F65" s="1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5"/>
      <c r="B66" s="15"/>
      <c r="C66" s="15"/>
      <c r="D66" s="15"/>
      <c r="E66" s="15"/>
      <c r="F66" s="1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5"/>
      <c r="B67" s="15"/>
      <c r="C67" s="15"/>
      <c r="D67" s="15"/>
      <c r="E67" s="15"/>
      <c r="F67" s="1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5"/>
      <c r="B68" s="15"/>
      <c r="C68" s="15"/>
      <c r="D68" s="15"/>
      <c r="E68" s="15"/>
      <c r="F68" s="1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5"/>
      <c r="B69" s="15"/>
      <c r="C69" s="15"/>
      <c r="D69" s="15"/>
      <c r="E69" s="15"/>
      <c r="F69" s="1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5"/>
      <c r="B70" s="15"/>
      <c r="C70" s="15"/>
      <c r="D70" s="15"/>
      <c r="E70" s="15"/>
      <c r="F70" s="1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5"/>
      <c r="B71" s="15"/>
      <c r="C71" s="15"/>
      <c r="D71" s="15"/>
      <c r="E71" s="15"/>
      <c r="F71" s="1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5"/>
      <c r="B72" s="15"/>
      <c r="C72" s="15"/>
      <c r="D72" s="15"/>
      <c r="E72" s="15"/>
      <c r="F72" s="1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5"/>
      <c r="B73" s="15"/>
      <c r="C73" s="15"/>
      <c r="D73" s="15"/>
      <c r="E73" s="15"/>
      <c r="F73" s="1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5"/>
      <c r="B74" s="15"/>
      <c r="C74" s="15"/>
      <c r="D74" s="15"/>
      <c r="E74" s="15"/>
      <c r="F74" s="1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5"/>
      <c r="B75" s="15"/>
      <c r="C75" s="15"/>
      <c r="D75" s="15"/>
      <c r="E75" s="15"/>
      <c r="F75" s="1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5"/>
      <c r="B76" s="15"/>
      <c r="C76" s="15"/>
      <c r="D76" s="15"/>
      <c r="E76" s="15"/>
      <c r="F76" s="1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5"/>
      <c r="B77" s="15"/>
      <c r="C77" s="15"/>
      <c r="D77" s="15"/>
      <c r="E77" s="15"/>
      <c r="F77" s="1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5"/>
      <c r="B78" s="15"/>
      <c r="C78" s="15"/>
      <c r="D78" s="15"/>
      <c r="E78" s="15"/>
      <c r="F78" s="1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5"/>
      <c r="B79" s="15"/>
      <c r="C79" s="15"/>
      <c r="D79" s="15"/>
      <c r="E79" s="15"/>
      <c r="F79" s="1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5"/>
      <c r="B80" s="15"/>
      <c r="C80" s="15"/>
      <c r="D80" s="15"/>
      <c r="E80" s="15"/>
      <c r="F80" s="1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5"/>
      <c r="B81" s="15"/>
      <c r="C81" s="15"/>
      <c r="D81" s="15"/>
      <c r="E81" s="15"/>
      <c r="F81" s="1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5"/>
      <c r="B82" s="15"/>
      <c r="C82" s="15"/>
      <c r="D82" s="15"/>
      <c r="E82" s="15"/>
      <c r="F82" s="1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5"/>
      <c r="B83" s="15"/>
      <c r="C83" s="15"/>
      <c r="D83" s="15"/>
      <c r="E83" s="15"/>
      <c r="F83" s="1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5"/>
      <c r="B84" s="15"/>
      <c r="C84" s="15"/>
      <c r="D84" s="15"/>
      <c r="E84" s="15"/>
      <c r="F84" s="1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5"/>
      <c r="B85" s="15"/>
      <c r="C85" s="15"/>
      <c r="D85" s="15"/>
      <c r="E85" s="15"/>
      <c r="F85" s="1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5"/>
      <c r="B86" s="15"/>
      <c r="C86" s="15"/>
      <c r="D86" s="15"/>
      <c r="E86" s="15"/>
      <c r="F86" s="1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5"/>
      <c r="B87" s="15"/>
      <c r="C87" s="15"/>
      <c r="D87" s="15"/>
      <c r="E87" s="15"/>
      <c r="F87" s="1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5"/>
      <c r="B88" s="15"/>
      <c r="C88" s="15"/>
      <c r="D88" s="15"/>
      <c r="E88" s="15"/>
      <c r="F88" s="1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5"/>
      <c r="B89" s="15"/>
      <c r="C89" s="15"/>
      <c r="D89" s="15"/>
      <c r="E89" s="15"/>
      <c r="F89" s="1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5"/>
      <c r="B90" s="15"/>
      <c r="C90" s="15"/>
      <c r="D90" s="15"/>
      <c r="E90" s="15"/>
      <c r="F90" s="1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5"/>
      <c r="B91" s="15"/>
      <c r="C91" s="15"/>
      <c r="D91" s="15"/>
      <c r="E91" s="15"/>
      <c r="F91" s="1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5"/>
      <c r="B92" s="15"/>
      <c r="C92" s="15"/>
      <c r="D92" s="15"/>
      <c r="E92" s="15"/>
      <c r="F92" s="1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5"/>
      <c r="B93" s="15"/>
      <c r="C93" s="15"/>
      <c r="D93" s="15"/>
      <c r="E93" s="15"/>
      <c r="F93" s="1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5"/>
      <c r="B94" s="15"/>
      <c r="C94" s="15"/>
      <c r="D94" s="15"/>
      <c r="E94" s="15"/>
      <c r="F94" s="1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5"/>
      <c r="B95" s="15"/>
      <c r="C95" s="15"/>
      <c r="D95" s="15"/>
      <c r="E95" s="15"/>
      <c r="F95" s="1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5"/>
      <c r="B96" s="15"/>
      <c r="C96" s="15"/>
      <c r="D96" s="15"/>
      <c r="E96" s="15"/>
      <c r="F96" s="1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5"/>
      <c r="B97" s="15"/>
      <c r="C97" s="15"/>
      <c r="D97" s="15"/>
      <c r="E97" s="15"/>
      <c r="F97" s="1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5"/>
      <c r="B98" s="15"/>
      <c r="C98" s="15"/>
      <c r="D98" s="15"/>
      <c r="E98" s="15"/>
      <c r="F98" s="1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5"/>
      <c r="B99" s="15"/>
      <c r="C99" s="15"/>
      <c r="D99" s="15"/>
      <c r="E99" s="15"/>
      <c r="F99" s="1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5"/>
      <c r="B100" s="15"/>
      <c r="C100" s="15"/>
      <c r="D100" s="15"/>
      <c r="E100" s="15"/>
      <c r="F100" s="1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5"/>
      <c r="B101" s="15"/>
      <c r="C101" s="15"/>
      <c r="D101" s="15"/>
      <c r="E101" s="15"/>
      <c r="F101" s="1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5"/>
      <c r="B102" s="15"/>
      <c r="C102" s="15"/>
      <c r="D102" s="15"/>
      <c r="E102" s="15"/>
      <c r="F102" s="1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5"/>
      <c r="B103" s="15"/>
      <c r="C103" s="15"/>
      <c r="D103" s="15"/>
      <c r="E103" s="15"/>
      <c r="F103" s="1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5"/>
      <c r="B104" s="15"/>
      <c r="C104" s="15"/>
      <c r="D104" s="15"/>
      <c r="E104" s="15"/>
      <c r="F104" s="1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5"/>
      <c r="B105" s="15"/>
      <c r="C105" s="15"/>
      <c r="D105" s="15"/>
      <c r="E105" s="15"/>
      <c r="F105" s="1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5"/>
      <c r="B106" s="15"/>
      <c r="C106" s="15"/>
      <c r="D106" s="15"/>
      <c r="E106" s="15"/>
      <c r="F106" s="1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5"/>
      <c r="B107" s="15"/>
      <c r="C107" s="15"/>
      <c r="D107" s="15"/>
      <c r="E107" s="15"/>
      <c r="F107" s="1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5"/>
      <c r="B108" s="15"/>
      <c r="C108" s="15"/>
      <c r="D108" s="15"/>
      <c r="E108" s="15"/>
      <c r="F108" s="1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5"/>
      <c r="B109" s="15"/>
      <c r="C109" s="15"/>
      <c r="D109" s="15"/>
      <c r="E109" s="15"/>
      <c r="F109" s="1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5"/>
      <c r="B110" s="15"/>
      <c r="C110" s="15"/>
      <c r="D110" s="15"/>
      <c r="E110" s="15"/>
      <c r="F110" s="1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5"/>
      <c r="B111" s="15"/>
      <c r="C111" s="15"/>
      <c r="D111" s="15"/>
      <c r="E111" s="15"/>
      <c r="F111" s="1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5"/>
      <c r="B112" s="15"/>
      <c r="C112" s="15"/>
      <c r="D112" s="15"/>
      <c r="E112" s="15"/>
      <c r="F112" s="1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5"/>
      <c r="B113" s="15"/>
      <c r="C113" s="15"/>
      <c r="D113" s="15"/>
      <c r="E113" s="15"/>
      <c r="F113" s="1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5"/>
      <c r="B114" s="15"/>
      <c r="C114" s="15"/>
      <c r="D114" s="15"/>
      <c r="E114" s="15"/>
      <c r="F114" s="1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5"/>
      <c r="B115" s="15"/>
      <c r="C115" s="15"/>
      <c r="D115" s="15"/>
      <c r="E115" s="15"/>
      <c r="F115" s="1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5"/>
      <c r="B116" s="15"/>
      <c r="C116" s="15"/>
      <c r="D116" s="15"/>
      <c r="E116" s="15"/>
      <c r="F116" s="1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5"/>
      <c r="B117" s="15"/>
      <c r="C117" s="15"/>
      <c r="D117" s="15"/>
      <c r="E117" s="15"/>
      <c r="F117" s="1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5"/>
      <c r="B118" s="15"/>
      <c r="C118" s="15"/>
      <c r="D118" s="15"/>
      <c r="E118" s="15"/>
      <c r="F118" s="1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5"/>
      <c r="B119" s="15"/>
      <c r="C119" s="15"/>
      <c r="D119" s="15"/>
      <c r="E119" s="15"/>
      <c r="F119" s="1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5"/>
      <c r="B120" s="15"/>
      <c r="C120" s="15"/>
      <c r="D120" s="15"/>
      <c r="E120" s="15"/>
      <c r="F120" s="1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5"/>
      <c r="B121" s="15"/>
      <c r="C121" s="15"/>
      <c r="D121" s="15"/>
      <c r="E121" s="15"/>
      <c r="F121" s="1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5"/>
      <c r="B122" s="15"/>
      <c r="C122" s="15"/>
      <c r="D122" s="15"/>
      <c r="E122" s="15"/>
      <c r="F122" s="1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5"/>
      <c r="B123" s="15"/>
      <c r="C123" s="15"/>
      <c r="D123" s="15"/>
      <c r="E123" s="15"/>
      <c r="F123" s="1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5"/>
      <c r="B124" s="15"/>
      <c r="C124" s="15"/>
      <c r="D124" s="15"/>
      <c r="E124" s="15"/>
      <c r="F124" s="1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5"/>
      <c r="B125" s="15"/>
      <c r="C125" s="15"/>
      <c r="D125" s="15"/>
      <c r="E125" s="15"/>
      <c r="F125" s="1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5"/>
      <c r="B126" s="15"/>
      <c r="C126" s="15"/>
      <c r="D126" s="15"/>
      <c r="E126" s="15"/>
      <c r="F126" s="1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5"/>
      <c r="B127" s="15"/>
      <c r="C127" s="15"/>
      <c r="D127" s="15"/>
      <c r="E127" s="15"/>
      <c r="F127" s="1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5"/>
      <c r="B128" s="15"/>
      <c r="C128" s="15"/>
      <c r="D128" s="15"/>
      <c r="E128" s="15"/>
      <c r="F128" s="1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5"/>
      <c r="B129" s="15"/>
      <c r="C129" s="15"/>
      <c r="D129" s="15"/>
      <c r="E129" s="15"/>
      <c r="F129" s="1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5"/>
      <c r="B130" s="15"/>
      <c r="C130" s="15"/>
      <c r="D130" s="15"/>
      <c r="E130" s="15"/>
      <c r="F130" s="1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5"/>
      <c r="B131" s="15"/>
      <c r="C131" s="15"/>
      <c r="D131" s="15"/>
      <c r="E131" s="15"/>
      <c r="F131" s="1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5"/>
      <c r="B132" s="15"/>
      <c r="C132" s="15"/>
      <c r="D132" s="15"/>
      <c r="E132" s="15"/>
      <c r="F132" s="1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5"/>
      <c r="B133" s="15"/>
      <c r="C133" s="15"/>
      <c r="D133" s="15"/>
      <c r="E133" s="15"/>
      <c r="F133" s="1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5"/>
      <c r="B134" s="15"/>
      <c r="C134" s="15"/>
      <c r="D134" s="15"/>
      <c r="E134" s="15"/>
      <c r="F134" s="1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5"/>
      <c r="B135" s="15"/>
      <c r="C135" s="15"/>
      <c r="D135" s="15"/>
      <c r="E135" s="15"/>
      <c r="F135" s="1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5"/>
      <c r="B136" s="15"/>
      <c r="C136" s="15"/>
      <c r="D136" s="15"/>
      <c r="E136" s="15"/>
      <c r="F136" s="1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5"/>
      <c r="B137" s="15"/>
      <c r="C137" s="15"/>
      <c r="D137" s="15"/>
      <c r="E137" s="15"/>
      <c r="F137" s="1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5"/>
      <c r="B138" s="15"/>
      <c r="C138" s="15"/>
      <c r="D138" s="15"/>
      <c r="E138" s="15"/>
      <c r="F138" s="1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5"/>
      <c r="B139" s="15"/>
      <c r="C139" s="15"/>
      <c r="D139" s="15"/>
      <c r="E139" s="15"/>
      <c r="F139" s="1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5"/>
      <c r="B140" s="15"/>
      <c r="C140" s="15"/>
      <c r="D140" s="15"/>
      <c r="E140" s="15"/>
      <c r="F140" s="1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5"/>
      <c r="B141" s="15"/>
      <c r="C141" s="15"/>
      <c r="D141" s="15"/>
      <c r="E141" s="15"/>
      <c r="F141" s="1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5"/>
      <c r="B142" s="15"/>
      <c r="C142" s="15"/>
      <c r="D142" s="15"/>
      <c r="E142" s="15"/>
      <c r="F142" s="1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5"/>
      <c r="B143" s="15"/>
      <c r="C143" s="15"/>
      <c r="D143" s="15"/>
      <c r="E143" s="15"/>
      <c r="F143" s="1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5"/>
      <c r="B144" s="15"/>
      <c r="C144" s="15"/>
      <c r="D144" s="15"/>
      <c r="E144" s="15"/>
      <c r="F144" s="1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5"/>
      <c r="B145" s="15"/>
      <c r="C145" s="15"/>
      <c r="D145" s="15"/>
      <c r="E145" s="15"/>
      <c r="F145" s="1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5"/>
      <c r="B146" s="15"/>
      <c r="C146" s="15"/>
      <c r="D146" s="15"/>
      <c r="E146" s="15"/>
      <c r="F146" s="1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5"/>
      <c r="B147" s="15"/>
      <c r="C147" s="15"/>
      <c r="D147" s="15"/>
      <c r="E147" s="15"/>
      <c r="F147" s="1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5"/>
      <c r="B148" s="15"/>
      <c r="C148" s="15"/>
      <c r="D148" s="15"/>
      <c r="E148" s="15"/>
      <c r="F148" s="1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5"/>
      <c r="B149" s="15"/>
      <c r="C149" s="15"/>
      <c r="D149" s="15"/>
      <c r="E149" s="15"/>
      <c r="F149" s="1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5"/>
      <c r="B150" s="15"/>
      <c r="C150" s="15"/>
      <c r="D150" s="15"/>
      <c r="E150" s="15"/>
      <c r="F150" s="1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5"/>
      <c r="B151" s="15"/>
      <c r="C151" s="15"/>
      <c r="D151" s="15"/>
      <c r="E151" s="15"/>
      <c r="F151" s="1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15"/>
      <c r="B152" s="15"/>
      <c r="C152" s="15"/>
      <c r="D152" s="15"/>
      <c r="E152" s="15"/>
      <c r="F152" s="1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5"/>
      <c r="B153" s="15"/>
      <c r="C153" s="15"/>
      <c r="D153" s="15"/>
      <c r="E153" s="15"/>
      <c r="F153" s="1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5"/>
      <c r="B154" s="15"/>
      <c r="C154" s="15"/>
      <c r="D154" s="15"/>
      <c r="E154" s="15"/>
      <c r="F154" s="1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5"/>
      <c r="B155" s="15"/>
      <c r="C155" s="15"/>
      <c r="D155" s="15"/>
      <c r="E155" s="15"/>
      <c r="F155" s="1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5"/>
      <c r="B156" s="15"/>
      <c r="C156" s="15"/>
      <c r="D156" s="15"/>
      <c r="E156" s="15"/>
      <c r="F156" s="1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5"/>
      <c r="B157" s="15"/>
      <c r="C157" s="15"/>
      <c r="D157" s="15"/>
      <c r="E157" s="15"/>
      <c r="F157" s="1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5"/>
      <c r="B158" s="15"/>
      <c r="C158" s="15"/>
      <c r="D158" s="15"/>
      <c r="E158" s="15"/>
      <c r="F158" s="1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5"/>
      <c r="B159" s="15"/>
      <c r="C159" s="15"/>
      <c r="D159" s="15"/>
      <c r="E159" s="15"/>
      <c r="F159" s="1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5"/>
      <c r="B160" s="15"/>
      <c r="C160" s="15"/>
      <c r="D160" s="15"/>
      <c r="E160" s="15"/>
      <c r="F160" s="1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5"/>
      <c r="B161" s="15"/>
      <c r="C161" s="15"/>
      <c r="D161" s="15"/>
      <c r="E161" s="15"/>
      <c r="F161" s="1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5"/>
      <c r="B162" s="15"/>
      <c r="C162" s="15"/>
      <c r="D162" s="15"/>
      <c r="E162" s="15"/>
      <c r="F162" s="1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5"/>
      <c r="B163" s="15"/>
      <c r="C163" s="15"/>
      <c r="D163" s="15"/>
      <c r="E163" s="15"/>
      <c r="F163" s="1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5"/>
      <c r="B164" s="15"/>
      <c r="C164" s="15"/>
      <c r="D164" s="15"/>
      <c r="E164" s="15"/>
      <c r="F164" s="1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5"/>
      <c r="B165" s="15"/>
      <c r="C165" s="15"/>
      <c r="D165" s="15"/>
      <c r="E165" s="15"/>
      <c r="F165" s="1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5"/>
      <c r="B166" s="15"/>
      <c r="C166" s="15"/>
      <c r="D166" s="15"/>
      <c r="E166" s="15"/>
      <c r="F166" s="1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5"/>
      <c r="B167" s="15"/>
      <c r="C167" s="15"/>
      <c r="D167" s="15"/>
      <c r="E167" s="15"/>
      <c r="F167" s="1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5"/>
      <c r="B168" s="15"/>
      <c r="C168" s="15"/>
      <c r="D168" s="15"/>
      <c r="E168" s="15"/>
      <c r="F168" s="1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5"/>
      <c r="B169" s="15"/>
      <c r="C169" s="15"/>
      <c r="D169" s="15"/>
      <c r="E169" s="15"/>
      <c r="F169" s="1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5"/>
      <c r="B170" s="15"/>
      <c r="C170" s="15"/>
      <c r="D170" s="15"/>
      <c r="E170" s="15"/>
      <c r="F170" s="1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5"/>
      <c r="B171" s="15"/>
      <c r="C171" s="15"/>
      <c r="D171" s="15"/>
      <c r="E171" s="15"/>
      <c r="F171" s="1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5"/>
      <c r="B172" s="15"/>
      <c r="C172" s="15"/>
      <c r="D172" s="15"/>
      <c r="E172" s="15"/>
      <c r="F172" s="1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5"/>
      <c r="B173" s="15"/>
      <c r="C173" s="15"/>
      <c r="D173" s="15"/>
      <c r="E173" s="15"/>
      <c r="F173" s="1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5"/>
      <c r="B174" s="15"/>
      <c r="C174" s="15"/>
      <c r="D174" s="15"/>
      <c r="E174" s="15"/>
      <c r="F174" s="1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5"/>
      <c r="B175" s="15"/>
      <c r="C175" s="15"/>
      <c r="D175" s="15"/>
      <c r="E175" s="15"/>
      <c r="F175" s="1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5"/>
      <c r="B176" s="15"/>
      <c r="C176" s="15"/>
      <c r="D176" s="15"/>
      <c r="E176" s="15"/>
      <c r="F176" s="1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5"/>
      <c r="B177" s="15"/>
      <c r="C177" s="15"/>
      <c r="D177" s="15"/>
      <c r="E177" s="15"/>
      <c r="F177" s="1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5"/>
      <c r="B178" s="15"/>
      <c r="C178" s="15"/>
      <c r="D178" s="15"/>
      <c r="E178" s="15"/>
      <c r="F178" s="1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5"/>
      <c r="B179" s="15"/>
      <c r="C179" s="15"/>
      <c r="D179" s="15"/>
      <c r="E179" s="15"/>
      <c r="F179" s="1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5"/>
      <c r="B180" s="15"/>
      <c r="C180" s="15"/>
      <c r="D180" s="15"/>
      <c r="E180" s="15"/>
      <c r="F180" s="1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5"/>
      <c r="B181" s="15"/>
      <c r="C181" s="15"/>
      <c r="D181" s="15"/>
      <c r="E181" s="15"/>
      <c r="F181" s="1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5"/>
      <c r="B182" s="15"/>
      <c r="C182" s="15"/>
      <c r="D182" s="15"/>
      <c r="E182" s="15"/>
      <c r="F182" s="1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5"/>
      <c r="B183" s="15"/>
      <c r="C183" s="15"/>
      <c r="D183" s="15"/>
      <c r="E183" s="15"/>
      <c r="F183" s="1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5"/>
      <c r="B184" s="15"/>
      <c r="C184" s="15"/>
      <c r="D184" s="15"/>
      <c r="E184" s="15"/>
      <c r="F184" s="1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5"/>
      <c r="B185" s="15"/>
      <c r="C185" s="15"/>
      <c r="D185" s="15"/>
      <c r="E185" s="15"/>
      <c r="F185" s="1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15"/>
      <c r="B186" s="15"/>
      <c r="C186" s="15"/>
      <c r="D186" s="15"/>
      <c r="E186" s="15"/>
      <c r="F186" s="1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5"/>
      <c r="B187" s="15"/>
      <c r="C187" s="15"/>
      <c r="D187" s="15"/>
      <c r="E187" s="15"/>
      <c r="F187" s="1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5"/>
      <c r="B188" s="15"/>
      <c r="C188" s="15"/>
      <c r="D188" s="15"/>
      <c r="E188" s="15"/>
      <c r="F188" s="1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5"/>
      <c r="B189" s="15"/>
      <c r="C189" s="15"/>
      <c r="D189" s="15"/>
      <c r="E189" s="15"/>
      <c r="F189" s="1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5"/>
      <c r="B190" s="15"/>
      <c r="C190" s="15"/>
      <c r="D190" s="15"/>
      <c r="E190" s="15"/>
      <c r="F190" s="1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5"/>
      <c r="B191" s="15"/>
      <c r="C191" s="15"/>
      <c r="D191" s="15"/>
      <c r="E191" s="15"/>
      <c r="F191" s="1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5"/>
      <c r="B192" s="15"/>
      <c r="C192" s="15"/>
      <c r="D192" s="15"/>
      <c r="E192" s="15"/>
      <c r="F192" s="1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5"/>
      <c r="B193" s="15"/>
      <c r="C193" s="15"/>
      <c r="D193" s="15"/>
      <c r="E193" s="15"/>
      <c r="F193" s="1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5"/>
      <c r="B194" s="15"/>
      <c r="C194" s="15"/>
      <c r="D194" s="15"/>
      <c r="E194" s="15"/>
      <c r="F194" s="1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5"/>
      <c r="B195" s="15"/>
      <c r="C195" s="15"/>
      <c r="D195" s="15"/>
      <c r="E195" s="15"/>
      <c r="F195" s="1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5"/>
      <c r="B196" s="15"/>
      <c r="C196" s="15"/>
      <c r="D196" s="15"/>
      <c r="E196" s="15"/>
      <c r="F196" s="1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5"/>
      <c r="B197" s="15"/>
      <c r="C197" s="15"/>
      <c r="D197" s="15"/>
      <c r="E197" s="15"/>
      <c r="F197" s="1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5"/>
      <c r="B198" s="15"/>
      <c r="C198" s="15"/>
      <c r="D198" s="15"/>
      <c r="E198" s="15"/>
      <c r="F198" s="1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5"/>
      <c r="B199" s="15"/>
      <c r="C199" s="15"/>
      <c r="D199" s="15"/>
      <c r="E199" s="15"/>
      <c r="F199" s="1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5"/>
      <c r="B200" s="15"/>
      <c r="C200" s="15"/>
      <c r="D200" s="15"/>
      <c r="E200" s="15"/>
      <c r="F200" s="1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15"/>
      <c r="B201" s="15"/>
      <c r="C201" s="15"/>
      <c r="D201" s="15"/>
      <c r="E201" s="15"/>
      <c r="F201" s="1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15"/>
      <c r="B202" s="15"/>
      <c r="C202" s="15"/>
      <c r="D202" s="15"/>
      <c r="E202" s="15"/>
      <c r="F202" s="1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15"/>
      <c r="B203" s="15"/>
      <c r="C203" s="15"/>
      <c r="D203" s="15"/>
      <c r="E203" s="15"/>
      <c r="F203" s="1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15"/>
      <c r="B204" s="15"/>
      <c r="C204" s="15"/>
      <c r="D204" s="15"/>
      <c r="E204" s="15"/>
      <c r="F204" s="1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15"/>
      <c r="B205" s="15"/>
      <c r="C205" s="15"/>
      <c r="D205" s="15"/>
      <c r="E205" s="15"/>
      <c r="F205" s="1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5"/>
      <c r="B206" s="15"/>
      <c r="C206" s="15"/>
      <c r="D206" s="15"/>
      <c r="E206" s="15"/>
      <c r="F206" s="1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15"/>
      <c r="B207" s="15"/>
      <c r="C207" s="15"/>
      <c r="D207" s="15"/>
      <c r="E207" s="15"/>
      <c r="F207" s="1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15"/>
      <c r="B208" s="15"/>
      <c r="C208" s="15"/>
      <c r="D208" s="15"/>
      <c r="E208" s="15"/>
      <c r="F208" s="1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15"/>
      <c r="B209" s="15"/>
      <c r="C209" s="15"/>
      <c r="D209" s="15"/>
      <c r="E209" s="15"/>
      <c r="F209" s="1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15"/>
      <c r="B210" s="15"/>
      <c r="C210" s="15"/>
      <c r="D210" s="15"/>
      <c r="E210" s="15"/>
      <c r="F210" s="1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15"/>
      <c r="B211" s="15"/>
      <c r="C211" s="15"/>
      <c r="D211" s="15"/>
      <c r="E211" s="15"/>
      <c r="F211" s="1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15"/>
      <c r="B212" s="15"/>
      <c r="C212" s="15"/>
      <c r="D212" s="15"/>
      <c r="E212" s="15"/>
      <c r="F212" s="1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15"/>
      <c r="B213" s="15"/>
      <c r="C213" s="15"/>
      <c r="D213" s="15"/>
      <c r="E213" s="15"/>
      <c r="F213" s="1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15"/>
      <c r="B214" s="15"/>
      <c r="C214" s="15"/>
      <c r="D214" s="15"/>
      <c r="E214" s="15"/>
      <c r="F214" s="1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15"/>
      <c r="B215" s="15"/>
      <c r="C215" s="15"/>
      <c r="D215" s="15"/>
      <c r="E215" s="15"/>
      <c r="F215" s="1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5"/>
      <c r="B216" s="15"/>
      <c r="C216" s="15"/>
      <c r="D216" s="15"/>
      <c r="E216" s="15"/>
      <c r="F216" s="1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5"/>
      <c r="B217" s="15"/>
      <c r="C217" s="15"/>
      <c r="D217" s="15"/>
      <c r="E217" s="15"/>
      <c r="F217" s="1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5"/>
      <c r="B218" s="15"/>
      <c r="C218" s="15"/>
      <c r="D218" s="15"/>
      <c r="E218" s="15"/>
      <c r="F218" s="1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5"/>
      <c r="B219" s="15"/>
      <c r="C219" s="15"/>
      <c r="D219" s="15"/>
      <c r="E219" s="15"/>
      <c r="F219" s="1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15"/>
      <c r="B220" s="15"/>
      <c r="C220" s="15"/>
      <c r="D220" s="15"/>
      <c r="E220" s="15"/>
      <c r="F220" s="1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15"/>
      <c r="B221" s="15"/>
      <c r="C221" s="15"/>
      <c r="D221" s="15"/>
      <c r="E221" s="15"/>
      <c r="F221" s="1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15"/>
      <c r="B222" s="15"/>
      <c r="C222" s="15"/>
      <c r="D222" s="15"/>
      <c r="E222" s="15"/>
      <c r="F222" s="1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15"/>
      <c r="B223" s="15"/>
      <c r="C223" s="15"/>
      <c r="D223" s="15"/>
      <c r="E223" s="15"/>
      <c r="F223" s="1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15"/>
      <c r="B224" s="15"/>
      <c r="C224" s="15"/>
      <c r="D224" s="15"/>
      <c r="E224" s="15"/>
      <c r="F224" s="1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15"/>
      <c r="B225" s="15"/>
      <c r="C225" s="15"/>
      <c r="D225" s="15"/>
      <c r="E225" s="15"/>
      <c r="F225" s="1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15"/>
      <c r="B226" s="15"/>
      <c r="C226" s="15"/>
      <c r="D226" s="15"/>
      <c r="E226" s="15"/>
      <c r="F226" s="1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15"/>
      <c r="B227" s="15"/>
      <c r="C227" s="15"/>
      <c r="D227" s="15"/>
      <c r="E227" s="15"/>
      <c r="F227" s="1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15"/>
      <c r="B228" s="15"/>
      <c r="C228" s="15"/>
      <c r="D228" s="15"/>
      <c r="E228" s="15"/>
      <c r="F228" s="1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15"/>
      <c r="B229" s="15"/>
      <c r="C229" s="15"/>
      <c r="D229" s="15"/>
      <c r="E229" s="15"/>
      <c r="F229" s="1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15"/>
      <c r="B230" s="15"/>
      <c r="C230" s="15"/>
      <c r="D230" s="15"/>
      <c r="E230" s="15"/>
      <c r="F230" s="1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15"/>
      <c r="B231" s="15"/>
      <c r="C231" s="15"/>
      <c r="D231" s="15"/>
      <c r="E231" s="15"/>
      <c r="F231" s="1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15"/>
      <c r="B232" s="15"/>
      <c r="C232" s="15"/>
      <c r="D232" s="15"/>
      <c r="E232" s="15"/>
      <c r="F232" s="1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15"/>
      <c r="B233" s="15"/>
      <c r="C233" s="15"/>
      <c r="D233" s="15"/>
      <c r="E233" s="15"/>
      <c r="F233" s="1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15"/>
      <c r="B234" s="15"/>
      <c r="C234" s="15"/>
      <c r="D234" s="15"/>
      <c r="E234" s="15"/>
      <c r="F234" s="1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15"/>
      <c r="B235" s="15"/>
      <c r="C235" s="15"/>
      <c r="D235" s="15"/>
      <c r="E235" s="15"/>
      <c r="F235" s="1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15"/>
      <c r="B236" s="15"/>
      <c r="C236" s="15"/>
      <c r="D236" s="15"/>
      <c r="E236" s="15"/>
      <c r="F236" s="1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15"/>
      <c r="B237" s="15"/>
      <c r="C237" s="15"/>
      <c r="D237" s="15"/>
      <c r="E237" s="15"/>
      <c r="F237" s="1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15"/>
      <c r="B238" s="15"/>
      <c r="C238" s="15"/>
      <c r="D238" s="15"/>
      <c r="E238" s="15"/>
      <c r="F238" s="1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15"/>
      <c r="B239" s="15"/>
      <c r="C239" s="15"/>
      <c r="D239" s="15"/>
      <c r="E239" s="15"/>
      <c r="F239" s="1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15"/>
      <c r="B240" s="15"/>
      <c r="C240" s="15"/>
      <c r="D240" s="15"/>
      <c r="E240" s="15"/>
      <c r="F240" s="1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15"/>
      <c r="B241" s="15"/>
      <c r="C241" s="15"/>
      <c r="D241" s="15"/>
      <c r="E241" s="15"/>
      <c r="F241" s="1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15"/>
      <c r="B242" s="15"/>
      <c r="C242" s="15"/>
      <c r="D242" s="15"/>
      <c r="E242" s="15"/>
      <c r="F242" s="1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15"/>
      <c r="B243" s="15"/>
      <c r="C243" s="15"/>
      <c r="D243" s="15"/>
      <c r="E243" s="15"/>
      <c r="F243" s="1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15"/>
      <c r="B244" s="15"/>
      <c r="C244" s="15"/>
      <c r="D244" s="15"/>
      <c r="E244" s="15"/>
      <c r="F244" s="1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15"/>
      <c r="B245" s="15"/>
      <c r="C245" s="15"/>
      <c r="D245" s="15"/>
      <c r="E245" s="15"/>
      <c r="F245" s="1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15"/>
      <c r="B246" s="15"/>
      <c r="C246" s="15"/>
      <c r="D246" s="15"/>
      <c r="E246" s="15"/>
      <c r="F246" s="1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15"/>
      <c r="B247" s="15"/>
      <c r="C247" s="15"/>
      <c r="D247" s="15"/>
      <c r="E247" s="15"/>
      <c r="F247" s="1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15"/>
      <c r="B248" s="15"/>
      <c r="C248" s="15"/>
      <c r="D248" s="15"/>
      <c r="E248" s="15"/>
      <c r="F248" s="1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15"/>
      <c r="B249" s="15"/>
      <c r="C249" s="15"/>
      <c r="D249" s="15"/>
      <c r="E249" s="15"/>
      <c r="F249" s="1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15"/>
      <c r="B250" s="15"/>
      <c r="C250" s="15"/>
      <c r="D250" s="15"/>
      <c r="E250" s="15"/>
      <c r="F250" s="1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15"/>
      <c r="B251" s="15"/>
      <c r="C251" s="15"/>
      <c r="D251" s="15"/>
      <c r="E251" s="15"/>
      <c r="F251" s="1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15"/>
      <c r="B252" s="15"/>
      <c r="C252" s="15"/>
      <c r="D252" s="15"/>
      <c r="E252" s="15"/>
      <c r="F252" s="1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15"/>
      <c r="B253" s="15"/>
      <c r="C253" s="15"/>
      <c r="D253" s="15"/>
      <c r="E253" s="15"/>
      <c r="F253" s="1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15"/>
      <c r="B254" s="15"/>
      <c r="C254" s="15"/>
      <c r="D254" s="15"/>
      <c r="E254" s="15"/>
      <c r="F254" s="1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15"/>
      <c r="B255" s="15"/>
      <c r="C255" s="15"/>
      <c r="D255" s="15"/>
      <c r="E255" s="15"/>
      <c r="F255" s="1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15"/>
      <c r="B256" s="15"/>
      <c r="C256" s="15"/>
      <c r="D256" s="15"/>
      <c r="E256" s="15"/>
      <c r="F256" s="1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15"/>
      <c r="B257" s="15"/>
      <c r="C257" s="15"/>
      <c r="D257" s="15"/>
      <c r="E257" s="15"/>
      <c r="F257" s="1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15"/>
      <c r="B258" s="15"/>
      <c r="C258" s="15"/>
      <c r="D258" s="15"/>
      <c r="E258" s="15"/>
      <c r="F258" s="1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15"/>
      <c r="B259" s="15"/>
      <c r="C259" s="15"/>
      <c r="D259" s="15"/>
      <c r="E259" s="15"/>
      <c r="F259" s="1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15"/>
      <c r="B260" s="15"/>
      <c r="C260" s="15"/>
      <c r="D260" s="15"/>
      <c r="E260" s="15"/>
      <c r="F260" s="1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15"/>
      <c r="B261" s="15"/>
      <c r="C261" s="15"/>
      <c r="D261" s="15"/>
      <c r="E261" s="15"/>
      <c r="F261" s="1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15"/>
      <c r="B262" s="15"/>
      <c r="C262" s="15"/>
      <c r="D262" s="15"/>
      <c r="E262" s="15"/>
      <c r="F262" s="1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15"/>
      <c r="B263" s="15"/>
      <c r="C263" s="15"/>
      <c r="D263" s="15"/>
      <c r="E263" s="15"/>
      <c r="F263" s="1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15"/>
      <c r="B264" s="15"/>
      <c r="C264" s="15"/>
      <c r="D264" s="15"/>
      <c r="E264" s="15"/>
      <c r="F264" s="1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15"/>
      <c r="B265" s="15"/>
      <c r="C265" s="15"/>
      <c r="D265" s="15"/>
      <c r="E265" s="15"/>
      <c r="F265" s="1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15"/>
      <c r="B266" s="15"/>
      <c r="C266" s="15"/>
      <c r="D266" s="15"/>
      <c r="E266" s="15"/>
      <c r="F266" s="1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15"/>
      <c r="B267" s="15"/>
      <c r="C267" s="15"/>
      <c r="D267" s="15"/>
      <c r="E267" s="15"/>
      <c r="F267" s="1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15"/>
      <c r="B268" s="15"/>
      <c r="C268" s="15"/>
      <c r="D268" s="15"/>
      <c r="E268" s="15"/>
      <c r="F268" s="1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15"/>
      <c r="B269" s="15"/>
      <c r="C269" s="15"/>
      <c r="D269" s="15"/>
      <c r="E269" s="15"/>
      <c r="F269" s="1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15"/>
      <c r="B270" s="15"/>
      <c r="C270" s="15"/>
      <c r="D270" s="15"/>
      <c r="E270" s="15"/>
      <c r="F270" s="1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15"/>
      <c r="B271" s="15"/>
      <c r="C271" s="15"/>
      <c r="D271" s="15"/>
      <c r="E271" s="15"/>
      <c r="F271" s="1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15"/>
      <c r="B272" s="15"/>
      <c r="C272" s="15"/>
      <c r="D272" s="15"/>
      <c r="E272" s="15"/>
      <c r="F272" s="1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15"/>
      <c r="B273" s="15"/>
      <c r="C273" s="15"/>
      <c r="D273" s="15"/>
      <c r="E273" s="15"/>
      <c r="F273" s="1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15"/>
      <c r="B274" s="15"/>
      <c r="C274" s="15"/>
      <c r="D274" s="15"/>
      <c r="E274" s="15"/>
      <c r="F274" s="1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15"/>
      <c r="B275" s="15"/>
      <c r="C275" s="15"/>
      <c r="D275" s="15"/>
      <c r="E275" s="15"/>
      <c r="F275" s="1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15"/>
      <c r="B276" s="15"/>
      <c r="C276" s="15"/>
      <c r="D276" s="15"/>
      <c r="E276" s="15"/>
      <c r="F276" s="1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15"/>
      <c r="B277" s="15"/>
      <c r="C277" s="15"/>
      <c r="D277" s="15"/>
      <c r="E277" s="15"/>
      <c r="F277" s="1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15"/>
      <c r="B278" s="15"/>
      <c r="C278" s="15"/>
      <c r="D278" s="15"/>
      <c r="E278" s="15"/>
      <c r="F278" s="1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15"/>
      <c r="B279" s="15"/>
      <c r="C279" s="15"/>
      <c r="D279" s="15"/>
      <c r="E279" s="15"/>
      <c r="F279" s="1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15"/>
      <c r="B280" s="15"/>
      <c r="C280" s="15"/>
      <c r="D280" s="15"/>
      <c r="E280" s="15"/>
      <c r="F280" s="1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15"/>
      <c r="B281" s="15"/>
      <c r="C281" s="15"/>
      <c r="D281" s="15"/>
      <c r="E281" s="15"/>
      <c r="F281" s="1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15"/>
      <c r="B282" s="15"/>
      <c r="C282" s="15"/>
      <c r="D282" s="15"/>
      <c r="E282" s="15"/>
      <c r="F282" s="1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15"/>
      <c r="B283" s="15"/>
      <c r="C283" s="15"/>
      <c r="D283" s="15"/>
      <c r="E283" s="15"/>
      <c r="F283" s="1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15"/>
      <c r="B284" s="15"/>
      <c r="C284" s="15"/>
      <c r="D284" s="15"/>
      <c r="E284" s="15"/>
      <c r="F284" s="1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15"/>
      <c r="B285" s="15"/>
      <c r="C285" s="15"/>
      <c r="D285" s="15"/>
      <c r="E285" s="15"/>
      <c r="F285" s="1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15"/>
      <c r="B286" s="15"/>
      <c r="C286" s="15"/>
      <c r="D286" s="15"/>
      <c r="E286" s="15"/>
      <c r="F286" s="1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15"/>
      <c r="B287" s="15"/>
      <c r="C287" s="15"/>
      <c r="D287" s="15"/>
      <c r="E287" s="15"/>
      <c r="F287" s="1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15"/>
      <c r="B288" s="15"/>
      <c r="C288" s="15"/>
      <c r="D288" s="15"/>
      <c r="E288" s="15"/>
      <c r="F288" s="1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15"/>
      <c r="B289" s="15"/>
      <c r="C289" s="15"/>
      <c r="D289" s="15"/>
      <c r="E289" s="15"/>
      <c r="F289" s="1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15"/>
      <c r="B290" s="15"/>
      <c r="C290" s="15"/>
      <c r="D290" s="15"/>
      <c r="E290" s="15"/>
      <c r="F290" s="1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15"/>
      <c r="B291" s="15"/>
      <c r="C291" s="15"/>
      <c r="D291" s="15"/>
      <c r="E291" s="15"/>
      <c r="F291" s="1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15"/>
      <c r="B292" s="15"/>
      <c r="C292" s="15"/>
      <c r="D292" s="15"/>
      <c r="E292" s="15"/>
      <c r="F292" s="1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15"/>
      <c r="B293" s="15"/>
      <c r="C293" s="15"/>
      <c r="D293" s="15"/>
      <c r="E293" s="15"/>
      <c r="F293" s="1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15"/>
      <c r="B294" s="15"/>
      <c r="C294" s="15"/>
      <c r="D294" s="15"/>
      <c r="E294" s="15"/>
      <c r="F294" s="1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15"/>
      <c r="B295" s="15"/>
      <c r="C295" s="15"/>
      <c r="D295" s="15"/>
      <c r="E295" s="15"/>
      <c r="F295" s="1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15"/>
      <c r="B296" s="15"/>
      <c r="C296" s="15"/>
      <c r="D296" s="15"/>
      <c r="E296" s="15"/>
      <c r="F296" s="1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15"/>
      <c r="B297" s="15"/>
      <c r="C297" s="15"/>
      <c r="D297" s="15"/>
      <c r="E297" s="15"/>
      <c r="F297" s="1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15"/>
      <c r="B298" s="15"/>
      <c r="C298" s="15"/>
      <c r="D298" s="15"/>
      <c r="E298" s="15"/>
      <c r="F298" s="1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15"/>
      <c r="B299" s="15"/>
      <c r="C299" s="15"/>
      <c r="D299" s="15"/>
      <c r="E299" s="15"/>
      <c r="F299" s="1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15"/>
      <c r="B300" s="15"/>
      <c r="C300" s="15"/>
      <c r="D300" s="15"/>
      <c r="E300" s="15"/>
      <c r="F300" s="1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15"/>
      <c r="B301" s="15"/>
      <c r="C301" s="15"/>
      <c r="D301" s="15"/>
      <c r="E301" s="15"/>
      <c r="F301" s="1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15"/>
      <c r="B302" s="15"/>
      <c r="C302" s="15"/>
      <c r="D302" s="15"/>
      <c r="E302" s="15"/>
      <c r="F302" s="1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15"/>
      <c r="B303" s="15"/>
      <c r="C303" s="15"/>
      <c r="D303" s="15"/>
      <c r="E303" s="15"/>
      <c r="F303" s="1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15"/>
      <c r="B304" s="15"/>
      <c r="C304" s="15"/>
      <c r="D304" s="15"/>
      <c r="E304" s="15"/>
      <c r="F304" s="1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15"/>
      <c r="B305" s="15"/>
      <c r="C305" s="15"/>
      <c r="D305" s="15"/>
      <c r="E305" s="15"/>
      <c r="F305" s="1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15"/>
      <c r="B306" s="15"/>
      <c r="C306" s="15"/>
      <c r="D306" s="15"/>
      <c r="E306" s="15"/>
      <c r="F306" s="1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15"/>
      <c r="B307" s="15"/>
      <c r="C307" s="15"/>
      <c r="D307" s="15"/>
      <c r="E307" s="15"/>
      <c r="F307" s="1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15"/>
      <c r="B308" s="15"/>
      <c r="C308" s="15"/>
      <c r="D308" s="15"/>
      <c r="E308" s="15"/>
      <c r="F308" s="1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15"/>
      <c r="B309" s="15"/>
      <c r="C309" s="15"/>
      <c r="D309" s="15"/>
      <c r="E309" s="15"/>
      <c r="F309" s="1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15"/>
      <c r="B310" s="15"/>
      <c r="C310" s="15"/>
      <c r="D310" s="15"/>
      <c r="E310" s="15"/>
      <c r="F310" s="1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15"/>
      <c r="B311" s="15"/>
      <c r="C311" s="15"/>
      <c r="D311" s="15"/>
      <c r="E311" s="15"/>
      <c r="F311" s="1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15"/>
      <c r="B312" s="15"/>
      <c r="C312" s="15"/>
      <c r="D312" s="15"/>
      <c r="E312" s="15"/>
      <c r="F312" s="1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15"/>
      <c r="B313" s="15"/>
      <c r="C313" s="15"/>
      <c r="D313" s="15"/>
      <c r="E313" s="15"/>
      <c r="F313" s="1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15"/>
      <c r="B314" s="15"/>
      <c r="C314" s="15"/>
      <c r="D314" s="15"/>
      <c r="E314" s="15"/>
      <c r="F314" s="1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15"/>
      <c r="B315" s="15"/>
      <c r="C315" s="15"/>
      <c r="D315" s="15"/>
      <c r="E315" s="15"/>
      <c r="F315" s="1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15"/>
      <c r="B316" s="15"/>
      <c r="C316" s="15"/>
      <c r="D316" s="15"/>
      <c r="E316" s="15"/>
      <c r="F316" s="1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15"/>
      <c r="B317" s="15"/>
      <c r="C317" s="15"/>
      <c r="D317" s="15"/>
      <c r="E317" s="15"/>
      <c r="F317" s="1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15"/>
      <c r="B318" s="15"/>
      <c r="C318" s="15"/>
      <c r="D318" s="15"/>
      <c r="E318" s="15"/>
      <c r="F318" s="1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15"/>
      <c r="B319" s="15"/>
      <c r="C319" s="15"/>
      <c r="D319" s="15"/>
      <c r="E319" s="15"/>
      <c r="F319" s="1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15"/>
      <c r="B320" s="15"/>
      <c r="C320" s="15"/>
      <c r="D320" s="15"/>
      <c r="E320" s="15"/>
      <c r="F320" s="1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15"/>
      <c r="B321" s="15"/>
      <c r="C321" s="15"/>
      <c r="D321" s="15"/>
      <c r="E321" s="15"/>
      <c r="F321" s="1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15"/>
      <c r="B322" s="15"/>
      <c r="C322" s="15"/>
      <c r="D322" s="15"/>
      <c r="E322" s="15"/>
      <c r="F322" s="1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15"/>
      <c r="B323" s="15"/>
      <c r="C323" s="15"/>
      <c r="D323" s="15"/>
      <c r="E323" s="15"/>
      <c r="F323" s="1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15"/>
      <c r="B324" s="15"/>
      <c r="C324" s="15"/>
      <c r="D324" s="15"/>
      <c r="E324" s="15"/>
      <c r="F324" s="1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15"/>
      <c r="B325" s="15"/>
      <c r="C325" s="15"/>
      <c r="D325" s="15"/>
      <c r="E325" s="15"/>
      <c r="F325" s="1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15"/>
      <c r="B326" s="15"/>
      <c r="C326" s="15"/>
      <c r="D326" s="15"/>
      <c r="E326" s="15"/>
      <c r="F326" s="1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15"/>
      <c r="B327" s="15"/>
      <c r="C327" s="15"/>
      <c r="D327" s="15"/>
      <c r="E327" s="15"/>
      <c r="F327" s="1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15"/>
      <c r="B328" s="15"/>
      <c r="C328" s="15"/>
      <c r="D328" s="15"/>
      <c r="E328" s="15"/>
      <c r="F328" s="1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15"/>
      <c r="B329" s="15"/>
      <c r="C329" s="15"/>
      <c r="D329" s="15"/>
      <c r="E329" s="15"/>
      <c r="F329" s="1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15"/>
      <c r="B330" s="15"/>
      <c r="C330" s="15"/>
      <c r="D330" s="15"/>
      <c r="E330" s="15"/>
      <c r="F330" s="1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15"/>
      <c r="B331" s="15"/>
      <c r="C331" s="15"/>
      <c r="D331" s="15"/>
      <c r="E331" s="15"/>
      <c r="F331" s="1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15"/>
      <c r="B332" s="15"/>
      <c r="C332" s="15"/>
      <c r="D332" s="15"/>
      <c r="E332" s="15"/>
      <c r="F332" s="1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15"/>
      <c r="B333" s="15"/>
      <c r="C333" s="15"/>
      <c r="D333" s="15"/>
      <c r="E333" s="15"/>
      <c r="F333" s="1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15"/>
      <c r="B334" s="15"/>
      <c r="C334" s="15"/>
      <c r="D334" s="15"/>
      <c r="E334" s="15"/>
      <c r="F334" s="1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15"/>
      <c r="B335" s="15"/>
      <c r="C335" s="15"/>
      <c r="D335" s="15"/>
      <c r="E335" s="15"/>
      <c r="F335" s="1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15"/>
      <c r="B336" s="15"/>
      <c r="C336" s="15"/>
      <c r="D336" s="15"/>
      <c r="E336" s="15"/>
      <c r="F336" s="1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15"/>
      <c r="B337" s="15"/>
      <c r="C337" s="15"/>
      <c r="D337" s="15"/>
      <c r="E337" s="15"/>
      <c r="F337" s="1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15"/>
      <c r="B338" s="15"/>
      <c r="C338" s="15"/>
      <c r="D338" s="15"/>
      <c r="E338" s="15"/>
      <c r="F338" s="1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15"/>
      <c r="B339" s="15"/>
      <c r="C339" s="15"/>
      <c r="D339" s="15"/>
      <c r="E339" s="15"/>
      <c r="F339" s="1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15"/>
      <c r="B340" s="15"/>
      <c r="C340" s="15"/>
      <c r="D340" s="15"/>
      <c r="E340" s="15"/>
      <c r="F340" s="1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15"/>
      <c r="B341" s="15"/>
      <c r="C341" s="15"/>
      <c r="D341" s="15"/>
      <c r="E341" s="15"/>
      <c r="F341" s="1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15"/>
      <c r="B342" s="15"/>
      <c r="C342" s="15"/>
      <c r="D342" s="15"/>
      <c r="E342" s="15"/>
      <c r="F342" s="1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15"/>
      <c r="B343" s="15"/>
      <c r="C343" s="15"/>
      <c r="D343" s="15"/>
      <c r="E343" s="15"/>
      <c r="F343" s="1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15"/>
      <c r="B344" s="15"/>
      <c r="C344" s="15"/>
      <c r="D344" s="15"/>
      <c r="E344" s="15"/>
      <c r="F344" s="1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15"/>
      <c r="B345" s="15"/>
      <c r="C345" s="15"/>
      <c r="D345" s="15"/>
      <c r="E345" s="15"/>
      <c r="F345" s="1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15"/>
      <c r="B346" s="15"/>
      <c r="C346" s="15"/>
      <c r="D346" s="15"/>
      <c r="E346" s="15"/>
      <c r="F346" s="1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15"/>
      <c r="B347" s="15"/>
      <c r="C347" s="15"/>
      <c r="D347" s="15"/>
      <c r="E347" s="15"/>
      <c r="F347" s="1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15"/>
      <c r="B348" s="15"/>
      <c r="C348" s="15"/>
      <c r="D348" s="15"/>
      <c r="E348" s="15"/>
      <c r="F348" s="1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15"/>
      <c r="B349" s="15"/>
      <c r="C349" s="15"/>
      <c r="D349" s="15"/>
      <c r="E349" s="15"/>
      <c r="F349" s="1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15"/>
      <c r="B350" s="15"/>
      <c r="C350" s="15"/>
      <c r="D350" s="15"/>
      <c r="E350" s="15"/>
      <c r="F350" s="1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15"/>
      <c r="B351" s="15"/>
      <c r="C351" s="15"/>
      <c r="D351" s="15"/>
      <c r="E351" s="15"/>
      <c r="F351" s="1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15"/>
      <c r="B352" s="15"/>
      <c r="C352" s="15"/>
      <c r="D352" s="15"/>
      <c r="E352" s="15"/>
      <c r="F352" s="1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15"/>
      <c r="B353" s="15"/>
      <c r="C353" s="15"/>
      <c r="D353" s="15"/>
      <c r="E353" s="15"/>
      <c r="F353" s="1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15"/>
      <c r="B354" s="15"/>
      <c r="C354" s="15"/>
      <c r="D354" s="15"/>
      <c r="E354" s="15"/>
      <c r="F354" s="1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15"/>
      <c r="B355" s="15"/>
      <c r="C355" s="15"/>
      <c r="D355" s="15"/>
      <c r="E355" s="15"/>
      <c r="F355" s="1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15"/>
      <c r="B356" s="15"/>
      <c r="C356" s="15"/>
      <c r="D356" s="15"/>
      <c r="E356" s="15"/>
      <c r="F356" s="1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15"/>
      <c r="B357" s="15"/>
      <c r="C357" s="15"/>
      <c r="D357" s="15"/>
      <c r="E357" s="15"/>
      <c r="F357" s="1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15"/>
      <c r="B358" s="15"/>
      <c r="C358" s="15"/>
      <c r="D358" s="15"/>
      <c r="E358" s="15"/>
      <c r="F358" s="1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15"/>
      <c r="B359" s="15"/>
      <c r="C359" s="15"/>
      <c r="D359" s="15"/>
      <c r="E359" s="15"/>
      <c r="F359" s="1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15"/>
      <c r="B360" s="15"/>
      <c r="C360" s="15"/>
      <c r="D360" s="15"/>
      <c r="E360" s="15"/>
      <c r="F360" s="1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15"/>
      <c r="B361" s="15"/>
      <c r="C361" s="15"/>
      <c r="D361" s="15"/>
      <c r="E361" s="15"/>
      <c r="F361" s="1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15"/>
      <c r="B362" s="15"/>
      <c r="C362" s="15"/>
      <c r="D362" s="15"/>
      <c r="E362" s="15"/>
      <c r="F362" s="1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15"/>
      <c r="B363" s="15"/>
      <c r="C363" s="15"/>
      <c r="D363" s="15"/>
      <c r="E363" s="15"/>
      <c r="F363" s="1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15"/>
      <c r="B364" s="15"/>
      <c r="C364" s="15"/>
      <c r="D364" s="15"/>
      <c r="E364" s="15"/>
      <c r="F364" s="1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15"/>
      <c r="B365" s="15"/>
      <c r="C365" s="15"/>
      <c r="D365" s="15"/>
      <c r="E365" s="15"/>
      <c r="F365" s="1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15"/>
      <c r="B366" s="15"/>
      <c r="C366" s="15"/>
      <c r="D366" s="15"/>
      <c r="E366" s="15"/>
      <c r="F366" s="1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15"/>
      <c r="B367" s="15"/>
      <c r="C367" s="15"/>
      <c r="D367" s="15"/>
      <c r="E367" s="15"/>
      <c r="F367" s="1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15"/>
      <c r="B368" s="15"/>
      <c r="C368" s="15"/>
      <c r="D368" s="15"/>
      <c r="E368" s="15"/>
      <c r="F368" s="1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15"/>
      <c r="B369" s="15"/>
      <c r="C369" s="15"/>
      <c r="D369" s="15"/>
      <c r="E369" s="15"/>
      <c r="F369" s="1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15"/>
      <c r="B370" s="15"/>
      <c r="C370" s="15"/>
      <c r="D370" s="15"/>
      <c r="E370" s="15"/>
      <c r="F370" s="1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15"/>
      <c r="B371" s="15"/>
      <c r="C371" s="15"/>
      <c r="D371" s="15"/>
      <c r="E371" s="15"/>
      <c r="F371" s="1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15"/>
      <c r="B372" s="15"/>
      <c r="C372" s="15"/>
      <c r="D372" s="15"/>
      <c r="E372" s="15"/>
      <c r="F372" s="1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15"/>
      <c r="B373" s="15"/>
      <c r="C373" s="15"/>
      <c r="D373" s="15"/>
      <c r="E373" s="15"/>
      <c r="F373" s="1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15"/>
      <c r="B374" s="15"/>
      <c r="C374" s="15"/>
      <c r="D374" s="15"/>
      <c r="E374" s="15"/>
      <c r="F374" s="1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15"/>
      <c r="B375" s="15"/>
      <c r="C375" s="15"/>
      <c r="D375" s="15"/>
      <c r="E375" s="15"/>
      <c r="F375" s="1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15"/>
      <c r="B376" s="15"/>
      <c r="C376" s="15"/>
      <c r="D376" s="15"/>
      <c r="E376" s="15"/>
      <c r="F376" s="1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15"/>
      <c r="B377" s="15"/>
      <c r="C377" s="15"/>
      <c r="D377" s="15"/>
      <c r="E377" s="15"/>
      <c r="F377" s="1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15"/>
      <c r="B378" s="15"/>
      <c r="C378" s="15"/>
      <c r="D378" s="15"/>
      <c r="E378" s="15"/>
      <c r="F378" s="1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15"/>
      <c r="B379" s="15"/>
      <c r="C379" s="15"/>
      <c r="D379" s="15"/>
      <c r="E379" s="15"/>
      <c r="F379" s="1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15"/>
      <c r="B380" s="15"/>
      <c r="C380" s="15"/>
      <c r="D380" s="15"/>
      <c r="E380" s="15"/>
      <c r="F380" s="1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15"/>
      <c r="B381" s="15"/>
      <c r="C381" s="15"/>
      <c r="D381" s="15"/>
      <c r="E381" s="15"/>
      <c r="F381" s="1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15"/>
      <c r="B382" s="15"/>
      <c r="C382" s="15"/>
      <c r="D382" s="15"/>
      <c r="E382" s="15"/>
      <c r="F382" s="1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15"/>
      <c r="B383" s="15"/>
      <c r="C383" s="15"/>
      <c r="D383" s="15"/>
      <c r="E383" s="15"/>
      <c r="F383" s="1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15"/>
      <c r="B384" s="15"/>
      <c r="C384" s="15"/>
      <c r="D384" s="15"/>
      <c r="E384" s="15"/>
      <c r="F384" s="1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15"/>
      <c r="B385" s="15"/>
      <c r="C385" s="15"/>
      <c r="D385" s="15"/>
      <c r="E385" s="15"/>
      <c r="F385" s="1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15"/>
      <c r="B386" s="15"/>
      <c r="C386" s="15"/>
      <c r="D386" s="15"/>
      <c r="E386" s="15"/>
      <c r="F386" s="1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15"/>
      <c r="B387" s="15"/>
      <c r="C387" s="15"/>
      <c r="D387" s="15"/>
      <c r="E387" s="15"/>
      <c r="F387" s="1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15"/>
      <c r="B388" s="15"/>
      <c r="C388" s="15"/>
      <c r="D388" s="15"/>
      <c r="E388" s="15"/>
      <c r="F388" s="1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15"/>
      <c r="B389" s="15"/>
      <c r="C389" s="15"/>
      <c r="D389" s="15"/>
      <c r="E389" s="15"/>
      <c r="F389" s="1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15"/>
      <c r="B390" s="15"/>
      <c r="C390" s="15"/>
      <c r="D390" s="15"/>
      <c r="E390" s="15"/>
      <c r="F390" s="1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15"/>
      <c r="B391" s="15"/>
      <c r="C391" s="15"/>
      <c r="D391" s="15"/>
      <c r="E391" s="15"/>
      <c r="F391" s="1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15"/>
      <c r="B392" s="15"/>
      <c r="C392" s="15"/>
      <c r="D392" s="15"/>
      <c r="E392" s="15"/>
      <c r="F392" s="1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15"/>
      <c r="B393" s="15"/>
      <c r="C393" s="15"/>
      <c r="D393" s="15"/>
      <c r="E393" s="15"/>
      <c r="F393" s="1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15"/>
      <c r="B394" s="15"/>
      <c r="C394" s="15"/>
      <c r="D394" s="15"/>
      <c r="E394" s="15"/>
      <c r="F394" s="1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15"/>
      <c r="B395" s="15"/>
      <c r="C395" s="15"/>
      <c r="D395" s="15"/>
      <c r="E395" s="15"/>
      <c r="F395" s="1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15"/>
      <c r="B396" s="15"/>
      <c r="C396" s="15"/>
      <c r="D396" s="15"/>
      <c r="E396" s="15"/>
      <c r="F396" s="1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15"/>
      <c r="B397" s="15"/>
      <c r="C397" s="15"/>
      <c r="D397" s="15"/>
      <c r="E397" s="15"/>
      <c r="F397" s="1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15"/>
      <c r="B398" s="15"/>
      <c r="C398" s="15"/>
      <c r="D398" s="15"/>
      <c r="E398" s="15"/>
      <c r="F398" s="1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15"/>
      <c r="B399" s="15"/>
      <c r="C399" s="15"/>
      <c r="D399" s="15"/>
      <c r="E399" s="15"/>
      <c r="F399" s="1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15"/>
      <c r="B400" s="15"/>
      <c r="C400" s="15"/>
      <c r="D400" s="15"/>
      <c r="E400" s="15"/>
      <c r="F400" s="1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15"/>
      <c r="B401" s="15"/>
      <c r="C401" s="15"/>
      <c r="D401" s="15"/>
      <c r="E401" s="15"/>
      <c r="F401" s="1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15"/>
      <c r="B402" s="15"/>
      <c r="C402" s="15"/>
      <c r="D402" s="15"/>
      <c r="E402" s="15"/>
      <c r="F402" s="1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15"/>
      <c r="B403" s="15"/>
      <c r="C403" s="15"/>
      <c r="D403" s="15"/>
      <c r="E403" s="15"/>
      <c r="F403" s="1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15"/>
      <c r="B404" s="15"/>
      <c r="C404" s="15"/>
      <c r="D404" s="15"/>
      <c r="E404" s="15"/>
      <c r="F404" s="1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15"/>
      <c r="B405" s="15"/>
      <c r="C405" s="15"/>
      <c r="D405" s="15"/>
      <c r="E405" s="15"/>
      <c r="F405" s="1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15"/>
      <c r="B406" s="15"/>
      <c r="C406" s="15"/>
      <c r="D406" s="15"/>
      <c r="E406" s="15"/>
      <c r="F406" s="1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15"/>
      <c r="B407" s="15"/>
      <c r="C407" s="15"/>
      <c r="D407" s="15"/>
      <c r="E407" s="15"/>
      <c r="F407" s="1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15"/>
      <c r="B408" s="15"/>
      <c r="C408" s="15"/>
      <c r="D408" s="15"/>
      <c r="E408" s="15"/>
      <c r="F408" s="1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15"/>
      <c r="B409" s="15"/>
      <c r="C409" s="15"/>
      <c r="D409" s="15"/>
      <c r="E409" s="15"/>
      <c r="F409" s="1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15"/>
      <c r="B410" s="15"/>
      <c r="C410" s="15"/>
      <c r="D410" s="15"/>
      <c r="E410" s="15"/>
      <c r="F410" s="1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15"/>
      <c r="B411" s="15"/>
      <c r="C411" s="15"/>
      <c r="D411" s="15"/>
      <c r="E411" s="15"/>
      <c r="F411" s="1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15"/>
      <c r="B412" s="15"/>
      <c r="C412" s="15"/>
      <c r="D412" s="15"/>
      <c r="E412" s="15"/>
      <c r="F412" s="1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15"/>
      <c r="B413" s="15"/>
      <c r="C413" s="15"/>
      <c r="D413" s="15"/>
      <c r="E413" s="15"/>
      <c r="F413" s="1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15"/>
      <c r="B414" s="15"/>
      <c r="C414" s="15"/>
      <c r="D414" s="15"/>
      <c r="E414" s="15"/>
      <c r="F414" s="1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15"/>
      <c r="B415" s="15"/>
      <c r="C415" s="15"/>
      <c r="D415" s="15"/>
      <c r="E415" s="15"/>
      <c r="F415" s="1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15"/>
      <c r="B416" s="15"/>
      <c r="C416" s="15"/>
      <c r="D416" s="15"/>
      <c r="E416" s="15"/>
      <c r="F416" s="1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15"/>
      <c r="B417" s="15"/>
      <c r="C417" s="15"/>
      <c r="D417" s="15"/>
      <c r="E417" s="15"/>
      <c r="F417" s="1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15"/>
      <c r="B418" s="15"/>
      <c r="C418" s="15"/>
      <c r="D418" s="15"/>
      <c r="E418" s="15"/>
      <c r="F418" s="1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15"/>
      <c r="B419" s="15"/>
      <c r="C419" s="15"/>
      <c r="D419" s="15"/>
      <c r="E419" s="15"/>
      <c r="F419" s="1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15"/>
      <c r="B420" s="15"/>
      <c r="C420" s="15"/>
      <c r="D420" s="15"/>
      <c r="E420" s="15"/>
      <c r="F420" s="1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15"/>
      <c r="B421" s="15"/>
      <c r="C421" s="15"/>
      <c r="D421" s="15"/>
      <c r="E421" s="15"/>
      <c r="F421" s="1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15"/>
      <c r="B422" s="15"/>
      <c r="C422" s="15"/>
      <c r="D422" s="15"/>
      <c r="E422" s="15"/>
      <c r="F422" s="1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15"/>
      <c r="B423" s="15"/>
      <c r="C423" s="15"/>
      <c r="D423" s="15"/>
      <c r="E423" s="15"/>
      <c r="F423" s="1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15"/>
      <c r="B424" s="15"/>
      <c r="C424" s="15"/>
      <c r="D424" s="15"/>
      <c r="E424" s="15"/>
      <c r="F424" s="1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15"/>
      <c r="B425" s="15"/>
      <c r="C425" s="15"/>
      <c r="D425" s="15"/>
      <c r="E425" s="15"/>
      <c r="F425" s="1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15"/>
      <c r="B426" s="15"/>
      <c r="C426" s="15"/>
      <c r="D426" s="15"/>
      <c r="E426" s="15"/>
      <c r="F426" s="1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15"/>
      <c r="B427" s="15"/>
      <c r="C427" s="15"/>
      <c r="D427" s="15"/>
      <c r="E427" s="15"/>
      <c r="F427" s="1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15"/>
      <c r="B428" s="15"/>
      <c r="C428" s="15"/>
      <c r="D428" s="15"/>
      <c r="E428" s="15"/>
      <c r="F428" s="1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15"/>
      <c r="B429" s="15"/>
      <c r="C429" s="15"/>
      <c r="D429" s="15"/>
      <c r="E429" s="15"/>
      <c r="F429" s="1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15"/>
      <c r="B430" s="15"/>
      <c r="C430" s="15"/>
      <c r="D430" s="15"/>
      <c r="E430" s="15"/>
      <c r="F430" s="1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15"/>
      <c r="B431" s="15"/>
      <c r="C431" s="15"/>
      <c r="D431" s="15"/>
      <c r="E431" s="15"/>
      <c r="F431" s="1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15"/>
      <c r="B432" s="15"/>
      <c r="C432" s="15"/>
      <c r="D432" s="15"/>
      <c r="E432" s="15"/>
      <c r="F432" s="1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15"/>
      <c r="B433" s="15"/>
      <c r="C433" s="15"/>
      <c r="D433" s="15"/>
      <c r="E433" s="15"/>
      <c r="F433" s="1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15"/>
      <c r="B434" s="15"/>
      <c r="C434" s="15"/>
      <c r="D434" s="15"/>
      <c r="E434" s="15"/>
      <c r="F434" s="1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15"/>
      <c r="B435" s="15"/>
      <c r="C435" s="15"/>
      <c r="D435" s="15"/>
      <c r="E435" s="15"/>
      <c r="F435" s="1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15"/>
      <c r="B436" s="15"/>
      <c r="C436" s="15"/>
      <c r="D436" s="15"/>
      <c r="E436" s="15"/>
      <c r="F436" s="1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15"/>
      <c r="B437" s="15"/>
      <c r="C437" s="15"/>
      <c r="D437" s="15"/>
      <c r="E437" s="15"/>
      <c r="F437" s="1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15"/>
      <c r="B438" s="15"/>
      <c r="C438" s="15"/>
      <c r="D438" s="15"/>
      <c r="E438" s="15"/>
      <c r="F438" s="1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15"/>
      <c r="B439" s="15"/>
      <c r="C439" s="15"/>
      <c r="D439" s="15"/>
      <c r="E439" s="15"/>
      <c r="F439" s="1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15"/>
      <c r="B440" s="15"/>
      <c r="C440" s="15"/>
      <c r="D440" s="15"/>
      <c r="E440" s="15"/>
      <c r="F440" s="1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15"/>
      <c r="B441" s="15"/>
      <c r="C441" s="15"/>
      <c r="D441" s="15"/>
      <c r="E441" s="15"/>
      <c r="F441" s="1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15"/>
      <c r="B442" s="15"/>
      <c r="C442" s="15"/>
      <c r="D442" s="15"/>
      <c r="E442" s="15"/>
      <c r="F442" s="1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15"/>
      <c r="B443" s="15"/>
      <c r="C443" s="15"/>
      <c r="D443" s="15"/>
      <c r="E443" s="15"/>
      <c r="F443" s="1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15"/>
      <c r="B444" s="15"/>
      <c r="C444" s="15"/>
      <c r="D444" s="15"/>
      <c r="E444" s="15"/>
      <c r="F444" s="1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15"/>
      <c r="B445" s="15"/>
      <c r="C445" s="15"/>
      <c r="D445" s="15"/>
      <c r="E445" s="15"/>
      <c r="F445" s="1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15"/>
      <c r="B446" s="15"/>
      <c r="C446" s="15"/>
      <c r="D446" s="15"/>
      <c r="E446" s="15"/>
      <c r="F446" s="1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15"/>
      <c r="B447" s="15"/>
      <c r="C447" s="15"/>
      <c r="D447" s="15"/>
      <c r="E447" s="15"/>
      <c r="F447" s="1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15"/>
      <c r="B448" s="15"/>
      <c r="C448" s="15"/>
      <c r="D448" s="15"/>
      <c r="E448" s="15"/>
      <c r="F448" s="1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15"/>
      <c r="B449" s="15"/>
      <c r="C449" s="15"/>
      <c r="D449" s="15"/>
      <c r="E449" s="15"/>
      <c r="F449" s="1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15"/>
      <c r="B450" s="15"/>
      <c r="C450" s="15"/>
      <c r="D450" s="15"/>
      <c r="E450" s="15"/>
      <c r="F450" s="1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15"/>
      <c r="B451" s="15"/>
      <c r="C451" s="15"/>
      <c r="D451" s="15"/>
      <c r="E451" s="15"/>
      <c r="F451" s="1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15"/>
      <c r="B452" s="15"/>
      <c r="C452" s="15"/>
      <c r="D452" s="15"/>
      <c r="E452" s="15"/>
      <c r="F452" s="1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15"/>
      <c r="B453" s="15"/>
      <c r="C453" s="15"/>
      <c r="D453" s="15"/>
      <c r="E453" s="15"/>
      <c r="F453" s="1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15"/>
      <c r="B454" s="15"/>
      <c r="C454" s="15"/>
      <c r="D454" s="15"/>
      <c r="E454" s="15"/>
      <c r="F454" s="1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15"/>
      <c r="B455" s="15"/>
      <c r="C455" s="15"/>
      <c r="D455" s="15"/>
      <c r="E455" s="15"/>
      <c r="F455" s="1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15"/>
      <c r="B456" s="15"/>
      <c r="C456" s="15"/>
      <c r="D456" s="15"/>
      <c r="E456" s="15"/>
      <c r="F456" s="1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15"/>
      <c r="B457" s="15"/>
      <c r="C457" s="15"/>
      <c r="D457" s="15"/>
      <c r="E457" s="15"/>
      <c r="F457" s="1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15"/>
      <c r="B458" s="15"/>
      <c r="C458" s="15"/>
      <c r="D458" s="15"/>
      <c r="E458" s="15"/>
      <c r="F458" s="1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15"/>
      <c r="B459" s="15"/>
      <c r="C459" s="15"/>
      <c r="D459" s="15"/>
      <c r="E459" s="15"/>
      <c r="F459" s="1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15"/>
      <c r="B460" s="15"/>
      <c r="C460" s="15"/>
      <c r="D460" s="15"/>
      <c r="E460" s="15"/>
      <c r="F460" s="1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15"/>
      <c r="B461" s="15"/>
      <c r="C461" s="15"/>
      <c r="D461" s="15"/>
      <c r="E461" s="15"/>
      <c r="F461" s="1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15"/>
      <c r="B462" s="15"/>
      <c r="C462" s="15"/>
      <c r="D462" s="15"/>
      <c r="E462" s="15"/>
      <c r="F462" s="1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15"/>
      <c r="B463" s="15"/>
      <c r="C463" s="15"/>
      <c r="D463" s="15"/>
      <c r="E463" s="15"/>
      <c r="F463" s="1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15"/>
      <c r="B464" s="15"/>
      <c r="C464" s="15"/>
      <c r="D464" s="15"/>
      <c r="E464" s="15"/>
      <c r="F464" s="1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15"/>
      <c r="B465" s="15"/>
      <c r="C465" s="15"/>
      <c r="D465" s="15"/>
      <c r="E465" s="15"/>
      <c r="F465" s="1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15"/>
      <c r="B466" s="15"/>
      <c r="C466" s="15"/>
      <c r="D466" s="15"/>
      <c r="E466" s="15"/>
      <c r="F466" s="1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15"/>
      <c r="B467" s="15"/>
      <c r="C467" s="15"/>
      <c r="D467" s="15"/>
      <c r="E467" s="15"/>
      <c r="F467" s="1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15"/>
      <c r="B468" s="15"/>
      <c r="C468" s="15"/>
      <c r="D468" s="15"/>
      <c r="E468" s="15"/>
      <c r="F468" s="1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15"/>
      <c r="B469" s="15"/>
      <c r="C469" s="15"/>
      <c r="D469" s="15"/>
      <c r="E469" s="15"/>
      <c r="F469" s="1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15"/>
      <c r="B470" s="15"/>
      <c r="C470" s="15"/>
      <c r="D470" s="15"/>
      <c r="E470" s="15"/>
      <c r="F470" s="1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15"/>
      <c r="B471" s="15"/>
      <c r="C471" s="15"/>
      <c r="D471" s="15"/>
      <c r="E471" s="15"/>
      <c r="F471" s="1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15"/>
      <c r="B472" s="15"/>
      <c r="C472" s="15"/>
      <c r="D472" s="15"/>
      <c r="E472" s="15"/>
      <c r="F472" s="1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15"/>
      <c r="B473" s="15"/>
      <c r="C473" s="15"/>
      <c r="D473" s="15"/>
      <c r="E473" s="15"/>
      <c r="F473" s="1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15"/>
      <c r="B474" s="15"/>
      <c r="C474" s="15"/>
      <c r="D474" s="15"/>
      <c r="E474" s="15"/>
      <c r="F474" s="1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15"/>
      <c r="B475" s="15"/>
      <c r="C475" s="15"/>
      <c r="D475" s="15"/>
      <c r="E475" s="15"/>
      <c r="F475" s="1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15"/>
      <c r="B476" s="15"/>
      <c r="C476" s="15"/>
      <c r="D476" s="15"/>
      <c r="E476" s="15"/>
      <c r="F476" s="1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15"/>
      <c r="B477" s="15"/>
      <c r="C477" s="15"/>
      <c r="D477" s="15"/>
      <c r="E477" s="15"/>
      <c r="F477" s="1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15"/>
      <c r="B478" s="15"/>
      <c r="C478" s="15"/>
      <c r="D478" s="15"/>
      <c r="E478" s="15"/>
      <c r="F478" s="1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15"/>
      <c r="B479" s="15"/>
      <c r="C479" s="15"/>
      <c r="D479" s="15"/>
      <c r="E479" s="15"/>
      <c r="F479" s="1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15"/>
      <c r="B480" s="15"/>
      <c r="C480" s="15"/>
      <c r="D480" s="15"/>
      <c r="E480" s="15"/>
      <c r="F480" s="1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15"/>
      <c r="B481" s="15"/>
      <c r="C481" s="15"/>
      <c r="D481" s="15"/>
      <c r="E481" s="15"/>
      <c r="F481" s="1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15"/>
      <c r="B482" s="15"/>
      <c r="C482" s="15"/>
      <c r="D482" s="15"/>
      <c r="E482" s="15"/>
      <c r="F482" s="1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15"/>
      <c r="B483" s="15"/>
      <c r="C483" s="15"/>
      <c r="D483" s="15"/>
      <c r="E483" s="15"/>
      <c r="F483" s="1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15"/>
      <c r="B484" s="15"/>
      <c r="C484" s="15"/>
      <c r="D484" s="15"/>
      <c r="E484" s="15"/>
      <c r="F484" s="1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15"/>
      <c r="B485" s="15"/>
      <c r="C485" s="15"/>
      <c r="D485" s="15"/>
      <c r="E485" s="15"/>
      <c r="F485" s="1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15"/>
      <c r="B486" s="15"/>
      <c r="C486" s="15"/>
      <c r="D486" s="15"/>
      <c r="E486" s="15"/>
      <c r="F486" s="1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15"/>
      <c r="B487" s="15"/>
      <c r="C487" s="15"/>
      <c r="D487" s="15"/>
      <c r="E487" s="15"/>
      <c r="F487" s="1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15"/>
      <c r="B488" s="15"/>
      <c r="C488" s="15"/>
      <c r="D488" s="15"/>
      <c r="E488" s="15"/>
      <c r="F488" s="1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15"/>
      <c r="B489" s="15"/>
      <c r="C489" s="15"/>
      <c r="D489" s="15"/>
      <c r="E489" s="15"/>
      <c r="F489" s="1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15"/>
      <c r="B490" s="15"/>
      <c r="C490" s="15"/>
      <c r="D490" s="15"/>
      <c r="E490" s="15"/>
      <c r="F490" s="1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15"/>
      <c r="B491" s="15"/>
      <c r="C491" s="15"/>
      <c r="D491" s="15"/>
      <c r="E491" s="15"/>
      <c r="F491" s="1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15"/>
      <c r="B492" s="15"/>
      <c r="C492" s="15"/>
      <c r="D492" s="15"/>
      <c r="E492" s="15"/>
      <c r="F492" s="1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15"/>
      <c r="B493" s="15"/>
      <c r="C493" s="15"/>
      <c r="D493" s="15"/>
      <c r="E493" s="15"/>
      <c r="F493" s="1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15"/>
      <c r="B494" s="15"/>
      <c r="C494" s="15"/>
      <c r="D494" s="15"/>
      <c r="E494" s="15"/>
      <c r="F494" s="1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15"/>
      <c r="B495" s="15"/>
      <c r="C495" s="15"/>
      <c r="D495" s="15"/>
      <c r="E495" s="15"/>
      <c r="F495" s="1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15"/>
      <c r="B496" s="15"/>
      <c r="C496" s="15"/>
      <c r="D496" s="15"/>
      <c r="E496" s="15"/>
      <c r="F496" s="1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15"/>
      <c r="B497" s="15"/>
      <c r="C497" s="15"/>
      <c r="D497" s="15"/>
      <c r="E497" s="15"/>
      <c r="F497" s="1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15"/>
      <c r="B498" s="15"/>
      <c r="C498" s="15"/>
      <c r="D498" s="15"/>
      <c r="E498" s="15"/>
      <c r="F498" s="1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15"/>
      <c r="B499" s="15"/>
      <c r="C499" s="15"/>
      <c r="D499" s="15"/>
      <c r="E499" s="15"/>
      <c r="F499" s="1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15"/>
      <c r="B500" s="15"/>
      <c r="C500" s="15"/>
      <c r="D500" s="15"/>
      <c r="E500" s="15"/>
      <c r="F500" s="1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15"/>
      <c r="B501" s="15"/>
      <c r="C501" s="15"/>
      <c r="D501" s="15"/>
      <c r="E501" s="15"/>
      <c r="F501" s="1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15"/>
      <c r="B502" s="15"/>
      <c r="C502" s="15"/>
      <c r="D502" s="15"/>
      <c r="E502" s="15"/>
      <c r="F502" s="1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15"/>
      <c r="B503" s="15"/>
      <c r="C503" s="15"/>
      <c r="D503" s="15"/>
      <c r="E503" s="15"/>
      <c r="F503" s="1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15"/>
      <c r="B504" s="15"/>
      <c r="C504" s="15"/>
      <c r="D504" s="15"/>
      <c r="E504" s="15"/>
      <c r="F504" s="1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15"/>
      <c r="B505" s="15"/>
      <c r="C505" s="15"/>
      <c r="D505" s="15"/>
      <c r="E505" s="15"/>
      <c r="F505" s="1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15"/>
      <c r="B506" s="15"/>
      <c r="C506" s="15"/>
      <c r="D506" s="15"/>
      <c r="E506" s="15"/>
      <c r="F506" s="1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15"/>
      <c r="B507" s="15"/>
      <c r="C507" s="15"/>
      <c r="D507" s="15"/>
      <c r="E507" s="15"/>
      <c r="F507" s="1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15"/>
      <c r="B508" s="15"/>
      <c r="C508" s="15"/>
      <c r="D508" s="15"/>
      <c r="E508" s="15"/>
      <c r="F508" s="1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15"/>
      <c r="B509" s="15"/>
      <c r="C509" s="15"/>
      <c r="D509" s="15"/>
      <c r="E509" s="15"/>
      <c r="F509" s="1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15"/>
      <c r="B510" s="15"/>
      <c r="C510" s="15"/>
      <c r="D510" s="15"/>
      <c r="E510" s="15"/>
      <c r="F510" s="1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15"/>
      <c r="B511" s="15"/>
      <c r="C511" s="15"/>
      <c r="D511" s="15"/>
      <c r="E511" s="15"/>
      <c r="F511" s="1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15"/>
      <c r="B512" s="15"/>
      <c r="C512" s="15"/>
      <c r="D512" s="15"/>
      <c r="E512" s="15"/>
      <c r="F512" s="1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15"/>
      <c r="B513" s="15"/>
      <c r="C513" s="15"/>
      <c r="D513" s="15"/>
      <c r="E513" s="15"/>
      <c r="F513" s="1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15"/>
      <c r="B514" s="15"/>
      <c r="C514" s="15"/>
      <c r="D514" s="15"/>
      <c r="E514" s="15"/>
      <c r="F514" s="1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15"/>
      <c r="B515" s="15"/>
      <c r="C515" s="15"/>
      <c r="D515" s="15"/>
      <c r="E515" s="15"/>
      <c r="F515" s="1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15"/>
      <c r="B516" s="15"/>
      <c r="C516" s="15"/>
      <c r="D516" s="15"/>
      <c r="E516" s="15"/>
      <c r="F516" s="1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15"/>
      <c r="B517" s="15"/>
      <c r="C517" s="15"/>
      <c r="D517" s="15"/>
      <c r="E517" s="15"/>
      <c r="F517" s="1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15"/>
      <c r="B518" s="15"/>
      <c r="C518" s="15"/>
      <c r="D518" s="15"/>
      <c r="E518" s="15"/>
      <c r="F518" s="1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15"/>
      <c r="B519" s="15"/>
      <c r="C519" s="15"/>
      <c r="D519" s="15"/>
      <c r="E519" s="15"/>
      <c r="F519" s="1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15"/>
      <c r="B520" s="15"/>
      <c r="C520" s="15"/>
      <c r="D520" s="15"/>
      <c r="E520" s="15"/>
      <c r="F520" s="1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15"/>
      <c r="B521" s="15"/>
      <c r="C521" s="15"/>
      <c r="D521" s="15"/>
      <c r="E521" s="15"/>
      <c r="F521" s="1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15"/>
      <c r="B522" s="15"/>
      <c r="C522" s="15"/>
      <c r="D522" s="15"/>
      <c r="E522" s="15"/>
      <c r="F522" s="1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15"/>
      <c r="B523" s="15"/>
      <c r="C523" s="15"/>
      <c r="D523" s="15"/>
      <c r="E523" s="15"/>
      <c r="F523" s="1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15"/>
      <c r="B524" s="15"/>
      <c r="C524" s="15"/>
      <c r="D524" s="15"/>
      <c r="E524" s="15"/>
      <c r="F524" s="1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15"/>
      <c r="B525" s="15"/>
      <c r="C525" s="15"/>
      <c r="D525" s="15"/>
      <c r="E525" s="15"/>
      <c r="F525" s="1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15"/>
      <c r="B526" s="15"/>
      <c r="C526" s="15"/>
      <c r="D526" s="15"/>
      <c r="E526" s="15"/>
      <c r="F526" s="1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15"/>
      <c r="B527" s="15"/>
      <c r="C527" s="15"/>
      <c r="D527" s="15"/>
      <c r="E527" s="15"/>
      <c r="F527" s="1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15"/>
      <c r="B528" s="15"/>
      <c r="C528" s="15"/>
      <c r="D528" s="15"/>
      <c r="E528" s="15"/>
      <c r="F528" s="1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15"/>
      <c r="B529" s="15"/>
      <c r="C529" s="15"/>
      <c r="D529" s="15"/>
      <c r="E529" s="15"/>
      <c r="F529" s="1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15"/>
      <c r="B530" s="15"/>
      <c r="C530" s="15"/>
      <c r="D530" s="15"/>
      <c r="E530" s="15"/>
      <c r="F530" s="1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15"/>
      <c r="B531" s="15"/>
      <c r="C531" s="15"/>
      <c r="D531" s="15"/>
      <c r="E531" s="15"/>
      <c r="F531" s="1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15"/>
      <c r="B532" s="15"/>
      <c r="C532" s="15"/>
      <c r="D532" s="15"/>
      <c r="E532" s="15"/>
      <c r="F532" s="1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15"/>
      <c r="B533" s="15"/>
      <c r="C533" s="15"/>
      <c r="D533" s="15"/>
      <c r="E533" s="15"/>
      <c r="F533" s="1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15"/>
      <c r="B534" s="15"/>
      <c r="C534" s="15"/>
      <c r="D534" s="15"/>
      <c r="E534" s="15"/>
      <c r="F534" s="1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15"/>
      <c r="B535" s="15"/>
      <c r="C535" s="15"/>
      <c r="D535" s="15"/>
      <c r="E535" s="15"/>
      <c r="F535" s="1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15"/>
      <c r="B536" s="15"/>
      <c r="C536" s="15"/>
      <c r="D536" s="15"/>
      <c r="E536" s="15"/>
      <c r="F536" s="1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15"/>
      <c r="B537" s="15"/>
      <c r="C537" s="15"/>
      <c r="D537" s="15"/>
      <c r="E537" s="15"/>
      <c r="F537" s="1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15"/>
      <c r="B538" s="15"/>
      <c r="C538" s="15"/>
      <c r="D538" s="15"/>
      <c r="E538" s="15"/>
      <c r="F538" s="1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15"/>
      <c r="B539" s="15"/>
      <c r="C539" s="15"/>
      <c r="D539" s="15"/>
      <c r="E539" s="15"/>
      <c r="F539" s="1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15"/>
      <c r="B540" s="15"/>
      <c r="C540" s="15"/>
      <c r="D540" s="15"/>
      <c r="E540" s="15"/>
      <c r="F540" s="1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15"/>
      <c r="B541" s="15"/>
      <c r="C541" s="15"/>
      <c r="D541" s="15"/>
      <c r="E541" s="15"/>
      <c r="F541" s="1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15"/>
      <c r="B542" s="15"/>
      <c r="C542" s="15"/>
      <c r="D542" s="15"/>
      <c r="E542" s="15"/>
      <c r="F542" s="1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15"/>
      <c r="B543" s="15"/>
      <c r="C543" s="15"/>
      <c r="D543" s="15"/>
      <c r="E543" s="15"/>
      <c r="F543" s="1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15"/>
      <c r="B544" s="15"/>
      <c r="C544" s="15"/>
      <c r="D544" s="15"/>
      <c r="E544" s="15"/>
      <c r="F544" s="1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15"/>
      <c r="B545" s="15"/>
      <c r="C545" s="15"/>
      <c r="D545" s="15"/>
      <c r="E545" s="15"/>
      <c r="F545" s="1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15"/>
      <c r="B546" s="15"/>
      <c r="C546" s="15"/>
      <c r="D546" s="15"/>
      <c r="E546" s="15"/>
      <c r="F546" s="1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15"/>
      <c r="B547" s="15"/>
      <c r="C547" s="15"/>
      <c r="D547" s="15"/>
      <c r="E547" s="15"/>
      <c r="F547" s="1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15"/>
      <c r="B548" s="15"/>
      <c r="C548" s="15"/>
      <c r="D548" s="15"/>
      <c r="E548" s="15"/>
      <c r="F548" s="1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15"/>
      <c r="B549" s="15"/>
      <c r="C549" s="15"/>
      <c r="D549" s="15"/>
      <c r="E549" s="15"/>
      <c r="F549" s="1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15"/>
      <c r="B550" s="15"/>
      <c r="C550" s="15"/>
      <c r="D550" s="15"/>
      <c r="E550" s="15"/>
      <c r="F550" s="1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15"/>
      <c r="B551" s="15"/>
      <c r="C551" s="15"/>
      <c r="D551" s="15"/>
      <c r="E551" s="15"/>
      <c r="F551" s="1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15"/>
      <c r="B552" s="15"/>
      <c r="C552" s="15"/>
      <c r="D552" s="15"/>
      <c r="E552" s="15"/>
      <c r="F552" s="1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15"/>
      <c r="B553" s="15"/>
      <c r="C553" s="15"/>
      <c r="D553" s="15"/>
      <c r="E553" s="15"/>
      <c r="F553" s="1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15"/>
      <c r="B554" s="15"/>
      <c r="C554" s="15"/>
      <c r="D554" s="15"/>
      <c r="E554" s="15"/>
      <c r="F554" s="1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15"/>
      <c r="B555" s="15"/>
      <c r="C555" s="15"/>
      <c r="D555" s="15"/>
      <c r="E555" s="15"/>
      <c r="F555" s="1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15"/>
      <c r="B556" s="15"/>
      <c r="C556" s="15"/>
      <c r="D556" s="15"/>
      <c r="E556" s="15"/>
      <c r="F556" s="1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15"/>
      <c r="B557" s="15"/>
      <c r="C557" s="15"/>
      <c r="D557" s="15"/>
      <c r="E557" s="15"/>
      <c r="F557" s="1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15"/>
      <c r="B558" s="15"/>
      <c r="C558" s="15"/>
      <c r="D558" s="15"/>
      <c r="E558" s="15"/>
      <c r="F558" s="1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15"/>
      <c r="B559" s="15"/>
      <c r="C559" s="15"/>
      <c r="D559" s="15"/>
      <c r="E559" s="15"/>
      <c r="F559" s="1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15"/>
      <c r="B560" s="15"/>
      <c r="C560" s="15"/>
      <c r="D560" s="15"/>
      <c r="E560" s="15"/>
      <c r="F560" s="1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15"/>
      <c r="B561" s="15"/>
      <c r="C561" s="15"/>
      <c r="D561" s="15"/>
      <c r="E561" s="15"/>
      <c r="F561" s="1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15"/>
      <c r="B562" s="15"/>
      <c r="C562" s="15"/>
      <c r="D562" s="15"/>
      <c r="E562" s="15"/>
      <c r="F562" s="1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15"/>
      <c r="B563" s="15"/>
      <c r="C563" s="15"/>
      <c r="D563" s="15"/>
      <c r="E563" s="15"/>
      <c r="F563" s="1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15"/>
      <c r="B564" s="15"/>
      <c r="C564" s="15"/>
      <c r="D564" s="15"/>
      <c r="E564" s="15"/>
      <c r="F564" s="1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15"/>
      <c r="B565" s="15"/>
      <c r="C565" s="15"/>
      <c r="D565" s="15"/>
      <c r="E565" s="15"/>
      <c r="F565" s="1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15"/>
      <c r="B566" s="15"/>
      <c r="C566" s="15"/>
      <c r="D566" s="15"/>
      <c r="E566" s="15"/>
      <c r="F566" s="1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15"/>
      <c r="B567" s="15"/>
      <c r="C567" s="15"/>
      <c r="D567" s="15"/>
      <c r="E567" s="15"/>
      <c r="F567" s="1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15"/>
      <c r="B568" s="15"/>
      <c r="C568" s="15"/>
      <c r="D568" s="15"/>
      <c r="E568" s="15"/>
      <c r="F568" s="1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15"/>
      <c r="B569" s="15"/>
      <c r="C569" s="15"/>
      <c r="D569" s="15"/>
      <c r="E569" s="15"/>
      <c r="F569" s="1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15"/>
      <c r="B570" s="15"/>
      <c r="C570" s="15"/>
      <c r="D570" s="15"/>
      <c r="E570" s="15"/>
      <c r="F570" s="1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15"/>
      <c r="B571" s="15"/>
      <c r="C571" s="15"/>
      <c r="D571" s="15"/>
      <c r="E571" s="15"/>
      <c r="F571" s="1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15"/>
      <c r="B572" s="15"/>
      <c r="C572" s="15"/>
      <c r="D572" s="15"/>
      <c r="E572" s="15"/>
      <c r="F572" s="1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15"/>
      <c r="B573" s="15"/>
      <c r="C573" s="15"/>
      <c r="D573" s="15"/>
      <c r="E573" s="15"/>
      <c r="F573" s="1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15"/>
      <c r="B574" s="15"/>
      <c r="C574" s="15"/>
      <c r="D574" s="15"/>
      <c r="E574" s="15"/>
      <c r="F574" s="1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15"/>
      <c r="B575" s="15"/>
      <c r="C575" s="15"/>
      <c r="D575" s="15"/>
      <c r="E575" s="15"/>
      <c r="F575" s="1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15"/>
      <c r="B576" s="15"/>
      <c r="C576" s="15"/>
      <c r="D576" s="15"/>
      <c r="E576" s="15"/>
      <c r="F576" s="1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15"/>
      <c r="B577" s="15"/>
      <c r="C577" s="15"/>
      <c r="D577" s="15"/>
      <c r="E577" s="15"/>
      <c r="F577" s="1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15"/>
      <c r="B578" s="15"/>
      <c r="C578" s="15"/>
      <c r="D578" s="15"/>
      <c r="E578" s="15"/>
      <c r="F578" s="1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15"/>
      <c r="B579" s="15"/>
      <c r="C579" s="15"/>
      <c r="D579" s="15"/>
      <c r="E579" s="15"/>
      <c r="F579" s="1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15"/>
      <c r="B580" s="15"/>
      <c r="C580" s="15"/>
      <c r="D580" s="15"/>
      <c r="E580" s="15"/>
      <c r="F580" s="1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15"/>
      <c r="B581" s="15"/>
      <c r="C581" s="15"/>
      <c r="D581" s="15"/>
      <c r="E581" s="15"/>
      <c r="F581" s="1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15"/>
      <c r="B582" s="15"/>
      <c r="C582" s="15"/>
      <c r="D582" s="15"/>
      <c r="E582" s="15"/>
      <c r="F582" s="1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15"/>
      <c r="B583" s="15"/>
      <c r="C583" s="15"/>
      <c r="D583" s="15"/>
      <c r="E583" s="15"/>
      <c r="F583" s="1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15"/>
      <c r="B584" s="15"/>
      <c r="C584" s="15"/>
      <c r="D584" s="15"/>
      <c r="E584" s="15"/>
      <c r="F584" s="1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15"/>
      <c r="B585" s="15"/>
      <c r="C585" s="15"/>
      <c r="D585" s="15"/>
      <c r="E585" s="15"/>
      <c r="F585" s="1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15"/>
      <c r="B586" s="15"/>
      <c r="C586" s="15"/>
      <c r="D586" s="15"/>
      <c r="E586" s="15"/>
      <c r="F586" s="1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15"/>
      <c r="B587" s="15"/>
      <c r="C587" s="15"/>
      <c r="D587" s="15"/>
      <c r="E587" s="15"/>
      <c r="F587" s="1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15"/>
      <c r="B588" s="15"/>
      <c r="C588" s="15"/>
      <c r="D588" s="15"/>
      <c r="E588" s="15"/>
      <c r="F588" s="1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15"/>
      <c r="B589" s="15"/>
      <c r="C589" s="15"/>
      <c r="D589" s="15"/>
      <c r="E589" s="15"/>
      <c r="F589" s="1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15"/>
      <c r="B590" s="15"/>
      <c r="C590" s="15"/>
      <c r="D590" s="15"/>
      <c r="E590" s="15"/>
      <c r="F590" s="1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15"/>
      <c r="B591" s="15"/>
      <c r="C591" s="15"/>
      <c r="D591" s="15"/>
      <c r="E591" s="15"/>
      <c r="F591" s="1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15"/>
      <c r="B592" s="15"/>
      <c r="C592" s="15"/>
      <c r="D592" s="15"/>
      <c r="E592" s="15"/>
      <c r="F592" s="1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15"/>
      <c r="B593" s="15"/>
      <c r="C593" s="15"/>
      <c r="D593" s="15"/>
      <c r="E593" s="15"/>
      <c r="F593" s="1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15"/>
      <c r="B594" s="15"/>
      <c r="C594" s="15"/>
      <c r="D594" s="15"/>
      <c r="E594" s="15"/>
      <c r="F594" s="1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15"/>
      <c r="B595" s="15"/>
      <c r="C595" s="15"/>
      <c r="D595" s="15"/>
      <c r="E595" s="15"/>
      <c r="F595" s="1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15"/>
      <c r="B596" s="15"/>
      <c r="C596" s="15"/>
      <c r="D596" s="15"/>
      <c r="E596" s="15"/>
      <c r="F596" s="1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15"/>
      <c r="B597" s="15"/>
      <c r="C597" s="15"/>
      <c r="D597" s="15"/>
      <c r="E597" s="15"/>
      <c r="F597" s="1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15"/>
      <c r="B598" s="15"/>
      <c r="C598" s="15"/>
      <c r="D598" s="15"/>
      <c r="E598" s="15"/>
      <c r="F598" s="1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15"/>
      <c r="B599" s="15"/>
      <c r="C599" s="15"/>
      <c r="D599" s="15"/>
      <c r="E599" s="15"/>
      <c r="F599" s="1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15"/>
      <c r="B600" s="15"/>
      <c r="C600" s="15"/>
      <c r="D600" s="15"/>
      <c r="E600" s="15"/>
      <c r="F600" s="1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15"/>
      <c r="B601" s="15"/>
      <c r="C601" s="15"/>
      <c r="D601" s="15"/>
      <c r="E601" s="15"/>
      <c r="F601" s="1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15"/>
      <c r="B602" s="15"/>
      <c r="C602" s="15"/>
      <c r="D602" s="15"/>
      <c r="E602" s="15"/>
      <c r="F602" s="1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15"/>
      <c r="B603" s="15"/>
      <c r="C603" s="15"/>
      <c r="D603" s="15"/>
      <c r="E603" s="15"/>
      <c r="F603" s="1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15"/>
      <c r="B604" s="15"/>
      <c r="C604" s="15"/>
      <c r="D604" s="15"/>
      <c r="E604" s="15"/>
      <c r="F604" s="1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15"/>
      <c r="B605" s="15"/>
      <c r="C605" s="15"/>
      <c r="D605" s="15"/>
      <c r="E605" s="15"/>
      <c r="F605" s="1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15"/>
      <c r="B606" s="15"/>
      <c r="C606" s="15"/>
      <c r="D606" s="15"/>
      <c r="E606" s="15"/>
      <c r="F606" s="1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15"/>
      <c r="B607" s="15"/>
      <c r="C607" s="15"/>
      <c r="D607" s="15"/>
      <c r="E607" s="15"/>
      <c r="F607" s="1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15"/>
      <c r="B608" s="15"/>
      <c r="C608" s="15"/>
      <c r="D608" s="15"/>
      <c r="E608" s="15"/>
      <c r="F608" s="1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15"/>
      <c r="B609" s="15"/>
      <c r="C609" s="15"/>
      <c r="D609" s="15"/>
      <c r="E609" s="15"/>
      <c r="F609" s="1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15"/>
      <c r="B610" s="15"/>
      <c r="C610" s="15"/>
      <c r="D610" s="15"/>
      <c r="E610" s="15"/>
      <c r="F610" s="1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15"/>
      <c r="B611" s="15"/>
      <c r="C611" s="15"/>
      <c r="D611" s="15"/>
      <c r="E611" s="15"/>
      <c r="F611" s="1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15"/>
      <c r="B612" s="15"/>
      <c r="C612" s="15"/>
      <c r="D612" s="15"/>
      <c r="E612" s="15"/>
      <c r="F612" s="1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15"/>
      <c r="B613" s="15"/>
      <c r="C613" s="15"/>
      <c r="D613" s="15"/>
      <c r="E613" s="15"/>
      <c r="F613" s="1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15"/>
      <c r="B614" s="15"/>
      <c r="C614" s="15"/>
      <c r="D614" s="15"/>
      <c r="E614" s="15"/>
      <c r="F614" s="1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15"/>
      <c r="B615" s="15"/>
      <c r="C615" s="15"/>
      <c r="D615" s="15"/>
      <c r="E615" s="15"/>
      <c r="F615" s="1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15"/>
      <c r="B616" s="15"/>
      <c r="C616" s="15"/>
      <c r="D616" s="15"/>
      <c r="E616" s="15"/>
      <c r="F616" s="1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15"/>
      <c r="B617" s="15"/>
      <c r="C617" s="15"/>
      <c r="D617" s="15"/>
      <c r="E617" s="15"/>
      <c r="F617" s="1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15"/>
      <c r="B618" s="15"/>
      <c r="C618" s="15"/>
      <c r="D618" s="15"/>
      <c r="E618" s="15"/>
      <c r="F618" s="1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15"/>
      <c r="B619" s="15"/>
      <c r="C619" s="15"/>
      <c r="D619" s="15"/>
      <c r="E619" s="15"/>
      <c r="F619" s="1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15"/>
      <c r="B620" s="15"/>
      <c r="C620" s="15"/>
      <c r="D620" s="15"/>
      <c r="E620" s="15"/>
      <c r="F620" s="1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15"/>
      <c r="B621" s="15"/>
      <c r="C621" s="15"/>
      <c r="D621" s="15"/>
      <c r="E621" s="15"/>
      <c r="F621" s="1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15"/>
      <c r="B622" s="15"/>
      <c r="C622" s="15"/>
      <c r="D622" s="15"/>
      <c r="E622" s="15"/>
      <c r="F622" s="1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15"/>
      <c r="B623" s="15"/>
      <c r="C623" s="15"/>
      <c r="D623" s="15"/>
      <c r="E623" s="15"/>
      <c r="F623" s="1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15"/>
      <c r="B624" s="15"/>
      <c r="C624" s="15"/>
      <c r="D624" s="15"/>
      <c r="E624" s="15"/>
      <c r="F624" s="1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15"/>
      <c r="B625" s="15"/>
      <c r="C625" s="15"/>
      <c r="D625" s="15"/>
      <c r="E625" s="15"/>
      <c r="F625" s="1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15"/>
      <c r="B626" s="15"/>
      <c r="C626" s="15"/>
      <c r="D626" s="15"/>
      <c r="E626" s="15"/>
      <c r="F626" s="1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15"/>
      <c r="B627" s="15"/>
      <c r="C627" s="15"/>
      <c r="D627" s="15"/>
      <c r="E627" s="15"/>
      <c r="F627" s="1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15"/>
      <c r="B628" s="15"/>
      <c r="C628" s="15"/>
      <c r="D628" s="15"/>
      <c r="E628" s="15"/>
      <c r="F628" s="1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15"/>
      <c r="B629" s="15"/>
      <c r="C629" s="15"/>
      <c r="D629" s="15"/>
      <c r="E629" s="15"/>
      <c r="F629" s="1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15"/>
      <c r="B630" s="15"/>
      <c r="C630" s="15"/>
      <c r="D630" s="15"/>
      <c r="E630" s="15"/>
      <c r="F630" s="1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15"/>
      <c r="B631" s="15"/>
      <c r="C631" s="15"/>
      <c r="D631" s="15"/>
      <c r="E631" s="15"/>
      <c r="F631" s="1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15"/>
      <c r="B632" s="15"/>
      <c r="C632" s="15"/>
      <c r="D632" s="15"/>
      <c r="E632" s="15"/>
      <c r="F632" s="1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15"/>
      <c r="B633" s="15"/>
      <c r="C633" s="15"/>
      <c r="D633" s="15"/>
      <c r="E633" s="15"/>
      <c r="F633" s="1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15"/>
      <c r="B634" s="15"/>
      <c r="C634" s="15"/>
      <c r="D634" s="15"/>
      <c r="E634" s="15"/>
      <c r="F634" s="1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15"/>
      <c r="B635" s="15"/>
      <c r="C635" s="15"/>
      <c r="D635" s="15"/>
      <c r="E635" s="15"/>
      <c r="F635" s="1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15"/>
      <c r="B636" s="15"/>
      <c r="C636" s="15"/>
      <c r="D636" s="15"/>
      <c r="E636" s="15"/>
      <c r="F636" s="1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15"/>
      <c r="B637" s="15"/>
      <c r="C637" s="15"/>
      <c r="D637" s="15"/>
      <c r="E637" s="15"/>
      <c r="F637" s="1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15"/>
      <c r="B638" s="15"/>
      <c r="C638" s="15"/>
      <c r="D638" s="15"/>
      <c r="E638" s="15"/>
      <c r="F638" s="1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15"/>
      <c r="B639" s="15"/>
      <c r="C639" s="15"/>
      <c r="D639" s="15"/>
      <c r="E639" s="15"/>
      <c r="F639" s="1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15"/>
      <c r="B640" s="15"/>
      <c r="C640" s="15"/>
      <c r="D640" s="15"/>
      <c r="E640" s="15"/>
      <c r="F640" s="1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15"/>
      <c r="B641" s="15"/>
      <c r="C641" s="15"/>
      <c r="D641" s="15"/>
      <c r="E641" s="15"/>
      <c r="F641" s="1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15"/>
      <c r="B642" s="15"/>
      <c r="C642" s="15"/>
      <c r="D642" s="15"/>
      <c r="E642" s="15"/>
      <c r="F642" s="1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15"/>
      <c r="B643" s="15"/>
      <c r="C643" s="15"/>
      <c r="D643" s="15"/>
      <c r="E643" s="15"/>
      <c r="F643" s="1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15"/>
      <c r="B644" s="15"/>
      <c r="C644" s="15"/>
      <c r="D644" s="15"/>
      <c r="E644" s="15"/>
      <c r="F644" s="1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15"/>
      <c r="B645" s="15"/>
      <c r="C645" s="15"/>
      <c r="D645" s="15"/>
      <c r="E645" s="15"/>
      <c r="F645" s="1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15"/>
      <c r="B646" s="15"/>
      <c r="C646" s="15"/>
      <c r="D646" s="15"/>
      <c r="E646" s="15"/>
      <c r="F646" s="1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15"/>
      <c r="B647" s="15"/>
      <c r="C647" s="15"/>
      <c r="D647" s="15"/>
      <c r="E647" s="15"/>
      <c r="F647" s="1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15"/>
      <c r="B648" s="15"/>
      <c r="C648" s="15"/>
      <c r="D648" s="15"/>
      <c r="E648" s="15"/>
      <c r="F648" s="1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15"/>
      <c r="B649" s="15"/>
      <c r="C649" s="15"/>
      <c r="D649" s="15"/>
      <c r="E649" s="15"/>
      <c r="F649" s="1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15"/>
      <c r="B650" s="15"/>
      <c r="C650" s="15"/>
      <c r="D650" s="15"/>
      <c r="E650" s="15"/>
      <c r="F650" s="1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15"/>
      <c r="B651" s="15"/>
      <c r="C651" s="15"/>
      <c r="D651" s="15"/>
      <c r="E651" s="15"/>
      <c r="F651" s="1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15"/>
      <c r="B652" s="15"/>
      <c r="C652" s="15"/>
      <c r="D652" s="15"/>
      <c r="E652" s="15"/>
      <c r="F652" s="1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15"/>
      <c r="B653" s="15"/>
      <c r="C653" s="15"/>
      <c r="D653" s="15"/>
      <c r="E653" s="15"/>
      <c r="F653" s="1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15"/>
      <c r="B654" s="15"/>
      <c r="C654" s="15"/>
      <c r="D654" s="15"/>
      <c r="E654" s="15"/>
      <c r="F654" s="1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15"/>
      <c r="B655" s="15"/>
      <c r="C655" s="15"/>
      <c r="D655" s="15"/>
      <c r="E655" s="15"/>
      <c r="F655" s="1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15"/>
      <c r="B656" s="15"/>
      <c r="C656" s="15"/>
      <c r="D656" s="15"/>
      <c r="E656" s="15"/>
      <c r="F656" s="1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15"/>
      <c r="B657" s="15"/>
      <c r="C657" s="15"/>
      <c r="D657" s="15"/>
      <c r="E657" s="15"/>
      <c r="F657" s="1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15"/>
      <c r="B658" s="15"/>
      <c r="C658" s="15"/>
      <c r="D658" s="15"/>
      <c r="E658" s="15"/>
      <c r="F658" s="1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15"/>
      <c r="B659" s="15"/>
      <c r="C659" s="15"/>
      <c r="D659" s="15"/>
      <c r="E659" s="15"/>
      <c r="F659" s="1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15"/>
      <c r="B660" s="15"/>
      <c r="C660" s="15"/>
      <c r="D660" s="15"/>
      <c r="E660" s="15"/>
      <c r="F660" s="1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15"/>
      <c r="B661" s="15"/>
      <c r="C661" s="15"/>
      <c r="D661" s="15"/>
      <c r="E661" s="15"/>
      <c r="F661" s="1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15"/>
      <c r="B662" s="15"/>
      <c r="C662" s="15"/>
      <c r="D662" s="15"/>
      <c r="E662" s="15"/>
      <c r="F662" s="1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15"/>
      <c r="B663" s="15"/>
      <c r="C663" s="15"/>
      <c r="D663" s="15"/>
      <c r="E663" s="15"/>
      <c r="F663" s="1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15"/>
      <c r="B664" s="15"/>
      <c r="C664" s="15"/>
      <c r="D664" s="15"/>
      <c r="E664" s="15"/>
      <c r="F664" s="1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15"/>
      <c r="B665" s="15"/>
      <c r="C665" s="15"/>
      <c r="D665" s="15"/>
      <c r="E665" s="15"/>
      <c r="F665" s="1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15"/>
      <c r="B666" s="15"/>
      <c r="C666" s="15"/>
      <c r="D666" s="15"/>
      <c r="E666" s="15"/>
      <c r="F666" s="1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15"/>
      <c r="B667" s="15"/>
      <c r="C667" s="15"/>
      <c r="D667" s="15"/>
      <c r="E667" s="15"/>
      <c r="F667" s="1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15"/>
      <c r="B668" s="15"/>
      <c r="C668" s="15"/>
      <c r="D668" s="15"/>
      <c r="E668" s="15"/>
      <c r="F668" s="1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15"/>
      <c r="B669" s="15"/>
      <c r="C669" s="15"/>
      <c r="D669" s="15"/>
      <c r="E669" s="15"/>
      <c r="F669" s="1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15"/>
      <c r="B670" s="15"/>
      <c r="C670" s="15"/>
      <c r="D670" s="15"/>
      <c r="E670" s="15"/>
      <c r="F670" s="1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15"/>
      <c r="B671" s="15"/>
      <c r="C671" s="15"/>
      <c r="D671" s="15"/>
      <c r="E671" s="15"/>
      <c r="F671" s="1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15"/>
      <c r="B672" s="15"/>
      <c r="C672" s="15"/>
      <c r="D672" s="15"/>
      <c r="E672" s="15"/>
      <c r="F672" s="1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15"/>
      <c r="B673" s="15"/>
      <c r="C673" s="15"/>
      <c r="D673" s="15"/>
      <c r="E673" s="15"/>
      <c r="F673" s="1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15"/>
      <c r="B674" s="15"/>
      <c r="C674" s="15"/>
      <c r="D674" s="15"/>
      <c r="E674" s="15"/>
      <c r="F674" s="1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15"/>
      <c r="B675" s="15"/>
      <c r="C675" s="15"/>
      <c r="D675" s="15"/>
      <c r="E675" s="15"/>
      <c r="F675" s="1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15"/>
      <c r="B676" s="15"/>
      <c r="C676" s="15"/>
      <c r="D676" s="15"/>
      <c r="E676" s="15"/>
      <c r="F676" s="1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15"/>
      <c r="B677" s="15"/>
      <c r="C677" s="15"/>
      <c r="D677" s="15"/>
      <c r="E677" s="15"/>
      <c r="F677" s="1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15"/>
      <c r="B678" s="15"/>
      <c r="C678" s="15"/>
      <c r="D678" s="15"/>
      <c r="E678" s="15"/>
      <c r="F678" s="1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15"/>
      <c r="B679" s="15"/>
      <c r="C679" s="15"/>
      <c r="D679" s="15"/>
      <c r="E679" s="15"/>
      <c r="F679" s="1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15"/>
      <c r="B680" s="15"/>
      <c r="C680" s="15"/>
      <c r="D680" s="15"/>
      <c r="E680" s="15"/>
      <c r="F680" s="1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15"/>
      <c r="B681" s="15"/>
      <c r="C681" s="15"/>
      <c r="D681" s="15"/>
      <c r="E681" s="15"/>
      <c r="F681" s="1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15"/>
      <c r="B682" s="15"/>
      <c r="C682" s="15"/>
      <c r="D682" s="15"/>
      <c r="E682" s="15"/>
      <c r="F682" s="1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15"/>
      <c r="B683" s="15"/>
      <c r="C683" s="15"/>
      <c r="D683" s="15"/>
      <c r="E683" s="15"/>
      <c r="F683" s="1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15"/>
      <c r="B684" s="15"/>
      <c r="C684" s="15"/>
      <c r="D684" s="15"/>
      <c r="E684" s="15"/>
      <c r="F684" s="1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15"/>
      <c r="B685" s="15"/>
      <c r="C685" s="15"/>
      <c r="D685" s="15"/>
      <c r="E685" s="15"/>
      <c r="F685" s="1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15"/>
      <c r="B686" s="15"/>
      <c r="C686" s="15"/>
      <c r="D686" s="15"/>
      <c r="E686" s="15"/>
      <c r="F686" s="1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15"/>
      <c r="B687" s="15"/>
      <c r="C687" s="15"/>
      <c r="D687" s="15"/>
      <c r="E687" s="15"/>
      <c r="F687" s="1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15"/>
      <c r="B688" s="15"/>
      <c r="C688" s="15"/>
      <c r="D688" s="15"/>
      <c r="E688" s="15"/>
      <c r="F688" s="1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15"/>
      <c r="B689" s="15"/>
      <c r="C689" s="15"/>
      <c r="D689" s="15"/>
      <c r="E689" s="15"/>
      <c r="F689" s="1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15"/>
      <c r="B690" s="15"/>
      <c r="C690" s="15"/>
      <c r="D690" s="15"/>
      <c r="E690" s="15"/>
      <c r="F690" s="1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15"/>
      <c r="B691" s="15"/>
      <c r="C691" s="15"/>
      <c r="D691" s="15"/>
      <c r="E691" s="15"/>
      <c r="F691" s="1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15"/>
      <c r="B692" s="15"/>
      <c r="C692" s="15"/>
      <c r="D692" s="15"/>
      <c r="E692" s="15"/>
      <c r="F692" s="1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15"/>
      <c r="B693" s="15"/>
      <c r="C693" s="15"/>
      <c r="D693" s="15"/>
      <c r="E693" s="15"/>
      <c r="F693" s="1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15"/>
      <c r="B694" s="15"/>
      <c r="C694" s="15"/>
      <c r="D694" s="15"/>
      <c r="E694" s="15"/>
      <c r="F694" s="1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15"/>
      <c r="B695" s="15"/>
      <c r="C695" s="15"/>
      <c r="D695" s="15"/>
      <c r="E695" s="15"/>
      <c r="F695" s="1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15"/>
      <c r="B696" s="15"/>
      <c r="C696" s="15"/>
      <c r="D696" s="15"/>
      <c r="E696" s="15"/>
      <c r="F696" s="1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15"/>
      <c r="B697" s="15"/>
      <c r="C697" s="15"/>
      <c r="D697" s="15"/>
      <c r="E697" s="15"/>
      <c r="F697" s="1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15"/>
      <c r="B698" s="15"/>
      <c r="C698" s="15"/>
      <c r="D698" s="15"/>
      <c r="E698" s="15"/>
      <c r="F698" s="1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15"/>
      <c r="B699" s="15"/>
      <c r="C699" s="15"/>
      <c r="D699" s="15"/>
      <c r="E699" s="15"/>
      <c r="F699" s="1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15"/>
      <c r="B700" s="15"/>
      <c r="C700" s="15"/>
      <c r="D700" s="15"/>
      <c r="E700" s="15"/>
      <c r="F700" s="1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15"/>
      <c r="B701" s="15"/>
      <c r="C701" s="15"/>
      <c r="D701" s="15"/>
      <c r="E701" s="15"/>
      <c r="F701" s="1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15"/>
      <c r="B702" s="15"/>
      <c r="C702" s="15"/>
      <c r="D702" s="15"/>
      <c r="E702" s="15"/>
      <c r="F702" s="1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15"/>
      <c r="B703" s="15"/>
      <c r="C703" s="15"/>
      <c r="D703" s="15"/>
      <c r="E703" s="15"/>
      <c r="F703" s="1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15"/>
      <c r="B704" s="15"/>
      <c r="C704" s="15"/>
      <c r="D704" s="15"/>
      <c r="E704" s="15"/>
      <c r="F704" s="1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15"/>
      <c r="B705" s="15"/>
      <c r="C705" s="15"/>
      <c r="D705" s="15"/>
      <c r="E705" s="15"/>
      <c r="F705" s="1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15"/>
      <c r="B706" s="15"/>
      <c r="C706" s="15"/>
      <c r="D706" s="15"/>
      <c r="E706" s="15"/>
      <c r="F706" s="1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15"/>
      <c r="B707" s="15"/>
      <c r="C707" s="15"/>
      <c r="D707" s="15"/>
      <c r="E707" s="15"/>
      <c r="F707" s="1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15"/>
      <c r="B708" s="15"/>
      <c r="C708" s="15"/>
      <c r="D708" s="15"/>
      <c r="E708" s="15"/>
      <c r="F708" s="1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15"/>
      <c r="B709" s="15"/>
      <c r="C709" s="15"/>
      <c r="D709" s="15"/>
      <c r="E709" s="15"/>
      <c r="F709" s="1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15"/>
      <c r="B710" s="15"/>
      <c r="C710" s="15"/>
      <c r="D710" s="15"/>
      <c r="E710" s="15"/>
      <c r="F710" s="1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15"/>
      <c r="B711" s="15"/>
      <c r="C711" s="15"/>
      <c r="D711" s="15"/>
      <c r="E711" s="15"/>
      <c r="F711" s="1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15"/>
      <c r="B712" s="15"/>
      <c r="C712" s="15"/>
      <c r="D712" s="15"/>
      <c r="E712" s="15"/>
      <c r="F712" s="1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15"/>
      <c r="B713" s="15"/>
      <c r="C713" s="15"/>
      <c r="D713" s="15"/>
      <c r="E713" s="15"/>
      <c r="F713" s="1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15"/>
      <c r="B714" s="15"/>
      <c r="C714" s="15"/>
      <c r="D714" s="15"/>
      <c r="E714" s="15"/>
      <c r="F714" s="1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15"/>
      <c r="B715" s="15"/>
      <c r="C715" s="15"/>
      <c r="D715" s="15"/>
      <c r="E715" s="15"/>
      <c r="F715" s="1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15"/>
      <c r="B716" s="15"/>
      <c r="C716" s="15"/>
      <c r="D716" s="15"/>
      <c r="E716" s="15"/>
      <c r="F716" s="1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15"/>
      <c r="B717" s="15"/>
      <c r="C717" s="15"/>
      <c r="D717" s="15"/>
      <c r="E717" s="15"/>
      <c r="F717" s="1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15"/>
      <c r="B718" s="15"/>
      <c r="C718" s="15"/>
      <c r="D718" s="15"/>
      <c r="E718" s="15"/>
      <c r="F718" s="1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15"/>
      <c r="B719" s="15"/>
      <c r="C719" s="15"/>
      <c r="D719" s="15"/>
      <c r="E719" s="15"/>
      <c r="F719" s="1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15"/>
      <c r="B720" s="15"/>
      <c r="C720" s="15"/>
      <c r="D720" s="15"/>
      <c r="E720" s="15"/>
      <c r="F720" s="1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15"/>
      <c r="B721" s="15"/>
      <c r="C721" s="15"/>
      <c r="D721" s="15"/>
      <c r="E721" s="15"/>
      <c r="F721" s="1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15"/>
      <c r="B722" s="15"/>
      <c r="C722" s="15"/>
      <c r="D722" s="15"/>
      <c r="E722" s="15"/>
      <c r="F722" s="1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15"/>
      <c r="B723" s="15"/>
      <c r="C723" s="15"/>
      <c r="D723" s="15"/>
      <c r="E723" s="15"/>
      <c r="F723" s="1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15"/>
      <c r="B724" s="15"/>
      <c r="C724" s="15"/>
      <c r="D724" s="15"/>
      <c r="E724" s="15"/>
      <c r="F724" s="1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15"/>
      <c r="B725" s="15"/>
      <c r="C725" s="15"/>
      <c r="D725" s="15"/>
      <c r="E725" s="15"/>
      <c r="F725" s="1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15"/>
      <c r="B726" s="15"/>
      <c r="C726" s="15"/>
      <c r="D726" s="15"/>
      <c r="E726" s="15"/>
      <c r="F726" s="1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15"/>
      <c r="B727" s="15"/>
      <c r="C727" s="15"/>
      <c r="D727" s="15"/>
      <c r="E727" s="15"/>
      <c r="F727" s="1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15"/>
      <c r="B728" s="15"/>
      <c r="C728" s="15"/>
      <c r="D728" s="15"/>
      <c r="E728" s="15"/>
      <c r="F728" s="1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15"/>
      <c r="B729" s="15"/>
      <c r="C729" s="15"/>
      <c r="D729" s="15"/>
      <c r="E729" s="15"/>
      <c r="F729" s="1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15"/>
      <c r="B730" s="15"/>
      <c r="C730" s="15"/>
      <c r="D730" s="15"/>
      <c r="E730" s="15"/>
      <c r="F730" s="1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15"/>
      <c r="B731" s="15"/>
      <c r="C731" s="15"/>
      <c r="D731" s="15"/>
      <c r="E731" s="15"/>
      <c r="F731" s="1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15"/>
      <c r="B732" s="15"/>
      <c r="C732" s="15"/>
      <c r="D732" s="15"/>
      <c r="E732" s="15"/>
      <c r="F732" s="1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15"/>
      <c r="B733" s="15"/>
      <c r="C733" s="15"/>
      <c r="D733" s="15"/>
      <c r="E733" s="15"/>
      <c r="F733" s="1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15"/>
      <c r="B734" s="15"/>
      <c r="C734" s="15"/>
      <c r="D734" s="15"/>
      <c r="E734" s="15"/>
      <c r="F734" s="1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15"/>
      <c r="B735" s="15"/>
      <c r="C735" s="15"/>
      <c r="D735" s="15"/>
      <c r="E735" s="15"/>
      <c r="F735" s="1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15"/>
      <c r="B736" s="15"/>
      <c r="C736" s="15"/>
      <c r="D736" s="15"/>
      <c r="E736" s="15"/>
      <c r="F736" s="1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15"/>
      <c r="B737" s="15"/>
      <c r="C737" s="15"/>
      <c r="D737" s="15"/>
      <c r="E737" s="15"/>
      <c r="F737" s="1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15"/>
      <c r="B738" s="15"/>
      <c r="C738" s="15"/>
      <c r="D738" s="15"/>
      <c r="E738" s="15"/>
      <c r="F738" s="1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15"/>
      <c r="B739" s="15"/>
      <c r="C739" s="15"/>
      <c r="D739" s="15"/>
      <c r="E739" s="15"/>
      <c r="F739" s="1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15"/>
      <c r="B740" s="15"/>
      <c r="C740" s="15"/>
      <c r="D740" s="15"/>
      <c r="E740" s="15"/>
      <c r="F740" s="1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15"/>
      <c r="B741" s="15"/>
      <c r="C741" s="15"/>
      <c r="D741" s="15"/>
      <c r="E741" s="15"/>
      <c r="F741" s="1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15"/>
      <c r="B742" s="15"/>
      <c r="C742" s="15"/>
      <c r="D742" s="15"/>
      <c r="E742" s="15"/>
      <c r="F742" s="1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15"/>
      <c r="B743" s="15"/>
      <c r="C743" s="15"/>
      <c r="D743" s="15"/>
      <c r="E743" s="15"/>
      <c r="F743" s="1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15"/>
      <c r="B744" s="15"/>
      <c r="C744" s="15"/>
      <c r="D744" s="15"/>
      <c r="E744" s="15"/>
      <c r="F744" s="1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15"/>
      <c r="B745" s="15"/>
      <c r="C745" s="15"/>
      <c r="D745" s="15"/>
      <c r="E745" s="15"/>
      <c r="F745" s="1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15"/>
      <c r="B746" s="15"/>
      <c r="C746" s="15"/>
      <c r="D746" s="15"/>
      <c r="E746" s="15"/>
      <c r="F746" s="1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15"/>
      <c r="B747" s="15"/>
      <c r="C747" s="15"/>
      <c r="D747" s="15"/>
      <c r="E747" s="15"/>
      <c r="F747" s="1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15"/>
      <c r="B748" s="15"/>
      <c r="C748" s="15"/>
      <c r="D748" s="15"/>
      <c r="E748" s="15"/>
      <c r="F748" s="1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15"/>
      <c r="B749" s="15"/>
      <c r="C749" s="15"/>
      <c r="D749" s="15"/>
      <c r="E749" s="15"/>
      <c r="F749" s="1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15"/>
      <c r="B750" s="15"/>
      <c r="C750" s="15"/>
      <c r="D750" s="15"/>
      <c r="E750" s="15"/>
      <c r="F750" s="1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15"/>
      <c r="B751" s="15"/>
      <c r="C751" s="15"/>
      <c r="D751" s="15"/>
      <c r="E751" s="15"/>
      <c r="F751" s="1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15"/>
      <c r="B752" s="15"/>
      <c r="C752" s="15"/>
      <c r="D752" s="15"/>
      <c r="E752" s="15"/>
      <c r="F752" s="1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15"/>
      <c r="B753" s="15"/>
      <c r="C753" s="15"/>
      <c r="D753" s="15"/>
      <c r="E753" s="15"/>
      <c r="F753" s="1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15"/>
      <c r="B754" s="15"/>
      <c r="C754" s="15"/>
      <c r="D754" s="15"/>
      <c r="E754" s="15"/>
      <c r="F754" s="1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15"/>
      <c r="B755" s="15"/>
      <c r="C755" s="15"/>
      <c r="D755" s="15"/>
      <c r="E755" s="15"/>
      <c r="F755" s="1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15"/>
      <c r="B756" s="15"/>
      <c r="C756" s="15"/>
      <c r="D756" s="15"/>
      <c r="E756" s="15"/>
      <c r="F756" s="1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15"/>
      <c r="B757" s="15"/>
      <c r="C757" s="15"/>
      <c r="D757" s="15"/>
      <c r="E757" s="15"/>
      <c r="F757" s="1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15"/>
      <c r="B758" s="15"/>
      <c r="C758" s="15"/>
      <c r="D758" s="15"/>
      <c r="E758" s="15"/>
      <c r="F758" s="1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15"/>
      <c r="B759" s="15"/>
      <c r="C759" s="15"/>
      <c r="D759" s="15"/>
      <c r="E759" s="15"/>
      <c r="F759" s="1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15"/>
      <c r="B760" s="15"/>
      <c r="C760" s="15"/>
      <c r="D760" s="15"/>
      <c r="E760" s="15"/>
      <c r="F760" s="1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15"/>
      <c r="B761" s="15"/>
      <c r="C761" s="15"/>
      <c r="D761" s="15"/>
      <c r="E761" s="15"/>
      <c r="F761" s="1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15"/>
      <c r="B762" s="15"/>
      <c r="C762" s="15"/>
      <c r="D762" s="15"/>
      <c r="E762" s="15"/>
      <c r="F762" s="1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15"/>
      <c r="B763" s="15"/>
      <c r="C763" s="15"/>
      <c r="D763" s="15"/>
      <c r="E763" s="15"/>
      <c r="F763" s="1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15"/>
      <c r="B764" s="15"/>
      <c r="C764" s="15"/>
      <c r="D764" s="15"/>
      <c r="E764" s="15"/>
      <c r="F764" s="1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15"/>
      <c r="B765" s="15"/>
      <c r="C765" s="15"/>
      <c r="D765" s="15"/>
      <c r="E765" s="15"/>
      <c r="F765" s="1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15"/>
      <c r="B766" s="15"/>
      <c r="C766" s="15"/>
      <c r="D766" s="15"/>
      <c r="E766" s="15"/>
      <c r="F766" s="1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15"/>
      <c r="B767" s="15"/>
      <c r="C767" s="15"/>
      <c r="D767" s="15"/>
      <c r="E767" s="15"/>
      <c r="F767" s="1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15"/>
      <c r="B768" s="15"/>
      <c r="C768" s="15"/>
      <c r="D768" s="15"/>
      <c r="E768" s="15"/>
      <c r="F768" s="1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15"/>
      <c r="B769" s="15"/>
      <c r="C769" s="15"/>
      <c r="D769" s="15"/>
      <c r="E769" s="15"/>
      <c r="F769" s="1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15"/>
      <c r="B770" s="15"/>
      <c r="C770" s="15"/>
      <c r="D770" s="15"/>
      <c r="E770" s="15"/>
      <c r="F770" s="1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15"/>
      <c r="B771" s="15"/>
      <c r="C771" s="15"/>
      <c r="D771" s="15"/>
      <c r="E771" s="15"/>
      <c r="F771" s="1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15"/>
      <c r="B772" s="15"/>
      <c r="C772" s="15"/>
      <c r="D772" s="15"/>
      <c r="E772" s="15"/>
      <c r="F772" s="1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15"/>
      <c r="B773" s="15"/>
      <c r="C773" s="15"/>
      <c r="D773" s="15"/>
      <c r="E773" s="15"/>
      <c r="F773" s="1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15"/>
      <c r="B774" s="15"/>
      <c r="C774" s="15"/>
      <c r="D774" s="15"/>
      <c r="E774" s="15"/>
      <c r="F774" s="1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15"/>
      <c r="B775" s="15"/>
      <c r="C775" s="15"/>
      <c r="D775" s="15"/>
      <c r="E775" s="15"/>
      <c r="F775" s="1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15"/>
      <c r="B776" s="15"/>
      <c r="C776" s="15"/>
      <c r="D776" s="15"/>
      <c r="E776" s="15"/>
      <c r="F776" s="1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15"/>
      <c r="B777" s="15"/>
      <c r="C777" s="15"/>
      <c r="D777" s="15"/>
      <c r="E777" s="15"/>
      <c r="F777" s="1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15"/>
      <c r="B778" s="15"/>
      <c r="C778" s="15"/>
      <c r="D778" s="15"/>
      <c r="E778" s="15"/>
      <c r="F778" s="1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15"/>
      <c r="B779" s="15"/>
      <c r="C779" s="15"/>
      <c r="D779" s="15"/>
      <c r="E779" s="15"/>
      <c r="F779" s="1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15"/>
      <c r="B780" s="15"/>
      <c r="C780" s="15"/>
      <c r="D780" s="15"/>
      <c r="E780" s="15"/>
      <c r="F780" s="1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15"/>
      <c r="B781" s="15"/>
      <c r="C781" s="15"/>
      <c r="D781" s="15"/>
      <c r="E781" s="15"/>
      <c r="F781" s="1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15"/>
      <c r="B782" s="15"/>
      <c r="C782" s="15"/>
      <c r="D782" s="15"/>
      <c r="E782" s="15"/>
      <c r="F782" s="1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15"/>
      <c r="B783" s="15"/>
      <c r="C783" s="15"/>
      <c r="D783" s="15"/>
      <c r="E783" s="15"/>
      <c r="F783" s="1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15"/>
      <c r="B784" s="15"/>
      <c r="C784" s="15"/>
      <c r="D784" s="15"/>
      <c r="E784" s="15"/>
      <c r="F784" s="1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15"/>
      <c r="B785" s="15"/>
      <c r="C785" s="15"/>
      <c r="D785" s="15"/>
      <c r="E785" s="15"/>
      <c r="F785" s="1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15"/>
      <c r="B786" s="15"/>
      <c r="C786" s="15"/>
      <c r="D786" s="15"/>
      <c r="E786" s="15"/>
      <c r="F786" s="1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15"/>
      <c r="B787" s="15"/>
      <c r="C787" s="15"/>
      <c r="D787" s="15"/>
      <c r="E787" s="15"/>
      <c r="F787" s="1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15"/>
      <c r="B788" s="15"/>
      <c r="C788" s="15"/>
      <c r="D788" s="15"/>
      <c r="E788" s="15"/>
      <c r="F788" s="1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15"/>
      <c r="B789" s="15"/>
      <c r="C789" s="15"/>
      <c r="D789" s="15"/>
      <c r="E789" s="15"/>
      <c r="F789" s="1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15"/>
      <c r="B790" s="15"/>
      <c r="C790" s="15"/>
      <c r="D790" s="15"/>
      <c r="E790" s="15"/>
      <c r="F790" s="1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15"/>
      <c r="B791" s="15"/>
      <c r="C791" s="15"/>
      <c r="D791" s="15"/>
      <c r="E791" s="15"/>
      <c r="F791" s="1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15"/>
      <c r="B792" s="15"/>
      <c r="C792" s="15"/>
      <c r="D792" s="15"/>
      <c r="E792" s="15"/>
      <c r="F792" s="1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15"/>
      <c r="B793" s="15"/>
      <c r="C793" s="15"/>
      <c r="D793" s="15"/>
      <c r="E793" s="15"/>
      <c r="F793" s="1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15"/>
      <c r="B794" s="15"/>
      <c r="C794" s="15"/>
      <c r="D794" s="15"/>
      <c r="E794" s="15"/>
      <c r="F794" s="1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15"/>
      <c r="B795" s="15"/>
      <c r="C795" s="15"/>
      <c r="D795" s="15"/>
      <c r="E795" s="15"/>
      <c r="F795" s="1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15"/>
      <c r="B796" s="15"/>
      <c r="C796" s="15"/>
      <c r="D796" s="15"/>
      <c r="E796" s="15"/>
      <c r="F796" s="1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15"/>
      <c r="B797" s="15"/>
      <c r="C797" s="15"/>
      <c r="D797" s="15"/>
      <c r="E797" s="15"/>
      <c r="F797" s="1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15"/>
      <c r="B798" s="15"/>
      <c r="C798" s="15"/>
      <c r="D798" s="15"/>
      <c r="E798" s="15"/>
      <c r="F798" s="1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15"/>
      <c r="B799" s="15"/>
      <c r="C799" s="15"/>
      <c r="D799" s="15"/>
      <c r="E799" s="15"/>
      <c r="F799" s="1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15"/>
      <c r="B800" s="15"/>
      <c r="C800" s="15"/>
      <c r="D800" s="15"/>
      <c r="E800" s="15"/>
      <c r="F800" s="1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15"/>
      <c r="B801" s="15"/>
      <c r="C801" s="15"/>
      <c r="D801" s="15"/>
      <c r="E801" s="15"/>
      <c r="F801" s="1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15"/>
      <c r="B802" s="15"/>
      <c r="C802" s="15"/>
      <c r="D802" s="15"/>
      <c r="E802" s="15"/>
      <c r="F802" s="1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15"/>
      <c r="B803" s="15"/>
      <c r="C803" s="15"/>
      <c r="D803" s="15"/>
      <c r="E803" s="15"/>
      <c r="F803" s="1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15"/>
      <c r="B804" s="15"/>
      <c r="C804" s="15"/>
      <c r="D804" s="15"/>
      <c r="E804" s="15"/>
      <c r="F804" s="1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15"/>
      <c r="B805" s="15"/>
      <c r="C805" s="15"/>
      <c r="D805" s="15"/>
      <c r="E805" s="15"/>
      <c r="F805" s="1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15"/>
      <c r="B806" s="15"/>
      <c r="C806" s="15"/>
      <c r="D806" s="15"/>
      <c r="E806" s="15"/>
      <c r="F806" s="1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15"/>
      <c r="B807" s="15"/>
      <c r="C807" s="15"/>
      <c r="D807" s="15"/>
      <c r="E807" s="15"/>
      <c r="F807" s="1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15"/>
      <c r="B808" s="15"/>
      <c r="C808" s="15"/>
      <c r="D808" s="15"/>
      <c r="E808" s="15"/>
      <c r="F808" s="1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15"/>
      <c r="B809" s="15"/>
      <c r="C809" s="15"/>
      <c r="D809" s="15"/>
      <c r="E809" s="15"/>
      <c r="F809" s="1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15"/>
      <c r="B810" s="15"/>
      <c r="C810" s="15"/>
      <c r="D810" s="15"/>
      <c r="E810" s="15"/>
      <c r="F810" s="1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15"/>
      <c r="B811" s="15"/>
      <c r="C811" s="15"/>
      <c r="D811" s="15"/>
      <c r="E811" s="15"/>
      <c r="F811" s="1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15"/>
      <c r="B812" s="15"/>
      <c r="C812" s="15"/>
      <c r="D812" s="15"/>
      <c r="E812" s="15"/>
      <c r="F812" s="1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15"/>
      <c r="B813" s="15"/>
      <c r="C813" s="15"/>
      <c r="D813" s="15"/>
      <c r="E813" s="15"/>
      <c r="F813" s="1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15"/>
      <c r="B814" s="15"/>
      <c r="C814" s="15"/>
      <c r="D814" s="15"/>
      <c r="E814" s="15"/>
      <c r="F814" s="1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15"/>
      <c r="B815" s="15"/>
      <c r="C815" s="15"/>
      <c r="D815" s="15"/>
      <c r="E815" s="15"/>
      <c r="F815" s="1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15"/>
      <c r="B816" s="15"/>
      <c r="C816" s="15"/>
      <c r="D816" s="15"/>
      <c r="E816" s="15"/>
      <c r="F816" s="1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15"/>
      <c r="B817" s="15"/>
      <c r="C817" s="15"/>
      <c r="D817" s="15"/>
      <c r="E817" s="15"/>
      <c r="F817" s="1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15"/>
      <c r="B818" s="15"/>
      <c r="C818" s="15"/>
      <c r="D818" s="15"/>
      <c r="E818" s="15"/>
      <c r="F818" s="1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15"/>
      <c r="B819" s="15"/>
      <c r="C819" s="15"/>
      <c r="D819" s="15"/>
      <c r="E819" s="15"/>
      <c r="F819" s="1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15"/>
      <c r="B820" s="15"/>
      <c r="C820" s="15"/>
      <c r="D820" s="15"/>
      <c r="E820" s="15"/>
      <c r="F820" s="1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15"/>
      <c r="B821" s="15"/>
      <c r="C821" s="15"/>
      <c r="D821" s="15"/>
      <c r="E821" s="15"/>
      <c r="F821" s="1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15"/>
      <c r="B822" s="15"/>
      <c r="C822" s="15"/>
      <c r="D822" s="15"/>
      <c r="E822" s="15"/>
      <c r="F822" s="1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15"/>
      <c r="B823" s="15"/>
      <c r="C823" s="15"/>
      <c r="D823" s="15"/>
      <c r="E823" s="15"/>
      <c r="F823" s="1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15"/>
      <c r="B824" s="15"/>
      <c r="C824" s="15"/>
      <c r="D824" s="15"/>
      <c r="E824" s="15"/>
      <c r="F824" s="1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15"/>
      <c r="B825" s="15"/>
      <c r="C825" s="15"/>
      <c r="D825" s="15"/>
      <c r="E825" s="15"/>
      <c r="F825" s="1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15"/>
      <c r="B826" s="15"/>
      <c r="C826" s="15"/>
      <c r="D826" s="15"/>
      <c r="E826" s="15"/>
      <c r="F826" s="1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15"/>
      <c r="B827" s="15"/>
      <c r="C827" s="15"/>
      <c r="D827" s="15"/>
      <c r="E827" s="15"/>
      <c r="F827" s="1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15"/>
      <c r="B828" s="15"/>
      <c r="C828" s="15"/>
      <c r="D828" s="15"/>
      <c r="E828" s="15"/>
      <c r="F828" s="1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15"/>
      <c r="B829" s="15"/>
      <c r="C829" s="15"/>
      <c r="D829" s="15"/>
      <c r="E829" s="15"/>
      <c r="F829" s="1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15"/>
      <c r="B830" s="15"/>
      <c r="C830" s="15"/>
      <c r="D830" s="15"/>
      <c r="E830" s="15"/>
      <c r="F830" s="1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15"/>
      <c r="B831" s="15"/>
      <c r="C831" s="15"/>
      <c r="D831" s="15"/>
      <c r="E831" s="15"/>
      <c r="F831" s="1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15"/>
      <c r="B832" s="15"/>
      <c r="C832" s="15"/>
      <c r="D832" s="15"/>
      <c r="E832" s="15"/>
      <c r="F832" s="1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15"/>
      <c r="B833" s="15"/>
      <c r="C833" s="15"/>
      <c r="D833" s="15"/>
      <c r="E833" s="15"/>
      <c r="F833" s="1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15"/>
      <c r="B834" s="15"/>
      <c r="C834" s="15"/>
      <c r="D834" s="15"/>
      <c r="E834" s="15"/>
      <c r="F834" s="1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15"/>
      <c r="B835" s="15"/>
      <c r="C835" s="15"/>
      <c r="D835" s="15"/>
      <c r="E835" s="15"/>
      <c r="F835" s="1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15"/>
      <c r="B836" s="15"/>
      <c r="C836" s="15"/>
      <c r="D836" s="15"/>
      <c r="E836" s="15"/>
      <c r="F836" s="1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15"/>
      <c r="B837" s="15"/>
      <c r="C837" s="15"/>
      <c r="D837" s="15"/>
      <c r="E837" s="15"/>
      <c r="F837" s="1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15"/>
      <c r="B838" s="15"/>
      <c r="C838" s="15"/>
      <c r="D838" s="15"/>
      <c r="E838" s="15"/>
      <c r="F838" s="1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15"/>
      <c r="B839" s="15"/>
      <c r="C839" s="15"/>
      <c r="D839" s="15"/>
      <c r="E839" s="15"/>
      <c r="F839" s="1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15"/>
      <c r="B840" s="15"/>
      <c r="C840" s="15"/>
      <c r="D840" s="15"/>
      <c r="E840" s="15"/>
      <c r="F840" s="1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15"/>
      <c r="B841" s="15"/>
      <c r="C841" s="15"/>
      <c r="D841" s="15"/>
      <c r="E841" s="15"/>
      <c r="F841" s="1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15"/>
      <c r="B842" s="15"/>
      <c r="C842" s="15"/>
      <c r="D842" s="15"/>
      <c r="E842" s="15"/>
      <c r="F842" s="1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15"/>
      <c r="B843" s="15"/>
      <c r="C843" s="15"/>
      <c r="D843" s="15"/>
      <c r="E843" s="15"/>
      <c r="F843" s="1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15"/>
      <c r="B844" s="15"/>
      <c r="C844" s="15"/>
      <c r="D844" s="15"/>
      <c r="E844" s="15"/>
      <c r="F844" s="1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15"/>
      <c r="B845" s="15"/>
      <c r="C845" s="15"/>
      <c r="D845" s="15"/>
      <c r="E845" s="15"/>
      <c r="F845" s="1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15"/>
      <c r="B846" s="15"/>
      <c r="C846" s="15"/>
      <c r="D846" s="15"/>
      <c r="E846" s="15"/>
      <c r="F846" s="1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15"/>
      <c r="B847" s="15"/>
      <c r="C847" s="15"/>
      <c r="D847" s="15"/>
      <c r="E847" s="15"/>
      <c r="F847" s="1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15"/>
      <c r="B848" s="15"/>
      <c r="C848" s="15"/>
      <c r="D848" s="15"/>
      <c r="E848" s="15"/>
      <c r="F848" s="1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15"/>
      <c r="B849" s="15"/>
      <c r="C849" s="15"/>
      <c r="D849" s="15"/>
      <c r="E849" s="15"/>
      <c r="F849" s="1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15"/>
      <c r="B850" s="15"/>
      <c r="C850" s="15"/>
      <c r="D850" s="15"/>
      <c r="E850" s="15"/>
      <c r="F850" s="1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15"/>
      <c r="B851" s="15"/>
      <c r="C851" s="15"/>
      <c r="D851" s="15"/>
      <c r="E851" s="15"/>
      <c r="F851" s="1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15"/>
      <c r="B852" s="15"/>
      <c r="C852" s="15"/>
      <c r="D852" s="15"/>
      <c r="E852" s="15"/>
      <c r="F852" s="1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15"/>
      <c r="B853" s="15"/>
      <c r="C853" s="15"/>
      <c r="D853" s="15"/>
      <c r="E853" s="15"/>
      <c r="F853" s="1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15"/>
      <c r="B854" s="15"/>
      <c r="C854" s="15"/>
      <c r="D854" s="15"/>
      <c r="E854" s="15"/>
      <c r="F854" s="1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15"/>
      <c r="B855" s="15"/>
      <c r="C855" s="15"/>
      <c r="D855" s="15"/>
      <c r="E855" s="15"/>
      <c r="F855" s="1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15"/>
      <c r="B856" s="15"/>
      <c r="C856" s="15"/>
      <c r="D856" s="15"/>
      <c r="E856" s="15"/>
      <c r="F856" s="1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15"/>
      <c r="B857" s="15"/>
      <c r="C857" s="15"/>
      <c r="D857" s="15"/>
      <c r="E857" s="15"/>
      <c r="F857" s="1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15"/>
      <c r="B858" s="15"/>
      <c r="C858" s="15"/>
      <c r="D858" s="15"/>
      <c r="E858" s="15"/>
      <c r="F858" s="1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15"/>
      <c r="B859" s="15"/>
      <c r="C859" s="15"/>
      <c r="D859" s="15"/>
      <c r="E859" s="15"/>
      <c r="F859" s="1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15"/>
      <c r="B860" s="15"/>
      <c r="C860" s="15"/>
      <c r="D860" s="15"/>
      <c r="E860" s="15"/>
      <c r="F860" s="1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15"/>
      <c r="B861" s="15"/>
      <c r="C861" s="15"/>
      <c r="D861" s="15"/>
      <c r="E861" s="15"/>
      <c r="F861" s="1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15"/>
      <c r="B862" s="15"/>
      <c r="C862" s="15"/>
      <c r="D862" s="15"/>
      <c r="E862" s="15"/>
      <c r="F862" s="1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15"/>
      <c r="B863" s="15"/>
      <c r="C863" s="15"/>
      <c r="D863" s="15"/>
      <c r="E863" s="15"/>
      <c r="F863" s="1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15"/>
      <c r="B864" s="15"/>
      <c r="C864" s="15"/>
      <c r="D864" s="15"/>
      <c r="E864" s="15"/>
      <c r="F864" s="1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15"/>
      <c r="B865" s="15"/>
      <c r="C865" s="15"/>
      <c r="D865" s="15"/>
      <c r="E865" s="15"/>
      <c r="F865" s="1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15"/>
      <c r="B866" s="15"/>
      <c r="C866" s="15"/>
      <c r="D866" s="15"/>
      <c r="E866" s="15"/>
      <c r="F866" s="1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15"/>
      <c r="B867" s="15"/>
      <c r="C867" s="15"/>
      <c r="D867" s="15"/>
      <c r="E867" s="15"/>
      <c r="F867" s="1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15"/>
      <c r="B868" s="15"/>
      <c r="C868" s="15"/>
      <c r="D868" s="15"/>
      <c r="E868" s="15"/>
      <c r="F868" s="1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15"/>
      <c r="B869" s="15"/>
      <c r="C869" s="15"/>
      <c r="D869" s="15"/>
      <c r="E869" s="15"/>
      <c r="F869" s="1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15"/>
      <c r="B870" s="15"/>
      <c r="C870" s="15"/>
      <c r="D870" s="15"/>
      <c r="E870" s="15"/>
      <c r="F870" s="1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15"/>
      <c r="B871" s="15"/>
      <c r="C871" s="15"/>
      <c r="D871" s="15"/>
      <c r="E871" s="15"/>
      <c r="F871" s="1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15"/>
      <c r="B872" s="15"/>
      <c r="C872" s="15"/>
      <c r="D872" s="15"/>
      <c r="E872" s="15"/>
      <c r="F872" s="1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15"/>
      <c r="B873" s="15"/>
      <c r="C873" s="15"/>
      <c r="D873" s="15"/>
      <c r="E873" s="15"/>
      <c r="F873" s="1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15"/>
      <c r="B874" s="15"/>
      <c r="C874" s="15"/>
      <c r="D874" s="15"/>
      <c r="E874" s="15"/>
      <c r="F874" s="1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15"/>
      <c r="B875" s="15"/>
      <c r="C875" s="15"/>
      <c r="D875" s="15"/>
      <c r="E875" s="15"/>
      <c r="F875" s="1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15"/>
      <c r="B876" s="15"/>
      <c r="C876" s="15"/>
      <c r="D876" s="15"/>
      <c r="E876" s="15"/>
      <c r="F876" s="1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15"/>
      <c r="B877" s="15"/>
      <c r="C877" s="15"/>
      <c r="D877" s="15"/>
      <c r="E877" s="15"/>
      <c r="F877" s="1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15"/>
      <c r="B878" s="15"/>
      <c r="C878" s="15"/>
      <c r="D878" s="15"/>
      <c r="E878" s="15"/>
      <c r="F878" s="1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15"/>
      <c r="B879" s="15"/>
      <c r="C879" s="15"/>
      <c r="D879" s="15"/>
      <c r="E879" s="15"/>
      <c r="F879" s="1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15"/>
      <c r="B880" s="15"/>
      <c r="C880" s="15"/>
      <c r="D880" s="15"/>
      <c r="E880" s="15"/>
      <c r="F880" s="1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15"/>
      <c r="B881" s="15"/>
      <c r="C881" s="15"/>
      <c r="D881" s="15"/>
      <c r="E881" s="15"/>
      <c r="F881" s="1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15"/>
      <c r="B882" s="15"/>
      <c r="C882" s="15"/>
      <c r="D882" s="15"/>
      <c r="E882" s="15"/>
      <c r="F882" s="1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15"/>
      <c r="B883" s="15"/>
      <c r="C883" s="15"/>
      <c r="D883" s="15"/>
      <c r="E883" s="15"/>
      <c r="F883" s="1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15"/>
      <c r="B884" s="15"/>
      <c r="C884" s="15"/>
      <c r="D884" s="15"/>
      <c r="E884" s="15"/>
      <c r="F884" s="1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15"/>
      <c r="B885" s="15"/>
      <c r="C885" s="15"/>
      <c r="D885" s="15"/>
      <c r="E885" s="15"/>
      <c r="F885" s="1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15"/>
      <c r="B886" s="15"/>
      <c r="C886" s="15"/>
      <c r="D886" s="15"/>
      <c r="E886" s="15"/>
      <c r="F886" s="1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15"/>
      <c r="B887" s="15"/>
      <c r="C887" s="15"/>
      <c r="D887" s="15"/>
      <c r="E887" s="15"/>
      <c r="F887" s="1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15"/>
      <c r="B888" s="15"/>
      <c r="C888" s="15"/>
      <c r="D888" s="15"/>
      <c r="E888" s="15"/>
      <c r="F888" s="1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15"/>
      <c r="B889" s="15"/>
      <c r="C889" s="15"/>
      <c r="D889" s="15"/>
      <c r="E889" s="15"/>
      <c r="F889" s="1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15"/>
      <c r="B890" s="15"/>
      <c r="C890" s="15"/>
      <c r="D890" s="15"/>
      <c r="E890" s="15"/>
      <c r="F890" s="1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15"/>
      <c r="B891" s="15"/>
      <c r="C891" s="15"/>
      <c r="D891" s="15"/>
      <c r="E891" s="15"/>
      <c r="F891" s="1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15"/>
      <c r="B892" s="15"/>
      <c r="C892" s="15"/>
      <c r="D892" s="15"/>
      <c r="E892" s="15"/>
      <c r="F892" s="1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15"/>
      <c r="B893" s="15"/>
      <c r="C893" s="15"/>
      <c r="D893" s="15"/>
      <c r="E893" s="15"/>
      <c r="F893" s="1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15"/>
      <c r="B894" s="15"/>
      <c r="C894" s="15"/>
      <c r="D894" s="15"/>
      <c r="E894" s="15"/>
      <c r="F894" s="1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15"/>
      <c r="B895" s="15"/>
      <c r="C895" s="15"/>
      <c r="D895" s="15"/>
      <c r="E895" s="15"/>
      <c r="F895" s="1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15"/>
      <c r="B896" s="15"/>
      <c r="C896" s="15"/>
      <c r="D896" s="15"/>
      <c r="E896" s="15"/>
      <c r="F896" s="1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15"/>
      <c r="B897" s="15"/>
      <c r="C897" s="15"/>
      <c r="D897" s="15"/>
      <c r="E897" s="15"/>
      <c r="F897" s="1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15"/>
      <c r="B898" s="15"/>
      <c r="C898" s="15"/>
      <c r="D898" s="15"/>
      <c r="E898" s="15"/>
      <c r="F898" s="1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15"/>
      <c r="B899" s="15"/>
      <c r="C899" s="15"/>
      <c r="D899" s="15"/>
      <c r="E899" s="15"/>
      <c r="F899" s="1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15"/>
      <c r="B900" s="15"/>
      <c r="C900" s="15"/>
      <c r="D900" s="15"/>
      <c r="E900" s="15"/>
      <c r="F900" s="1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15"/>
      <c r="B901" s="15"/>
      <c r="C901" s="15"/>
      <c r="D901" s="15"/>
      <c r="E901" s="15"/>
      <c r="F901" s="1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15"/>
      <c r="B902" s="15"/>
      <c r="C902" s="15"/>
      <c r="D902" s="15"/>
      <c r="E902" s="15"/>
      <c r="F902" s="1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15"/>
      <c r="B903" s="15"/>
      <c r="C903" s="15"/>
      <c r="D903" s="15"/>
      <c r="E903" s="15"/>
      <c r="F903" s="1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15"/>
      <c r="B904" s="15"/>
      <c r="C904" s="15"/>
      <c r="D904" s="15"/>
      <c r="E904" s="15"/>
      <c r="F904" s="1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15"/>
      <c r="B905" s="15"/>
      <c r="C905" s="15"/>
      <c r="D905" s="15"/>
      <c r="E905" s="15"/>
      <c r="F905" s="1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15"/>
      <c r="B906" s="15"/>
      <c r="C906" s="15"/>
      <c r="D906" s="15"/>
      <c r="E906" s="15"/>
      <c r="F906" s="1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15"/>
      <c r="B907" s="15"/>
      <c r="C907" s="15"/>
      <c r="D907" s="15"/>
      <c r="E907" s="15"/>
      <c r="F907" s="1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15"/>
      <c r="B908" s="15"/>
      <c r="C908" s="15"/>
      <c r="D908" s="15"/>
      <c r="E908" s="15"/>
      <c r="F908" s="1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15"/>
      <c r="B909" s="15"/>
      <c r="C909" s="15"/>
      <c r="D909" s="15"/>
      <c r="E909" s="15"/>
      <c r="F909" s="1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15"/>
      <c r="B910" s="15"/>
      <c r="C910" s="15"/>
      <c r="D910" s="15"/>
      <c r="E910" s="15"/>
      <c r="F910" s="1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15"/>
      <c r="B911" s="15"/>
      <c r="C911" s="15"/>
      <c r="D911" s="15"/>
      <c r="E911" s="15"/>
      <c r="F911" s="1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15"/>
      <c r="B912" s="15"/>
      <c r="C912" s="15"/>
      <c r="D912" s="15"/>
      <c r="E912" s="15"/>
      <c r="F912" s="1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15"/>
      <c r="B913" s="15"/>
      <c r="C913" s="15"/>
      <c r="D913" s="15"/>
      <c r="E913" s="15"/>
      <c r="F913" s="1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15"/>
      <c r="B914" s="15"/>
      <c r="C914" s="15"/>
      <c r="D914" s="15"/>
      <c r="E914" s="15"/>
      <c r="F914" s="1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15"/>
      <c r="B915" s="15"/>
      <c r="C915" s="15"/>
      <c r="D915" s="15"/>
      <c r="E915" s="15"/>
      <c r="F915" s="1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15"/>
      <c r="B916" s="15"/>
      <c r="C916" s="15"/>
      <c r="D916" s="15"/>
      <c r="E916" s="15"/>
      <c r="F916" s="1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15"/>
      <c r="B917" s="15"/>
      <c r="C917" s="15"/>
      <c r="D917" s="15"/>
      <c r="E917" s="15"/>
      <c r="F917" s="1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15"/>
      <c r="B918" s="15"/>
      <c r="C918" s="15"/>
      <c r="D918" s="15"/>
      <c r="E918" s="15"/>
      <c r="F918" s="1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15"/>
      <c r="B919" s="15"/>
      <c r="C919" s="15"/>
      <c r="D919" s="15"/>
      <c r="E919" s="15"/>
      <c r="F919" s="1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15"/>
      <c r="B920" s="15"/>
      <c r="C920" s="15"/>
      <c r="D920" s="15"/>
      <c r="E920" s="15"/>
      <c r="F920" s="1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15"/>
      <c r="B921" s="15"/>
      <c r="C921" s="15"/>
      <c r="D921" s="15"/>
      <c r="E921" s="15"/>
      <c r="F921" s="1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15"/>
      <c r="B922" s="15"/>
      <c r="C922" s="15"/>
      <c r="D922" s="15"/>
      <c r="E922" s="15"/>
      <c r="F922" s="1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15"/>
      <c r="B923" s="15"/>
      <c r="C923" s="15"/>
      <c r="D923" s="15"/>
      <c r="E923" s="15"/>
      <c r="F923" s="1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15"/>
      <c r="B924" s="15"/>
      <c r="C924" s="15"/>
      <c r="D924" s="15"/>
      <c r="E924" s="15"/>
      <c r="F924" s="1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15"/>
      <c r="B925" s="15"/>
      <c r="C925" s="15"/>
      <c r="D925" s="15"/>
      <c r="E925" s="15"/>
      <c r="F925" s="1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15"/>
      <c r="B926" s="15"/>
      <c r="C926" s="15"/>
      <c r="D926" s="15"/>
      <c r="E926" s="15"/>
      <c r="F926" s="1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15"/>
      <c r="B927" s="15"/>
      <c r="C927" s="15"/>
      <c r="D927" s="15"/>
      <c r="E927" s="15"/>
      <c r="F927" s="1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15"/>
      <c r="B928" s="15"/>
      <c r="C928" s="15"/>
      <c r="D928" s="15"/>
      <c r="E928" s="15"/>
      <c r="F928" s="1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15"/>
      <c r="B929" s="15"/>
      <c r="C929" s="15"/>
      <c r="D929" s="15"/>
      <c r="E929" s="15"/>
      <c r="F929" s="1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15"/>
      <c r="B930" s="15"/>
      <c r="C930" s="15"/>
      <c r="D930" s="15"/>
      <c r="E930" s="15"/>
      <c r="F930" s="1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15"/>
      <c r="B931" s="15"/>
      <c r="C931" s="15"/>
      <c r="D931" s="15"/>
      <c r="E931" s="15"/>
      <c r="F931" s="1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15"/>
      <c r="B932" s="15"/>
      <c r="C932" s="15"/>
      <c r="D932" s="15"/>
      <c r="E932" s="15"/>
      <c r="F932" s="1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15"/>
      <c r="B933" s="15"/>
      <c r="C933" s="15"/>
      <c r="D933" s="15"/>
      <c r="E933" s="15"/>
      <c r="F933" s="1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15"/>
      <c r="B934" s="15"/>
      <c r="C934" s="15"/>
      <c r="D934" s="15"/>
      <c r="E934" s="15"/>
      <c r="F934" s="1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15"/>
      <c r="B935" s="15"/>
      <c r="C935" s="15"/>
      <c r="D935" s="15"/>
      <c r="E935" s="15"/>
      <c r="F935" s="1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15"/>
      <c r="B936" s="15"/>
      <c r="C936" s="15"/>
      <c r="D936" s="15"/>
      <c r="E936" s="15"/>
      <c r="F936" s="1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15"/>
      <c r="B937" s="15"/>
      <c r="C937" s="15"/>
      <c r="D937" s="15"/>
      <c r="E937" s="15"/>
      <c r="F937" s="1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15"/>
      <c r="B938" s="15"/>
      <c r="C938" s="15"/>
      <c r="D938" s="15"/>
      <c r="E938" s="15"/>
      <c r="F938" s="1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15"/>
      <c r="B939" s="15"/>
      <c r="C939" s="15"/>
      <c r="D939" s="15"/>
      <c r="E939" s="15"/>
      <c r="F939" s="1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15"/>
      <c r="B940" s="15"/>
      <c r="C940" s="15"/>
      <c r="D940" s="15"/>
      <c r="E940" s="15"/>
      <c r="F940" s="1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15"/>
      <c r="B941" s="15"/>
      <c r="C941" s="15"/>
      <c r="D941" s="15"/>
      <c r="E941" s="15"/>
      <c r="F941" s="1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15"/>
      <c r="B942" s="15"/>
      <c r="C942" s="15"/>
      <c r="D942" s="15"/>
      <c r="E942" s="15"/>
      <c r="F942" s="1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15"/>
      <c r="B943" s="15"/>
      <c r="C943" s="15"/>
      <c r="D943" s="15"/>
      <c r="E943" s="15"/>
      <c r="F943" s="1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15"/>
      <c r="B944" s="15"/>
      <c r="C944" s="15"/>
      <c r="D944" s="15"/>
      <c r="E944" s="15"/>
      <c r="F944" s="1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15"/>
      <c r="B945" s="15"/>
      <c r="C945" s="15"/>
      <c r="D945" s="15"/>
      <c r="E945" s="15"/>
      <c r="F945" s="1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15"/>
      <c r="B946" s="15"/>
      <c r="C946" s="15"/>
      <c r="D946" s="15"/>
      <c r="E946" s="15"/>
      <c r="F946" s="1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15"/>
      <c r="B947" s="15"/>
      <c r="C947" s="15"/>
      <c r="D947" s="15"/>
      <c r="E947" s="15"/>
      <c r="F947" s="1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15"/>
      <c r="B948" s="15"/>
      <c r="C948" s="15"/>
      <c r="D948" s="15"/>
      <c r="E948" s="15"/>
      <c r="F948" s="1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15"/>
      <c r="B949" s="15"/>
      <c r="C949" s="15"/>
      <c r="D949" s="15"/>
      <c r="E949" s="15"/>
      <c r="F949" s="1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15"/>
      <c r="B950" s="15"/>
      <c r="C950" s="15"/>
      <c r="D950" s="15"/>
      <c r="E950" s="15"/>
      <c r="F950" s="1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15"/>
      <c r="B951" s="15"/>
      <c r="C951" s="15"/>
      <c r="D951" s="15"/>
      <c r="E951" s="15"/>
      <c r="F951" s="1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15"/>
      <c r="B952" s="15"/>
      <c r="C952" s="15"/>
      <c r="D952" s="15"/>
      <c r="E952" s="15"/>
      <c r="F952" s="1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15"/>
      <c r="B953" s="15"/>
      <c r="C953" s="15"/>
      <c r="D953" s="15"/>
      <c r="E953" s="15"/>
      <c r="F953" s="1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15"/>
      <c r="B954" s="15"/>
      <c r="C954" s="15"/>
      <c r="D954" s="15"/>
      <c r="E954" s="15"/>
      <c r="F954" s="1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15"/>
      <c r="B955" s="15"/>
      <c r="C955" s="15"/>
      <c r="D955" s="15"/>
      <c r="E955" s="15"/>
      <c r="F955" s="1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15"/>
      <c r="B956" s="15"/>
      <c r="C956" s="15"/>
      <c r="D956" s="15"/>
      <c r="E956" s="15"/>
      <c r="F956" s="1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15"/>
      <c r="B957" s="15"/>
      <c r="C957" s="15"/>
      <c r="D957" s="15"/>
      <c r="E957" s="15"/>
      <c r="F957" s="1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15"/>
      <c r="B958" s="15"/>
      <c r="C958" s="15"/>
      <c r="D958" s="15"/>
      <c r="E958" s="15"/>
      <c r="F958" s="1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15"/>
      <c r="B959" s="15"/>
      <c r="C959" s="15"/>
      <c r="D959" s="15"/>
      <c r="E959" s="15"/>
      <c r="F959" s="1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15"/>
      <c r="B960" s="15"/>
      <c r="C960" s="15"/>
      <c r="D960" s="15"/>
      <c r="E960" s="15"/>
      <c r="F960" s="1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15"/>
      <c r="B961" s="15"/>
      <c r="C961" s="15"/>
      <c r="D961" s="15"/>
      <c r="E961" s="15"/>
      <c r="F961" s="1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15"/>
      <c r="B962" s="15"/>
      <c r="C962" s="15"/>
      <c r="D962" s="15"/>
      <c r="E962" s="15"/>
      <c r="F962" s="1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15"/>
      <c r="B963" s="15"/>
      <c r="C963" s="15"/>
      <c r="D963" s="15"/>
      <c r="E963" s="15"/>
      <c r="F963" s="1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15"/>
      <c r="B964" s="15"/>
      <c r="C964" s="15"/>
      <c r="D964" s="15"/>
      <c r="E964" s="15"/>
      <c r="F964" s="1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15"/>
      <c r="B965" s="15"/>
      <c r="C965" s="15"/>
      <c r="D965" s="15"/>
      <c r="E965" s="15"/>
      <c r="F965" s="1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15"/>
      <c r="B966" s="15"/>
      <c r="C966" s="15"/>
      <c r="D966" s="15"/>
      <c r="E966" s="15"/>
      <c r="F966" s="1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15"/>
      <c r="B967" s="15"/>
      <c r="C967" s="15"/>
      <c r="D967" s="15"/>
      <c r="E967" s="15"/>
      <c r="F967" s="1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15"/>
      <c r="B968" s="15"/>
      <c r="C968" s="15"/>
      <c r="D968" s="15"/>
      <c r="E968" s="15"/>
      <c r="F968" s="1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15"/>
      <c r="B969" s="15"/>
      <c r="C969" s="15"/>
      <c r="D969" s="15"/>
      <c r="E969" s="15"/>
      <c r="F969" s="1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15"/>
      <c r="B970" s="15"/>
      <c r="C970" s="15"/>
      <c r="D970" s="15"/>
      <c r="E970" s="15"/>
      <c r="F970" s="1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15"/>
      <c r="B971" s="15"/>
      <c r="C971" s="15"/>
      <c r="D971" s="15"/>
      <c r="E971" s="15"/>
      <c r="F971" s="1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15"/>
      <c r="B972" s="15"/>
      <c r="C972" s="15"/>
      <c r="D972" s="15"/>
      <c r="E972" s="15"/>
      <c r="F972" s="1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15"/>
      <c r="B973" s="15"/>
      <c r="C973" s="15"/>
      <c r="D973" s="15"/>
      <c r="E973" s="15"/>
      <c r="F973" s="1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15"/>
      <c r="B974" s="15"/>
      <c r="C974" s="15"/>
      <c r="D974" s="15"/>
      <c r="E974" s="15"/>
      <c r="F974" s="1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15"/>
      <c r="B975" s="15"/>
      <c r="C975" s="15"/>
      <c r="D975" s="15"/>
      <c r="E975" s="15"/>
      <c r="F975" s="1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15"/>
      <c r="B976" s="15"/>
      <c r="C976" s="15"/>
      <c r="D976" s="15"/>
      <c r="E976" s="15"/>
      <c r="F976" s="1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15"/>
      <c r="B977" s="15"/>
      <c r="C977" s="15"/>
      <c r="D977" s="15"/>
      <c r="E977" s="15"/>
      <c r="F977" s="1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15"/>
      <c r="B978" s="15"/>
      <c r="C978" s="15"/>
      <c r="D978" s="15"/>
      <c r="E978" s="15"/>
      <c r="F978" s="1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15"/>
      <c r="B979" s="15"/>
      <c r="C979" s="15"/>
      <c r="D979" s="15"/>
      <c r="E979" s="15"/>
      <c r="F979" s="1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15"/>
      <c r="B980" s="15"/>
      <c r="C980" s="15"/>
      <c r="D980" s="15"/>
      <c r="E980" s="15"/>
      <c r="F980" s="1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15"/>
      <c r="B981" s="15"/>
      <c r="C981" s="15"/>
      <c r="D981" s="15"/>
      <c r="E981" s="15"/>
      <c r="F981" s="1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15"/>
      <c r="B982" s="15"/>
      <c r="C982" s="15"/>
      <c r="D982" s="15"/>
      <c r="E982" s="15"/>
      <c r="F982" s="1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15"/>
      <c r="B983" s="15"/>
      <c r="C983" s="15"/>
      <c r="D983" s="15"/>
      <c r="E983" s="15"/>
      <c r="F983" s="1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15"/>
      <c r="B984" s="15"/>
      <c r="C984" s="15"/>
      <c r="D984" s="15"/>
      <c r="E984" s="15"/>
      <c r="F984" s="1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15"/>
      <c r="B985" s="15"/>
      <c r="C985" s="15"/>
      <c r="D985" s="15"/>
      <c r="E985" s="15"/>
      <c r="F985" s="1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15"/>
      <c r="B986" s="15"/>
      <c r="C986" s="15"/>
      <c r="D986" s="15"/>
      <c r="E986" s="15"/>
      <c r="F986" s="1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15"/>
      <c r="B987" s="15"/>
      <c r="C987" s="15"/>
      <c r="D987" s="15"/>
      <c r="E987" s="15"/>
      <c r="F987" s="1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15"/>
      <c r="B988" s="15"/>
      <c r="C988" s="15"/>
      <c r="D988" s="15"/>
      <c r="E988" s="15"/>
      <c r="F988" s="1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15"/>
      <c r="B989" s="15"/>
      <c r="C989" s="15"/>
      <c r="D989" s="15"/>
      <c r="E989" s="15"/>
      <c r="F989" s="1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15"/>
      <c r="B990" s="15"/>
      <c r="C990" s="15"/>
      <c r="D990" s="15"/>
      <c r="E990" s="15"/>
      <c r="F990" s="1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15"/>
      <c r="B991" s="15"/>
      <c r="C991" s="15"/>
      <c r="D991" s="15"/>
      <c r="E991" s="15"/>
      <c r="F991" s="1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15"/>
      <c r="B992" s="15"/>
      <c r="C992" s="15"/>
      <c r="D992" s="15"/>
      <c r="E992" s="15"/>
      <c r="F992" s="1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15"/>
      <c r="B993" s="15"/>
      <c r="C993" s="15"/>
      <c r="D993" s="15"/>
      <c r="E993" s="15"/>
      <c r="F993" s="1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15"/>
      <c r="B994" s="15"/>
      <c r="C994" s="15"/>
      <c r="D994" s="15"/>
      <c r="E994" s="15"/>
      <c r="F994" s="1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15"/>
      <c r="B995" s="15"/>
      <c r="C995" s="15"/>
      <c r="D995" s="15"/>
      <c r="E995" s="15"/>
      <c r="F995" s="1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15"/>
      <c r="B996" s="15"/>
      <c r="C996" s="15"/>
      <c r="D996" s="15"/>
      <c r="E996" s="15"/>
      <c r="F996" s="1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15"/>
      <c r="B997" s="15"/>
      <c r="C997" s="15"/>
      <c r="D997" s="15"/>
      <c r="E997" s="15"/>
      <c r="F997" s="15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15"/>
      <c r="B998" s="15"/>
      <c r="C998" s="15"/>
      <c r="D998" s="15"/>
      <c r="E998" s="15"/>
      <c r="F998" s="15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15"/>
      <c r="B999" s="15"/>
      <c r="C999" s="15"/>
      <c r="D999" s="15"/>
      <c r="E999" s="15"/>
      <c r="F999" s="15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36.0"/>
    <col customWidth="1" min="4" max="4" width="120.13"/>
  </cols>
  <sheetData>
    <row r="1">
      <c r="A1" s="16" t="s">
        <v>64</v>
      </c>
      <c r="B1" s="17"/>
      <c r="C1" s="16" t="s">
        <v>65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66</v>
      </c>
      <c r="B2" s="20" t="s">
        <v>67</v>
      </c>
      <c r="C2" s="20" t="s">
        <v>68</v>
      </c>
      <c r="D2" s="21" t="s">
        <v>69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2"/>
      <c r="B3" s="20" t="s">
        <v>70</v>
      </c>
      <c r="C3" s="20" t="s">
        <v>71</v>
      </c>
      <c r="D3" s="21" t="s">
        <v>72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2"/>
      <c r="B4" s="20" t="s">
        <v>73</v>
      </c>
      <c r="C4" s="20" t="s">
        <v>74</v>
      </c>
      <c r="D4" s="21" t="s">
        <v>75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2"/>
      <c r="B5" s="20" t="s">
        <v>76</v>
      </c>
      <c r="C5" s="20" t="s">
        <v>77</v>
      </c>
      <c r="D5" s="21" t="s">
        <v>78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2"/>
      <c r="B6" s="20" t="s">
        <v>79</v>
      </c>
      <c r="C6" s="20" t="s">
        <v>80</v>
      </c>
      <c r="D6" s="21" t="s">
        <v>81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3"/>
      <c r="B7" s="24" t="s">
        <v>82</v>
      </c>
      <c r="C7" s="24" t="s">
        <v>83</v>
      </c>
      <c r="D7" s="25" t="s">
        <v>84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3"/>
      <c r="B8" s="24" t="s">
        <v>85</v>
      </c>
      <c r="C8" s="24" t="s">
        <v>86</v>
      </c>
      <c r="D8" s="25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6" t="s">
        <v>87</v>
      </c>
      <c r="B9" s="27" t="s">
        <v>88</v>
      </c>
      <c r="C9" s="27" t="s">
        <v>89</v>
      </c>
      <c r="D9" s="28" t="s">
        <v>90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6"/>
      <c r="B10" s="27" t="s">
        <v>91</v>
      </c>
      <c r="C10" s="27" t="s">
        <v>92</v>
      </c>
      <c r="D10" s="28" t="s">
        <v>93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6"/>
      <c r="B11" s="27" t="s">
        <v>94</v>
      </c>
      <c r="C11" s="27" t="s">
        <v>95</v>
      </c>
      <c r="D11" s="28" t="s">
        <v>96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9" t="s">
        <v>97</v>
      </c>
      <c r="B12" s="30" t="s">
        <v>98</v>
      </c>
      <c r="C12" s="30" t="s">
        <v>99</v>
      </c>
      <c r="D12" s="31" t="s">
        <v>100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9"/>
      <c r="B13" s="30" t="s">
        <v>101</v>
      </c>
      <c r="C13" s="30" t="s">
        <v>102</v>
      </c>
      <c r="D13" s="31" t="s">
        <v>103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9"/>
      <c r="B14" s="30" t="s">
        <v>104</v>
      </c>
      <c r="C14" s="30" t="s">
        <v>105</v>
      </c>
      <c r="D14" s="31" t="s">
        <v>106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9"/>
      <c r="B15" s="30" t="s">
        <v>107</v>
      </c>
      <c r="C15" s="30" t="s">
        <v>108</v>
      </c>
      <c r="D15" s="32" t="s">
        <v>109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9"/>
      <c r="B16" s="30" t="s">
        <v>110</v>
      </c>
      <c r="C16" s="30" t="s">
        <v>111</v>
      </c>
      <c r="D16" s="31" t="s">
        <v>112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9"/>
      <c r="B17" s="30" t="s">
        <v>113</v>
      </c>
      <c r="C17" s="30" t="s">
        <v>114</v>
      </c>
      <c r="D17" s="31" t="s">
        <v>115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33" t="s">
        <v>116</v>
      </c>
      <c r="B18" s="34" t="s">
        <v>117</v>
      </c>
      <c r="C18" s="34" t="s">
        <v>118</v>
      </c>
      <c r="D18" s="35" t="s">
        <v>119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6"/>
      <c r="B19" s="34" t="s">
        <v>120</v>
      </c>
      <c r="C19" s="34" t="s">
        <v>121</v>
      </c>
      <c r="D19" s="35" t="s">
        <v>122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36"/>
      <c r="B20" s="34" t="s">
        <v>123</v>
      </c>
      <c r="C20" s="34" t="s">
        <v>124</v>
      </c>
      <c r="D20" s="35" t="s">
        <v>125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36"/>
      <c r="B21" s="34" t="s">
        <v>126</v>
      </c>
      <c r="C21" s="34" t="s">
        <v>127</v>
      </c>
      <c r="D21" s="35" t="s">
        <v>128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36"/>
      <c r="B22" s="34" t="s">
        <v>129</v>
      </c>
      <c r="C22" s="34" t="s">
        <v>130</v>
      </c>
      <c r="D22" s="35" t="s">
        <v>131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36"/>
      <c r="B23" s="34" t="s">
        <v>132</v>
      </c>
      <c r="C23" s="34" t="s">
        <v>133</v>
      </c>
      <c r="D23" s="35" t="s">
        <v>134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36"/>
      <c r="B24" s="34" t="s">
        <v>135</v>
      </c>
      <c r="C24" s="34" t="s">
        <v>136</v>
      </c>
      <c r="D24" s="35" t="s">
        <v>137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37" t="s">
        <v>138</v>
      </c>
      <c r="B25" s="38" t="s">
        <v>139</v>
      </c>
      <c r="C25" s="38" t="s">
        <v>140</v>
      </c>
      <c r="D25" s="39" t="s">
        <v>141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40"/>
      <c r="B26" s="38" t="s">
        <v>142</v>
      </c>
      <c r="C26" s="38" t="s">
        <v>143</v>
      </c>
      <c r="D26" s="39" t="s">
        <v>144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40"/>
      <c r="B27" s="38" t="s">
        <v>145</v>
      </c>
      <c r="C27" s="38" t="s">
        <v>146</v>
      </c>
      <c r="D27" s="39" t="s">
        <v>147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40"/>
      <c r="B28" s="38" t="s">
        <v>148</v>
      </c>
      <c r="C28" s="38" t="s">
        <v>149</v>
      </c>
      <c r="D28" s="39" t="s">
        <v>150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40"/>
      <c r="B29" s="38" t="s">
        <v>151</v>
      </c>
      <c r="C29" s="38" t="s">
        <v>152</v>
      </c>
      <c r="D29" s="39" t="s">
        <v>153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8" max="8" width="8.5"/>
  </cols>
  <sheetData>
    <row r="1">
      <c r="A1" s="16" t="s">
        <v>64</v>
      </c>
      <c r="B1" s="17"/>
      <c r="C1" s="16" t="s">
        <v>65</v>
      </c>
      <c r="D1" s="41" t="s">
        <v>154</v>
      </c>
      <c r="E1" s="41" t="s">
        <v>155</v>
      </c>
      <c r="F1" s="41" t="s">
        <v>156</v>
      </c>
      <c r="G1" s="41" t="s">
        <v>157</v>
      </c>
      <c r="H1" s="41" t="s">
        <v>158</v>
      </c>
      <c r="I1" s="41" t="s">
        <v>159</v>
      </c>
      <c r="J1" s="41" t="s">
        <v>160</v>
      </c>
      <c r="K1" s="42" t="s">
        <v>161</v>
      </c>
    </row>
    <row r="2">
      <c r="A2" s="19" t="s">
        <v>66</v>
      </c>
      <c r="B2" s="20" t="s">
        <v>67</v>
      </c>
      <c r="C2" s="20" t="s">
        <v>68</v>
      </c>
      <c r="D2" s="43">
        <v>13.0</v>
      </c>
      <c r="E2" s="43">
        <v>0.0</v>
      </c>
      <c r="F2" s="44"/>
      <c r="G2" s="45"/>
      <c r="H2" s="46">
        <f t="shared" ref="H2:H8" si="1">sum(D2:G2)</f>
        <v>13</v>
      </c>
      <c r="I2" s="45"/>
      <c r="J2" s="45"/>
      <c r="K2" s="47">
        <f t="shared" ref="K2:K8" si="2">sum(H2:J2)</f>
        <v>13</v>
      </c>
    </row>
    <row r="3">
      <c r="A3" s="22"/>
      <c r="B3" s="20" t="s">
        <v>70</v>
      </c>
      <c r="C3" s="20" t="s">
        <v>71</v>
      </c>
      <c r="D3" s="43">
        <v>18.0</v>
      </c>
      <c r="E3" s="43">
        <v>0.0</v>
      </c>
      <c r="F3" s="44"/>
      <c r="G3" s="45"/>
      <c r="H3" s="46">
        <f t="shared" si="1"/>
        <v>18</v>
      </c>
      <c r="I3" s="45"/>
      <c r="J3" s="45"/>
      <c r="K3" s="47">
        <f t="shared" si="2"/>
        <v>18</v>
      </c>
    </row>
    <row r="4">
      <c r="A4" s="22"/>
      <c r="B4" s="20" t="s">
        <v>73</v>
      </c>
      <c r="C4" s="20" t="s">
        <v>74</v>
      </c>
      <c r="D4" s="43">
        <v>1.0</v>
      </c>
      <c r="E4" s="48"/>
      <c r="F4" s="43">
        <v>4.0</v>
      </c>
      <c r="G4" s="49">
        <v>5.0</v>
      </c>
      <c r="H4" s="46">
        <f t="shared" si="1"/>
        <v>10</v>
      </c>
      <c r="I4" s="45"/>
      <c r="J4" s="45"/>
      <c r="K4" s="47">
        <f t="shared" si="2"/>
        <v>10</v>
      </c>
    </row>
    <row r="5">
      <c r="A5" s="22"/>
      <c r="B5" s="20" t="s">
        <v>76</v>
      </c>
      <c r="C5" s="20" t="s">
        <v>77</v>
      </c>
      <c r="D5" s="43">
        <v>4.0</v>
      </c>
      <c r="E5" s="43">
        <v>0.0</v>
      </c>
      <c r="F5" s="44"/>
      <c r="G5" s="45"/>
      <c r="H5" s="46">
        <f t="shared" si="1"/>
        <v>4</v>
      </c>
      <c r="I5" s="49">
        <v>3.0</v>
      </c>
      <c r="J5" s="49">
        <v>3.0</v>
      </c>
      <c r="K5" s="47">
        <f t="shared" si="2"/>
        <v>10</v>
      </c>
    </row>
    <row r="6">
      <c r="A6" s="22"/>
      <c r="B6" s="20" t="s">
        <v>79</v>
      </c>
      <c r="C6" s="20" t="s">
        <v>80</v>
      </c>
      <c r="D6" s="43">
        <v>5.0</v>
      </c>
      <c r="E6" s="48"/>
      <c r="F6" s="43">
        <v>2.0</v>
      </c>
      <c r="G6" s="49">
        <v>3.0</v>
      </c>
      <c r="H6" s="46">
        <f t="shared" si="1"/>
        <v>10</v>
      </c>
      <c r="I6" s="45"/>
      <c r="J6" s="45"/>
      <c r="K6" s="47">
        <f t="shared" si="2"/>
        <v>10</v>
      </c>
    </row>
    <row r="7">
      <c r="A7" s="23"/>
      <c r="B7" s="24" t="s">
        <v>82</v>
      </c>
      <c r="C7" s="24" t="s">
        <v>83</v>
      </c>
      <c r="D7" s="44"/>
      <c r="E7" s="44"/>
      <c r="F7" s="44"/>
      <c r="G7" s="45"/>
      <c r="H7" s="46">
        <f t="shared" si="1"/>
        <v>0</v>
      </c>
      <c r="I7" s="45"/>
      <c r="J7" s="45"/>
      <c r="K7" s="47">
        <f t="shared" si="2"/>
        <v>0</v>
      </c>
    </row>
    <row r="8">
      <c r="A8" s="23"/>
      <c r="B8" s="24" t="s">
        <v>85</v>
      </c>
      <c r="C8" s="24" t="s">
        <v>86</v>
      </c>
      <c r="D8" s="44"/>
      <c r="E8" s="44"/>
      <c r="F8" s="44"/>
      <c r="G8" s="45"/>
      <c r="H8" s="46">
        <f t="shared" si="1"/>
        <v>0</v>
      </c>
      <c r="I8" s="45"/>
      <c r="J8" s="45"/>
      <c r="K8" s="47">
        <f t="shared" si="2"/>
        <v>0</v>
      </c>
    </row>
    <row r="9">
      <c r="D9" s="50">
        <f t="shared" ref="D9:J9" si="3">SUM(D2:D8)</f>
        <v>41</v>
      </c>
      <c r="E9" s="50">
        <f t="shared" si="3"/>
        <v>0</v>
      </c>
      <c r="F9" s="50">
        <f t="shared" si="3"/>
        <v>6</v>
      </c>
      <c r="G9" s="50">
        <f t="shared" si="3"/>
        <v>8</v>
      </c>
      <c r="H9" s="50">
        <f t="shared" si="3"/>
        <v>55</v>
      </c>
      <c r="I9" s="50">
        <f t="shared" si="3"/>
        <v>3</v>
      </c>
      <c r="J9" s="50">
        <f t="shared" si="3"/>
        <v>3</v>
      </c>
      <c r="K9" s="51">
        <f>SUM(D9:J9)</f>
        <v>116</v>
      </c>
    </row>
    <row r="10">
      <c r="A10" s="26" t="s">
        <v>87</v>
      </c>
      <c r="B10" s="27" t="s">
        <v>88</v>
      </c>
      <c r="C10" s="27" t="s">
        <v>89</v>
      </c>
      <c r="D10" s="43">
        <v>9.0</v>
      </c>
      <c r="E10" s="43"/>
      <c r="F10" s="43">
        <v>1.0</v>
      </c>
      <c r="G10" s="45"/>
      <c r="H10" s="46">
        <f t="shared" ref="H10:H12" si="4">sum(D10:G10)</f>
        <v>10</v>
      </c>
      <c r="I10" s="45"/>
      <c r="J10" s="45"/>
      <c r="K10" s="47">
        <f t="shared" ref="K10:K12" si="5">sum(H10:J10)</f>
        <v>10</v>
      </c>
    </row>
    <row r="11">
      <c r="A11" s="26"/>
      <c r="B11" s="27" t="s">
        <v>91</v>
      </c>
      <c r="C11" s="27" t="s">
        <v>92</v>
      </c>
      <c r="D11" s="43">
        <v>1.0</v>
      </c>
      <c r="E11" s="44"/>
      <c r="F11" s="44"/>
      <c r="G11" s="45"/>
      <c r="H11" s="46">
        <f t="shared" si="4"/>
        <v>1</v>
      </c>
      <c r="I11" s="45"/>
      <c r="J11" s="45"/>
      <c r="K11" s="47">
        <f t="shared" si="5"/>
        <v>1</v>
      </c>
    </row>
    <row r="12">
      <c r="A12" s="26"/>
      <c r="B12" s="27" t="s">
        <v>94</v>
      </c>
      <c r="C12" s="27" t="s">
        <v>95</v>
      </c>
      <c r="D12" s="43">
        <v>0.0</v>
      </c>
      <c r="E12" s="44"/>
      <c r="F12" s="44"/>
      <c r="G12" s="45"/>
      <c r="H12" s="46">
        <f t="shared" si="4"/>
        <v>0</v>
      </c>
      <c r="I12" s="45"/>
      <c r="J12" s="45"/>
      <c r="K12" s="47">
        <f t="shared" si="5"/>
        <v>0</v>
      </c>
    </row>
    <row r="13">
      <c r="D13" s="50">
        <f t="shared" ref="D13:J13" si="6">SUM(D10:D12)</f>
        <v>10</v>
      </c>
      <c r="E13" s="50">
        <f t="shared" si="6"/>
        <v>0</v>
      </c>
      <c r="F13" s="50">
        <f t="shared" si="6"/>
        <v>1</v>
      </c>
      <c r="G13" s="50">
        <f t="shared" si="6"/>
        <v>0</v>
      </c>
      <c r="H13" s="50">
        <f t="shared" si="6"/>
        <v>11</v>
      </c>
      <c r="I13" s="50">
        <f t="shared" si="6"/>
        <v>0</v>
      </c>
      <c r="J13" s="50">
        <f t="shared" si="6"/>
        <v>0</v>
      </c>
      <c r="K13" s="51">
        <f>sum(D13:J13)</f>
        <v>22</v>
      </c>
    </row>
    <row r="14">
      <c r="A14" s="29" t="s">
        <v>97</v>
      </c>
      <c r="B14" s="30" t="s">
        <v>98</v>
      </c>
      <c r="C14" s="30" t="s">
        <v>99</v>
      </c>
      <c r="D14" s="43">
        <v>4.0</v>
      </c>
      <c r="E14" s="52"/>
      <c r="F14" s="43">
        <v>3.0</v>
      </c>
      <c r="G14" s="49">
        <v>3.0</v>
      </c>
      <c r="H14" s="46">
        <f t="shared" ref="H14:H19" si="7">sum(D14:G14)</f>
        <v>10</v>
      </c>
      <c r="I14" s="45"/>
      <c r="J14" s="45"/>
      <c r="K14" s="47">
        <f t="shared" ref="K14:K19" si="8">sum(H14:J14)</f>
        <v>10</v>
      </c>
    </row>
    <row r="15">
      <c r="A15" s="29"/>
      <c r="B15" s="30" t="s">
        <v>101</v>
      </c>
      <c r="C15" s="30" t="s">
        <v>102</v>
      </c>
      <c r="D15" s="43">
        <v>5.0</v>
      </c>
      <c r="E15" s="53"/>
      <c r="F15" s="43">
        <v>3.0</v>
      </c>
      <c r="G15" s="49">
        <v>2.0</v>
      </c>
      <c r="H15" s="46">
        <f t="shared" si="7"/>
        <v>10</v>
      </c>
      <c r="I15" s="45"/>
      <c r="J15" s="45"/>
      <c r="K15" s="47">
        <f t="shared" si="8"/>
        <v>10</v>
      </c>
    </row>
    <row r="16">
      <c r="A16" s="29"/>
      <c r="B16" s="30" t="s">
        <v>104</v>
      </c>
      <c r="C16" s="30" t="s">
        <v>105</v>
      </c>
      <c r="D16" s="43">
        <v>0.0</v>
      </c>
      <c r="E16" s="44"/>
      <c r="F16" s="44"/>
      <c r="G16" s="45"/>
      <c r="H16" s="46">
        <f t="shared" si="7"/>
        <v>0</v>
      </c>
      <c r="I16" s="49">
        <v>5.0</v>
      </c>
      <c r="J16" s="49">
        <v>5.0</v>
      </c>
      <c r="K16" s="47">
        <f t="shared" si="8"/>
        <v>10</v>
      </c>
    </row>
    <row r="17">
      <c r="A17" s="29"/>
      <c r="B17" s="30" t="s">
        <v>107</v>
      </c>
      <c r="C17" s="30" t="s">
        <v>108</v>
      </c>
      <c r="D17" s="43">
        <v>0.0</v>
      </c>
      <c r="E17" s="44"/>
      <c r="F17" s="44"/>
      <c r="G17" s="45"/>
      <c r="H17" s="46">
        <f t="shared" si="7"/>
        <v>0</v>
      </c>
      <c r="I17" s="45"/>
      <c r="J17" s="45"/>
      <c r="K17" s="47">
        <f t="shared" si="8"/>
        <v>0</v>
      </c>
    </row>
    <row r="18">
      <c r="A18" s="29"/>
      <c r="B18" s="30" t="s">
        <v>110</v>
      </c>
      <c r="C18" s="30" t="s">
        <v>111</v>
      </c>
      <c r="D18" s="43">
        <v>0.0</v>
      </c>
      <c r="E18" s="44"/>
      <c r="F18" s="44"/>
      <c r="G18" s="45"/>
      <c r="H18" s="46">
        <f t="shared" si="7"/>
        <v>0</v>
      </c>
      <c r="I18" s="45"/>
      <c r="J18" s="45"/>
      <c r="K18" s="47">
        <f t="shared" si="8"/>
        <v>0</v>
      </c>
    </row>
    <row r="19">
      <c r="A19" s="29"/>
      <c r="B19" s="30" t="s">
        <v>113</v>
      </c>
      <c r="C19" s="30" t="s">
        <v>114</v>
      </c>
      <c r="D19" s="43">
        <v>0.0</v>
      </c>
      <c r="E19" s="44"/>
      <c r="F19" s="44"/>
      <c r="G19" s="45"/>
      <c r="H19" s="46">
        <f t="shared" si="7"/>
        <v>0</v>
      </c>
      <c r="I19" s="45"/>
      <c r="J19" s="45"/>
      <c r="K19" s="47">
        <f t="shared" si="8"/>
        <v>0</v>
      </c>
    </row>
    <row r="20">
      <c r="D20" s="50">
        <f t="shared" ref="D20:J20" si="9">SUM(D14:D19)</f>
        <v>9</v>
      </c>
      <c r="E20" s="50">
        <f t="shared" si="9"/>
        <v>0</v>
      </c>
      <c r="F20" s="50">
        <f t="shared" si="9"/>
        <v>6</v>
      </c>
      <c r="G20" s="50">
        <f t="shared" si="9"/>
        <v>5</v>
      </c>
      <c r="H20" s="50">
        <f t="shared" si="9"/>
        <v>20</v>
      </c>
      <c r="I20" s="50">
        <f t="shared" si="9"/>
        <v>5</v>
      </c>
      <c r="J20" s="50">
        <f t="shared" si="9"/>
        <v>5</v>
      </c>
      <c r="K20" s="51">
        <f>sum(D20:J20)</f>
        <v>50</v>
      </c>
    </row>
    <row r="21">
      <c r="A21" s="33" t="s">
        <v>116</v>
      </c>
      <c r="B21" s="34" t="s">
        <v>117</v>
      </c>
      <c r="C21" s="34" t="s">
        <v>118</v>
      </c>
      <c r="D21" s="43">
        <v>1.0</v>
      </c>
      <c r="E21" s="44"/>
      <c r="F21" s="44"/>
      <c r="G21" s="45"/>
      <c r="H21" s="46">
        <f t="shared" ref="H21:H27" si="10">sum(D21:G21)</f>
        <v>1</v>
      </c>
      <c r="I21" s="45"/>
      <c r="J21" s="45"/>
      <c r="K21" s="47">
        <f t="shared" ref="K21:K27" si="11">sum(H21:J21)</f>
        <v>1</v>
      </c>
    </row>
    <row r="22">
      <c r="A22" s="36"/>
      <c r="B22" s="34" t="s">
        <v>120</v>
      </c>
      <c r="C22" s="34" t="s">
        <v>121</v>
      </c>
      <c r="D22" s="43">
        <v>1.0</v>
      </c>
      <c r="E22" s="44"/>
      <c r="F22" s="44"/>
      <c r="G22" s="45"/>
      <c r="H22" s="46">
        <f t="shared" si="10"/>
        <v>1</v>
      </c>
      <c r="I22" s="45"/>
      <c r="J22" s="45"/>
      <c r="K22" s="47">
        <f t="shared" si="11"/>
        <v>1</v>
      </c>
    </row>
    <row r="23">
      <c r="A23" s="36"/>
      <c r="B23" s="34" t="s">
        <v>123</v>
      </c>
      <c r="C23" s="34" t="s">
        <v>124</v>
      </c>
      <c r="D23" s="43">
        <v>1.0</v>
      </c>
      <c r="E23" s="44"/>
      <c r="F23" s="44"/>
      <c r="G23" s="45"/>
      <c r="H23" s="46">
        <f t="shared" si="10"/>
        <v>1</v>
      </c>
      <c r="I23" s="49">
        <v>4.0</v>
      </c>
      <c r="J23" s="49">
        <v>5.0</v>
      </c>
      <c r="K23" s="47">
        <f t="shared" si="11"/>
        <v>10</v>
      </c>
    </row>
    <row r="24">
      <c r="A24" s="36"/>
      <c r="B24" s="34" t="s">
        <v>126</v>
      </c>
      <c r="C24" s="34" t="s">
        <v>127</v>
      </c>
      <c r="D24" s="43">
        <v>6.0</v>
      </c>
      <c r="E24" s="53">
        <v>0.0</v>
      </c>
      <c r="F24" s="43">
        <v>2.0</v>
      </c>
      <c r="G24" s="49">
        <v>2.0</v>
      </c>
      <c r="H24" s="46">
        <f t="shared" si="10"/>
        <v>10</v>
      </c>
      <c r="I24" s="45"/>
      <c r="J24" s="45"/>
      <c r="K24" s="47">
        <f t="shared" si="11"/>
        <v>10</v>
      </c>
    </row>
    <row r="25">
      <c r="A25" s="36"/>
      <c r="B25" s="34" t="s">
        <v>129</v>
      </c>
      <c r="C25" s="34" t="s">
        <v>130</v>
      </c>
      <c r="D25" s="43">
        <v>3.0</v>
      </c>
      <c r="E25" s="44"/>
      <c r="F25" s="44"/>
      <c r="G25" s="45"/>
      <c r="H25" s="46">
        <f t="shared" si="10"/>
        <v>3</v>
      </c>
      <c r="I25" s="45"/>
      <c r="J25" s="45"/>
      <c r="K25" s="47">
        <f t="shared" si="11"/>
        <v>3</v>
      </c>
    </row>
    <row r="26">
      <c r="A26" s="36"/>
      <c r="B26" s="34" t="s">
        <v>132</v>
      </c>
      <c r="C26" s="34" t="s">
        <v>133</v>
      </c>
      <c r="D26" s="43">
        <v>1.0</v>
      </c>
      <c r="E26" s="44"/>
      <c r="F26" s="44"/>
      <c r="G26" s="45"/>
      <c r="H26" s="46">
        <f t="shared" si="10"/>
        <v>1</v>
      </c>
      <c r="I26" s="45"/>
      <c r="J26" s="45"/>
      <c r="K26" s="47">
        <f t="shared" si="11"/>
        <v>1</v>
      </c>
    </row>
    <row r="27">
      <c r="A27" s="36"/>
      <c r="B27" s="34" t="s">
        <v>135</v>
      </c>
      <c r="C27" s="34" t="s">
        <v>136</v>
      </c>
      <c r="D27" s="43">
        <v>0.0</v>
      </c>
      <c r="E27" s="44"/>
      <c r="F27" s="44"/>
      <c r="G27" s="45"/>
      <c r="H27" s="46">
        <f t="shared" si="10"/>
        <v>0</v>
      </c>
      <c r="I27" s="45"/>
      <c r="J27" s="45"/>
      <c r="K27" s="47">
        <f t="shared" si="11"/>
        <v>0</v>
      </c>
    </row>
    <row r="28">
      <c r="D28" s="50">
        <f t="shared" ref="D28:J28" si="12">SUM(D21:D27)</f>
        <v>13</v>
      </c>
      <c r="E28" s="50">
        <f t="shared" si="12"/>
        <v>0</v>
      </c>
      <c r="F28" s="50">
        <f t="shared" si="12"/>
        <v>2</v>
      </c>
      <c r="G28" s="50">
        <f t="shared" si="12"/>
        <v>2</v>
      </c>
      <c r="H28" s="50">
        <f t="shared" si="12"/>
        <v>17</v>
      </c>
      <c r="I28" s="50">
        <f t="shared" si="12"/>
        <v>4</v>
      </c>
      <c r="J28" s="50">
        <f t="shared" si="12"/>
        <v>5</v>
      </c>
      <c r="K28" s="51">
        <f>sum(D28:J28)</f>
        <v>43</v>
      </c>
    </row>
    <row r="29">
      <c r="A29" s="37" t="s">
        <v>138</v>
      </c>
      <c r="B29" s="38" t="s">
        <v>139</v>
      </c>
      <c r="C29" s="38" t="s">
        <v>140</v>
      </c>
      <c r="D29" s="43">
        <v>0.0</v>
      </c>
      <c r="E29" s="49"/>
      <c r="F29" s="43"/>
      <c r="G29" s="45"/>
      <c r="H29" s="46">
        <f t="shared" ref="H29:H33" si="13">sum(D29:G29)</f>
        <v>0</v>
      </c>
      <c r="I29" s="49">
        <v>5.0</v>
      </c>
      <c r="J29" s="49">
        <v>5.0</v>
      </c>
      <c r="K29" s="47">
        <f t="shared" ref="K29:K33" si="14">sum(H29:J29)</f>
        <v>10</v>
      </c>
    </row>
    <row r="30">
      <c r="A30" s="40"/>
      <c r="B30" s="38" t="s">
        <v>142</v>
      </c>
      <c r="C30" s="38" t="s">
        <v>143</v>
      </c>
      <c r="D30" s="43">
        <v>2.0</v>
      </c>
      <c r="E30" s="49"/>
      <c r="F30" s="43">
        <v>4.0</v>
      </c>
      <c r="G30" s="43">
        <v>4.0</v>
      </c>
      <c r="H30" s="46">
        <f t="shared" si="13"/>
        <v>10</v>
      </c>
      <c r="I30" s="47"/>
      <c r="J30" s="47"/>
      <c r="K30" s="47">
        <f t="shared" si="14"/>
        <v>10</v>
      </c>
    </row>
    <row r="31">
      <c r="A31" s="40"/>
      <c r="B31" s="38" t="s">
        <v>145</v>
      </c>
      <c r="C31" s="38" t="s">
        <v>146</v>
      </c>
      <c r="D31" s="43">
        <v>1.0</v>
      </c>
      <c r="E31" s="49"/>
      <c r="F31" s="47"/>
      <c r="G31" s="47"/>
      <c r="H31" s="46">
        <f t="shared" si="13"/>
        <v>1</v>
      </c>
      <c r="I31" s="47"/>
      <c r="J31" s="47"/>
      <c r="K31" s="47">
        <f t="shared" si="14"/>
        <v>1</v>
      </c>
    </row>
    <row r="32">
      <c r="A32" s="40"/>
      <c r="B32" s="38" t="s">
        <v>148</v>
      </c>
      <c r="C32" s="38" t="s">
        <v>149</v>
      </c>
      <c r="D32" s="43">
        <v>1.0</v>
      </c>
      <c r="E32" s="49"/>
      <c r="F32" s="47"/>
      <c r="G32" s="47"/>
      <c r="H32" s="46">
        <f t="shared" si="13"/>
        <v>1</v>
      </c>
      <c r="I32" s="47"/>
      <c r="J32" s="47"/>
      <c r="K32" s="47">
        <f t="shared" si="14"/>
        <v>1</v>
      </c>
    </row>
    <row r="33">
      <c r="A33" s="40"/>
      <c r="B33" s="38" t="s">
        <v>151</v>
      </c>
      <c r="C33" s="38" t="s">
        <v>152</v>
      </c>
      <c r="D33" s="43">
        <v>0.0</v>
      </c>
      <c r="E33" s="49"/>
      <c r="F33" s="47"/>
      <c r="G33" s="47"/>
      <c r="H33" s="46">
        <f t="shared" si="13"/>
        <v>0</v>
      </c>
      <c r="I33" s="47"/>
      <c r="J33" s="47"/>
      <c r="K33" s="47">
        <f t="shared" si="14"/>
        <v>0</v>
      </c>
    </row>
    <row r="34">
      <c r="D34" s="54">
        <f t="shared" ref="D34:J34" si="15">SUM(D29:D33)</f>
        <v>4</v>
      </c>
      <c r="E34" s="54">
        <f t="shared" si="15"/>
        <v>0</v>
      </c>
      <c r="F34" s="54">
        <f t="shared" si="15"/>
        <v>4</v>
      </c>
      <c r="G34" s="54">
        <f t="shared" si="15"/>
        <v>4</v>
      </c>
      <c r="H34" s="54">
        <f t="shared" si="15"/>
        <v>12</v>
      </c>
      <c r="I34" s="54">
        <f t="shared" si="15"/>
        <v>5</v>
      </c>
      <c r="J34" s="54">
        <f t="shared" si="15"/>
        <v>5</v>
      </c>
      <c r="K34" s="51">
        <f>sum(D34:J34)</f>
        <v>34</v>
      </c>
    </row>
    <row r="36">
      <c r="C36" s="55" t="s">
        <v>162</v>
      </c>
      <c r="D36" s="56">
        <f t="shared" ref="D36:K36" si="16">sum(D9,D13,D20,D28,D34)</f>
        <v>77</v>
      </c>
      <c r="E36" s="56">
        <f t="shared" si="16"/>
        <v>0</v>
      </c>
      <c r="F36" s="56">
        <f t="shared" si="16"/>
        <v>19</v>
      </c>
      <c r="G36" s="56">
        <f t="shared" si="16"/>
        <v>19</v>
      </c>
      <c r="H36" s="56">
        <f t="shared" si="16"/>
        <v>115</v>
      </c>
      <c r="I36" s="56">
        <f t="shared" si="16"/>
        <v>17</v>
      </c>
      <c r="J36" s="56">
        <f t="shared" si="16"/>
        <v>18</v>
      </c>
      <c r="K36" s="56">
        <f t="shared" si="16"/>
        <v>265</v>
      </c>
    </row>
  </sheetData>
  <conditionalFormatting sqref="H2:H8 H10:H12 H14:H19 H21:H27 H29:H33">
    <cfRule type="cellIs" dxfId="0" priority="1" operator="greaterThanOrEqual">
      <formula>10</formula>
    </cfRule>
  </conditionalFormatting>
  <conditionalFormatting sqref="K1:K8 K10:K12 K14:K19 K21:K27 K29:K33">
    <cfRule type="cellIs" dxfId="0" priority="2" operator="greaterThanOrEqual">
      <formula>10</formula>
    </cfRule>
  </conditionalFormatting>
  <conditionalFormatting sqref="K1:K8 K10:K12 K14:K19 K21:K27 K29:K33">
    <cfRule type="cellIs" dxfId="1" priority="3" operator="lessThan">
      <formula>10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8" max="8" width="8.5"/>
    <col customWidth="1" min="12" max="12" width="37.63"/>
  </cols>
  <sheetData>
    <row r="1">
      <c r="A1" s="16" t="s">
        <v>64</v>
      </c>
      <c r="B1" s="17"/>
      <c r="C1" s="16" t="s">
        <v>65</v>
      </c>
      <c r="D1" s="41" t="s">
        <v>154</v>
      </c>
      <c r="E1" s="41" t="s">
        <v>155</v>
      </c>
      <c r="F1" s="41" t="s">
        <v>156</v>
      </c>
      <c r="G1" s="41" t="s">
        <v>157</v>
      </c>
      <c r="H1" s="41" t="s">
        <v>158</v>
      </c>
      <c r="I1" s="41" t="s">
        <v>159</v>
      </c>
      <c r="J1" s="41" t="s">
        <v>160</v>
      </c>
      <c r="K1" s="42" t="s">
        <v>161</v>
      </c>
    </row>
    <row r="2">
      <c r="A2" s="19" t="s">
        <v>66</v>
      </c>
      <c r="B2" s="20" t="s">
        <v>67</v>
      </c>
      <c r="C2" s="20" t="s">
        <v>68</v>
      </c>
      <c r="D2" s="43">
        <v>13.0</v>
      </c>
      <c r="E2" s="57"/>
      <c r="F2" s="44"/>
      <c r="G2" s="45"/>
      <c r="H2" s="46">
        <f t="shared" ref="H2:H8" si="1">sum(D2:G2)</f>
        <v>13</v>
      </c>
      <c r="I2" s="45"/>
      <c r="J2" s="45"/>
      <c r="K2" s="47">
        <f t="shared" ref="K2:K8" si="2">sum(H2:J2)</f>
        <v>13</v>
      </c>
    </row>
    <row r="3">
      <c r="A3" s="22"/>
      <c r="B3" s="20" t="s">
        <v>70</v>
      </c>
      <c r="C3" s="20" t="s">
        <v>71</v>
      </c>
      <c r="D3" s="43">
        <v>18.0</v>
      </c>
      <c r="E3" s="57"/>
      <c r="F3" s="44"/>
      <c r="G3" s="45"/>
      <c r="H3" s="46">
        <f t="shared" si="1"/>
        <v>18</v>
      </c>
      <c r="I3" s="45"/>
      <c r="J3" s="45"/>
      <c r="K3" s="47">
        <f t="shared" si="2"/>
        <v>18</v>
      </c>
    </row>
    <row r="4">
      <c r="A4" s="22"/>
      <c r="B4" s="20" t="s">
        <v>73</v>
      </c>
      <c r="C4" s="20" t="s">
        <v>74</v>
      </c>
      <c r="D4" s="43">
        <v>1.0</v>
      </c>
      <c r="F4" s="43">
        <v>2.0</v>
      </c>
      <c r="G4" s="49">
        <v>3.0</v>
      </c>
      <c r="H4" s="46">
        <f t="shared" si="1"/>
        <v>6</v>
      </c>
      <c r="I4" s="45"/>
      <c r="J4" s="45"/>
      <c r="K4" s="47">
        <f t="shared" si="2"/>
        <v>6</v>
      </c>
    </row>
    <row r="5">
      <c r="A5" s="22"/>
      <c r="B5" s="20" t="s">
        <v>76</v>
      </c>
      <c r="C5" s="20" t="s">
        <v>77</v>
      </c>
      <c r="D5" s="43">
        <v>4.0</v>
      </c>
      <c r="E5" s="57"/>
      <c r="F5" s="43">
        <v>1.0</v>
      </c>
      <c r="G5" s="49">
        <v>1.0</v>
      </c>
      <c r="H5" s="46">
        <f t="shared" si="1"/>
        <v>6</v>
      </c>
      <c r="I5" s="49"/>
      <c r="J5" s="49"/>
      <c r="K5" s="47">
        <f t="shared" si="2"/>
        <v>6</v>
      </c>
    </row>
    <row r="6">
      <c r="A6" s="22"/>
      <c r="B6" s="20" t="s">
        <v>79</v>
      </c>
      <c r="C6" s="20" t="s">
        <v>80</v>
      </c>
      <c r="D6" s="43">
        <v>5.0</v>
      </c>
      <c r="F6" s="43">
        <v>1.0</v>
      </c>
      <c r="G6" s="49"/>
      <c r="H6" s="46">
        <f t="shared" si="1"/>
        <v>6</v>
      </c>
      <c r="I6" s="49">
        <v>1.0</v>
      </c>
      <c r="J6" s="45"/>
      <c r="K6" s="47">
        <f t="shared" si="2"/>
        <v>7</v>
      </c>
    </row>
    <row r="7">
      <c r="A7" s="23"/>
      <c r="B7" s="24" t="s">
        <v>82</v>
      </c>
      <c r="C7" s="24" t="s">
        <v>83</v>
      </c>
      <c r="D7" s="44"/>
      <c r="E7" s="57"/>
      <c r="F7" s="44"/>
      <c r="G7" s="45"/>
      <c r="H7" s="46">
        <f t="shared" si="1"/>
        <v>0</v>
      </c>
      <c r="I7" s="45"/>
      <c r="J7" s="45"/>
      <c r="K7" s="47">
        <f t="shared" si="2"/>
        <v>0</v>
      </c>
    </row>
    <row r="8">
      <c r="A8" s="23"/>
      <c r="B8" s="24" t="s">
        <v>85</v>
      </c>
      <c r="C8" s="24" t="s">
        <v>86</v>
      </c>
      <c r="D8" s="44"/>
      <c r="E8" s="44"/>
      <c r="F8" s="44"/>
      <c r="G8" s="45"/>
      <c r="H8" s="46">
        <f t="shared" si="1"/>
        <v>0</v>
      </c>
      <c r="I8" s="45"/>
      <c r="J8" s="45"/>
      <c r="K8" s="47">
        <f t="shared" si="2"/>
        <v>0</v>
      </c>
    </row>
    <row r="9">
      <c r="D9" s="50">
        <f t="shared" ref="D9:J9" si="3">SUM(D2:D8)</f>
        <v>41</v>
      </c>
      <c r="E9" s="50">
        <f t="shared" si="3"/>
        <v>0</v>
      </c>
      <c r="F9" s="50">
        <f t="shared" si="3"/>
        <v>4</v>
      </c>
      <c r="G9" s="50">
        <f t="shared" si="3"/>
        <v>4</v>
      </c>
      <c r="H9" s="50">
        <f t="shared" si="3"/>
        <v>49</v>
      </c>
      <c r="I9" s="50">
        <f t="shared" si="3"/>
        <v>1</v>
      </c>
      <c r="J9" s="50">
        <f t="shared" si="3"/>
        <v>0</v>
      </c>
      <c r="K9" s="51">
        <f>SUM(D9:J9)</f>
        <v>99</v>
      </c>
    </row>
    <row r="10">
      <c r="A10" s="26" t="s">
        <v>87</v>
      </c>
      <c r="B10" s="27" t="s">
        <v>88</v>
      </c>
      <c r="C10" s="27" t="s">
        <v>89</v>
      </c>
      <c r="D10" s="43">
        <v>9.0</v>
      </c>
      <c r="E10" s="43"/>
      <c r="F10" s="43"/>
      <c r="G10" s="45"/>
      <c r="H10" s="46">
        <f t="shared" ref="H10:H12" si="4">sum(D10:G10)</f>
        <v>9</v>
      </c>
      <c r="I10" s="45"/>
      <c r="J10" s="45"/>
      <c r="K10" s="47">
        <f t="shared" ref="K10:K12" si="5">sum(H10:J10)</f>
        <v>9</v>
      </c>
    </row>
    <row r="11">
      <c r="A11" s="26"/>
      <c r="B11" s="27" t="s">
        <v>91</v>
      </c>
      <c r="C11" s="27" t="s">
        <v>92</v>
      </c>
      <c r="D11" s="43">
        <v>1.0</v>
      </c>
      <c r="E11" s="44"/>
      <c r="F11" s="44"/>
      <c r="G11" s="45"/>
      <c r="H11" s="46">
        <f t="shared" si="4"/>
        <v>1</v>
      </c>
      <c r="I11" s="49">
        <v>2.0</v>
      </c>
      <c r="J11" s="49">
        <v>3.0</v>
      </c>
      <c r="K11" s="47">
        <f t="shared" si="5"/>
        <v>6</v>
      </c>
    </row>
    <row r="12">
      <c r="A12" s="26"/>
      <c r="B12" s="27" t="s">
        <v>94</v>
      </c>
      <c r="C12" s="27" t="s">
        <v>95</v>
      </c>
      <c r="D12" s="43">
        <v>0.0</v>
      </c>
      <c r="E12" s="44"/>
      <c r="F12" s="43">
        <v>1.0</v>
      </c>
      <c r="G12" s="45"/>
      <c r="H12" s="46">
        <f t="shared" si="4"/>
        <v>1</v>
      </c>
      <c r="I12" s="49">
        <v>3.0</v>
      </c>
      <c r="J12" s="49">
        <v>3.0</v>
      </c>
      <c r="K12" s="47">
        <f t="shared" si="5"/>
        <v>7</v>
      </c>
    </row>
    <row r="13">
      <c r="D13" s="50">
        <f t="shared" ref="D13:J13" si="6">SUM(D10:D12)</f>
        <v>10</v>
      </c>
      <c r="E13" s="50">
        <f t="shared" si="6"/>
        <v>0</v>
      </c>
      <c r="F13" s="50">
        <f t="shared" si="6"/>
        <v>1</v>
      </c>
      <c r="G13" s="50">
        <f t="shared" si="6"/>
        <v>0</v>
      </c>
      <c r="H13" s="50">
        <f t="shared" si="6"/>
        <v>11</v>
      </c>
      <c r="I13" s="50">
        <f t="shared" si="6"/>
        <v>5</v>
      </c>
      <c r="J13" s="50">
        <f t="shared" si="6"/>
        <v>6</v>
      </c>
      <c r="K13" s="51">
        <f>sum(D13:J13)</f>
        <v>33</v>
      </c>
    </row>
    <row r="14">
      <c r="A14" s="29" t="s">
        <v>97</v>
      </c>
      <c r="B14" s="30" t="s">
        <v>98</v>
      </c>
      <c r="C14" s="30" t="s">
        <v>99</v>
      </c>
      <c r="D14" s="43">
        <v>4.0</v>
      </c>
      <c r="E14" s="57"/>
      <c r="F14" s="43">
        <v>1.0</v>
      </c>
      <c r="G14" s="49">
        <v>1.0</v>
      </c>
      <c r="H14" s="46">
        <f t="shared" ref="H14:H19" si="7">sum(D14:G14)</f>
        <v>6</v>
      </c>
      <c r="I14" s="45"/>
      <c r="J14" s="45"/>
      <c r="K14" s="47">
        <f t="shared" ref="K14:K19" si="8">sum(H14:J14)</f>
        <v>6</v>
      </c>
    </row>
    <row r="15">
      <c r="A15" s="29"/>
      <c r="B15" s="30" t="s">
        <v>101</v>
      </c>
      <c r="C15" s="30" t="s">
        <v>102</v>
      </c>
      <c r="D15" s="43">
        <v>5.0</v>
      </c>
      <c r="E15" s="57"/>
      <c r="F15" s="43">
        <v>1.0</v>
      </c>
      <c r="G15" s="49"/>
      <c r="H15" s="46">
        <f t="shared" si="7"/>
        <v>6</v>
      </c>
      <c r="I15" s="45"/>
      <c r="J15" s="45"/>
      <c r="K15" s="47">
        <f t="shared" si="8"/>
        <v>6</v>
      </c>
    </row>
    <row r="16">
      <c r="A16" s="58"/>
      <c r="B16" s="59" t="s">
        <v>104</v>
      </c>
      <c r="C16" s="59" t="s">
        <v>105</v>
      </c>
      <c r="D16" s="60">
        <v>0.0</v>
      </c>
      <c r="E16" s="61"/>
      <c r="F16" s="60">
        <v>2.0</v>
      </c>
      <c r="G16" s="62">
        <v>3.0</v>
      </c>
      <c r="H16" s="63">
        <f t="shared" si="7"/>
        <v>5</v>
      </c>
      <c r="I16" s="62">
        <v>3.0</v>
      </c>
      <c r="J16" s="62">
        <v>3.0</v>
      </c>
      <c r="K16" s="64">
        <f t="shared" si="8"/>
        <v>11</v>
      </c>
      <c r="L16" s="65" t="s">
        <v>163</v>
      </c>
    </row>
    <row r="17">
      <c r="A17" s="66"/>
      <c r="B17" s="30" t="s">
        <v>107</v>
      </c>
      <c r="C17" s="30" t="s">
        <v>108</v>
      </c>
      <c r="D17" s="43">
        <v>0.0</v>
      </c>
      <c r="E17" s="44"/>
      <c r="F17" s="43">
        <v>1.0</v>
      </c>
      <c r="G17" s="49"/>
      <c r="H17" s="46">
        <f t="shared" si="7"/>
        <v>1</v>
      </c>
      <c r="I17" s="45"/>
      <c r="J17" s="45"/>
      <c r="K17" s="67">
        <f t="shared" si="8"/>
        <v>1</v>
      </c>
    </row>
    <row r="18">
      <c r="A18" s="66"/>
      <c r="B18" s="30" t="s">
        <v>110</v>
      </c>
      <c r="C18" s="30" t="s">
        <v>111</v>
      </c>
      <c r="D18" s="43">
        <v>0.0</v>
      </c>
      <c r="E18" s="44"/>
      <c r="F18" s="43"/>
      <c r="G18" s="49">
        <v>3.0</v>
      </c>
      <c r="H18" s="46">
        <f t="shared" si="7"/>
        <v>3</v>
      </c>
      <c r="I18" s="45"/>
      <c r="J18" s="45"/>
      <c r="K18" s="67">
        <f t="shared" si="8"/>
        <v>3</v>
      </c>
    </row>
    <row r="19">
      <c r="A19" s="68"/>
      <c r="B19" s="69" t="s">
        <v>113</v>
      </c>
      <c r="C19" s="69" t="s">
        <v>114</v>
      </c>
      <c r="D19" s="70">
        <v>0.0</v>
      </c>
      <c r="E19" s="71"/>
      <c r="F19" s="70"/>
      <c r="G19" s="72"/>
      <c r="H19" s="73">
        <f t="shared" si="7"/>
        <v>0</v>
      </c>
      <c r="I19" s="74"/>
      <c r="J19" s="74"/>
      <c r="K19" s="75">
        <f t="shared" si="8"/>
        <v>0</v>
      </c>
    </row>
    <row r="20">
      <c r="D20" s="50">
        <f t="shared" ref="D20:J20" si="9">SUM(D14:D19)</f>
        <v>9</v>
      </c>
      <c r="E20" s="50">
        <f t="shared" si="9"/>
        <v>0</v>
      </c>
      <c r="F20" s="50">
        <f t="shared" si="9"/>
        <v>5</v>
      </c>
      <c r="G20" s="50">
        <f t="shared" si="9"/>
        <v>7</v>
      </c>
      <c r="H20" s="50">
        <f t="shared" si="9"/>
        <v>21</v>
      </c>
      <c r="I20" s="50">
        <f t="shared" si="9"/>
        <v>3</v>
      </c>
      <c r="J20" s="50">
        <f t="shared" si="9"/>
        <v>3</v>
      </c>
      <c r="K20" s="51">
        <f>sum(D20:J20)</f>
        <v>48</v>
      </c>
    </row>
    <row r="21">
      <c r="A21" s="33" t="s">
        <v>116</v>
      </c>
      <c r="B21" s="34" t="s">
        <v>117</v>
      </c>
      <c r="C21" s="34" t="s">
        <v>118</v>
      </c>
      <c r="D21" s="43">
        <v>1.0</v>
      </c>
      <c r="E21" s="44"/>
      <c r="F21" s="43">
        <v>2.0</v>
      </c>
      <c r="G21" s="49">
        <v>2.0</v>
      </c>
      <c r="H21" s="46">
        <f t="shared" ref="H21:H27" si="10">sum(D21:G21)</f>
        <v>5</v>
      </c>
      <c r="I21" s="49">
        <v>2.0</v>
      </c>
      <c r="J21" s="49">
        <v>3.0</v>
      </c>
      <c r="K21" s="47">
        <f t="shared" ref="K21:K27" si="11">sum(H21:J21)</f>
        <v>10</v>
      </c>
    </row>
    <row r="22">
      <c r="A22" s="36"/>
      <c r="B22" s="34" t="s">
        <v>120</v>
      </c>
      <c r="C22" s="34" t="s">
        <v>121</v>
      </c>
      <c r="D22" s="43">
        <v>1.0</v>
      </c>
      <c r="E22" s="44"/>
      <c r="F22" s="43">
        <v>1.0</v>
      </c>
      <c r="G22" s="45"/>
      <c r="H22" s="46">
        <f t="shared" si="10"/>
        <v>2</v>
      </c>
      <c r="I22" s="49">
        <v>3.0</v>
      </c>
      <c r="J22" s="49">
        <v>2.0</v>
      </c>
      <c r="K22" s="47">
        <f t="shared" si="11"/>
        <v>7</v>
      </c>
    </row>
    <row r="23">
      <c r="A23" s="36"/>
      <c r="B23" s="34" t="s">
        <v>123</v>
      </c>
      <c r="C23" s="34" t="s">
        <v>124</v>
      </c>
      <c r="D23" s="43">
        <v>1.0</v>
      </c>
      <c r="E23" s="44"/>
      <c r="F23" s="43">
        <v>2.0</v>
      </c>
      <c r="G23" s="49">
        <v>2.0</v>
      </c>
      <c r="H23" s="46">
        <f t="shared" si="10"/>
        <v>5</v>
      </c>
      <c r="I23" s="49">
        <v>3.0</v>
      </c>
      <c r="J23" s="49">
        <v>2.0</v>
      </c>
      <c r="K23" s="47">
        <f t="shared" si="11"/>
        <v>10</v>
      </c>
    </row>
    <row r="24">
      <c r="A24" s="36"/>
      <c r="B24" s="34" t="s">
        <v>126</v>
      </c>
      <c r="C24" s="34" t="s">
        <v>127</v>
      </c>
      <c r="D24" s="43">
        <v>6.0</v>
      </c>
      <c r="E24" s="57"/>
      <c r="F24" s="43"/>
      <c r="G24" s="49"/>
      <c r="H24" s="46">
        <f t="shared" si="10"/>
        <v>6</v>
      </c>
      <c r="I24" s="45"/>
      <c r="J24" s="45"/>
      <c r="K24" s="47">
        <f t="shared" si="11"/>
        <v>6</v>
      </c>
    </row>
    <row r="25">
      <c r="A25" s="36"/>
      <c r="B25" s="34" t="s">
        <v>129</v>
      </c>
      <c r="C25" s="34" t="s">
        <v>130</v>
      </c>
      <c r="D25" s="43">
        <v>3.0</v>
      </c>
      <c r="E25" s="44"/>
      <c r="F25" s="43"/>
      <c r="G25" s="49">
        <v>3.0</v>
      </c>
      <c r="H25" s="46">
        <f t="shared" si="10"/>
        <v>6</v>
      </c>
      <c r="I25" s="45"/>
      <c r="J25" s="45"/>
      <c r="K25" s="47">
        <f t="shared" si="11"/>
        <v>6</v>
      </c>
    </row>
    <row r="26">
      <c r="A26" s="36"/>
      <c r="B26" s="34" t="s">
        <v>132</v>
      </c>
      <c r="C26" s="34" t="s">
        <v>133</v>
      </c>
      <c r="D26" s="43">
        <v>1.0</v>
      </c>
      <c r="E26" s="44"/>
      <c r="F26" s="43"/>
      <c r="G26" s="45"/>
      <c r="H26" s="46">
        <f t="shared" si="10"/>
        <v>1</v>
      </c>
      <c r="I26" s="49">
        <v>2.0</v>
      </c>
      <c r="J26" s="49">
        <v>3.0</v>
      </c>
      <c r="K26" s="47">
        <f t="shared" si="11"/>
        <v>6</v>
      </c>
    </row>
    <row r="27">
      <c r="A27" s="36"/>
      <c r="B27" s="34" t="s">
        <v>135</v>
      </c>
      <c r="C27" s="34" t="s">
        <v>136</v>
      </c>
      <c r="D27" s="43">
        <v>0.0</v>
      </c>
      <c r="E27" s="44"/>
      <c r="F27" s="44"/>
      <c r="G27" s="45"/>
      <c r="H27" s="46">
        <f t="shared" si="10"/>
        <v>0</v>
      </c>
      <c r="I27" s="45"/>
      <c r="J27" s="45"/>
      <c r="K27" s="47">
        <f t="shared" si="11"/>
        <v>0</v>
      </c>
    </row>
    <row r="28">
      <c r="D28" s="50">
        <f t="shared" ref="D28:J28" si="12">SUM(D21:D27)</f>
        <v>13</v>
      </c>
      <c r="E28" s="50">
        <f t="shared" si="12"/>
        <v>0</v>
      </c>
      <c r="F28" s="50">
        <f t="shared" si="12"/>
        <v>5</v>
      </c>
      <c r="G28" s="50">
        <f t="shared" si="12"/>
        <v>7</v>
      </c>
      <c r="H28" s="50">
        <f t="shared" si="12"/>
        <v>25</v>
      </c>
      <c r="I28" s="50">
        <f t="shared" si="12"/>
        <v>10</v>
      </c>
      <c r="J28" s="50">
        <f t="shared" si="12"/>
        <v>10</v>
      </c>
      <c r="K28" s="51">
        <f>sum(D28:J28)</f>
        <v>70</v>
      </c>
    </row>
    <row r="29">
      <c r="A29" s="37" t="s">
        <v>138</v>
      </c>
      <c r="B29" s="38" t="s">
        <v>139</v>
      </c>
      <c r="C29" s="38" t="s">
        <v>140</v>
      </c>
      <c r="D29" s="43">
        <v>0.0</v>
      </c>
      <c r="E29" s="49"/>
      <c r="F29" s="43"/>
      <c r="G29" s="49"/>
      <c r="H29" s="46">
        <f t="shared" ref="H29:H33" si="13">sum(D29:G29)</f>
        <v>0</v>
      </c>
      <c r="I29" s="49">
        <v>1.0</v>
      </c>
      <c r="J29" s="49"/>
      <c r="K29" s="47">
        <f t="shared" ref="K29:K33" si="14">sum(H29:J29)</f>
        <v>1</v>
      </c>
    </row>
    <row r="30">
      <c r="A30" s="40"/>
      <c r="B30" s="38" t="s">
        <v>142</v>
      </c>
      <c r="C30" s="38" t="s">
        <v>143</v>
      </c>
      <c r="D30" s="43">
        <v>2.0</v>
      </c>
      <c r="E30" s="49"/>
      <c r="F30" s="43">
        <v>2.0</v>
      </c>
      <c r="G30" s="43">
        <v>2.0</v>
      </c>
      <c r="H30" s="46">
        <f t="shared" si="13"/>
        <v>6</v>
      </c>
      <c r="I30" s="47"/>
      <c r="J30" s="47"/>
      <c r="K30" s="47">
        <f t="shared" si="14"/>
        <v>6</v>
      </c>
    </row>
    <row r="31">
      <c r="A31" s="40"/>
      <c r="B31" s="38" t="s">
        <v>145</v>
      </c>
      <c r="C31" s="38" t="s">
        <v>146</v>
      </c>
      <c r="D31" s="43">
        <v>1.0</v>
      </c>
      <c r="E31" s="49"/>
      <c r="F31" s="43"/>
      <c r="G31" s="43"/>
      <c r="H31" s="46">
        <f t="shared" si="13"/>
        <v>1</v>
      </c>
      <c r="I31" s="47"/>
      <c r="J31" s="47"/>
      <c r="K31" s="47">
        <f t="shared" si="14"/>
        <v>1</v>
      </c>
    </row>
    <row r="32">
      <c r="A32" s="40"/>
      <c r="B32" s="38" t="s">
        <v>148</v>
      </c>
      <c r="C32" s="38" t="s">
        <v>149</v>
      </c>
      <c r="D32" s="43">
        <v>1.0</v>
      </c>
      <c r="E32" s="49"/>
      <c r="F32" s="47"/>
      <c r="G32" s="47"/>
      <c r="H32" s="46">
        <f t="shared" si="13"/>
        <v>1</v>
      </c>
      <c r="I32" s="47"/>
      <c r="J32" s="47"/>
      <c r="K32" s="47">
        <f t="shared" si="14"/>
        <v>1</v>
      </c>
    </row>
    <row r="33">
      <c r="A33" s="40"/>
      <c r="B33" s="38" t="s">
        <v>151</v>
      </c>
      <c r="C33" s="38" t="s">
        <v>152</v>
      </c>
      <c r="D33" s="43">
        <v>0.0</v>
      </c>
      <c r="E33" s="49"/>
      <c r="F33" s="47"/>
      <c r="G33" s="47"/>
      <c r="H33" s="46">
        <f t="shared" si="13"/>
        <v>0</v>
      </c>
      <c r="I33" s="47"/>
      <c r="J33" s="47"/>
      <c r="K33" s="47">
        <f t="shared" si="14"/>
        <v>0</v>
      </c>
    </row>
    <row r="34">
      <c r="D34" s="54">
        <f t="shared" ref="D34:J34" si="15">SUM(D29:D33)</f>
        <v>4</v>
      </c>
      <c r="E34" s="54">
        <f t="shared" si="15"/>
        <v>0</v>
      </c>
      <c r="F34" s="54">
        <f t="shared" si="15"/>
        <v>2</v>
      </c>
      <c r="G34" s="54">
        <f t="shared" si="15"/>
        <v>2</v>
      </c>
      <c r="H34" s="54">
        <f t="shared" si="15"/>
        <v>8</v>
      </c>
      <c r="I34" s="54">
        <f t="shared" si="15"/>
        <v>1</v>
      </c>
      <c r="J34" s="54">
        <f t="shared" si="15"/>
        <v>0</v>
      </c>
      <c r="K34" s="51">
        <f>sum(D34:J34)</f>
        <v>17</v>
      </c>
    </row>
    <row r="36">
      <c r="C36" s="55" t="s">
        <v>164</v>
      </c>
      <c r="D36" s="56">
        <f t="shared" ref="D36:K36" si="16">sum(D9,D13,D20,D28,D34)</f>
        <v>77</v>
      </c>
      <c r="E36" s="56">
        <f t="shared" si="16"/>
        <v>0</v>
      </c>
      <c r="F36" s="56">
        <f t="shared" si="16"/>
        <v>17</v>
      </c>
      <c r="G36" s="56">
        <f t="shared" si="16"/>
        <v>20</v>
      </c>
      <c r="H36" s="56">
        <f t="shared" si="16"/>
        <v>114</v>
      </c>
      <c r="I36" s="56">
        <f t="shared" si="16"/>
        <v>20</v>
      </c>
      <c r="J36" s="56">
        <f t="shared" si="16"/>
        <v>19</v>
      </c>
      <c r="K36" s="56">
        <f t="shared" si="16"/>
        <v>267</v>
      </c>
    </row>
  </sheetData>
  <mergeCells count="1">
    <mergeCell ref="L16:L19"/>
  </mergeCells>
  <conditionalFormatting sqref="H2:H8 H10:H12 H14:H19 H21:H27 H29:H33">
    <cfRule type="cellIs" dxfId="0" priority="1" operator="greaterThanOrEqual">
      <formula>10</formula>
    </cfRule>
  </conditionalFormatting>
  <conditionalFormatting sqref="K1:K8 K10:K12 K14:K19 K21:K27 K29:K33">
    <cfRule type="cellIs" dxfId="0" priority="2" operator="greaterThanOrEqual">
      <formula>10</formula>
    </cfRule>
  </conditionalFormatting>
  <conditionalFormatting sqref="K1:K8 K10:K12 K14:K19 K21:K27 K29:K33">
    <cfRule type="cellIs" dxfId="1" priority="3" operator="lessThan">
      <formula>10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13"/>
    <col customWidth="1" min="2" max="2" width="4.75"/>
    <col customWidth="1" min="3" max="3" width="3.0"/>
    <col customWidth="1" min="4" max="9" width="1.88"/>
    <col customWidth="1" min="10" max="10" width="2.88"/>
    <col customWidth="1" min="11" max="11" width="2.75"/>
    <col customWidth="1" min="12" max="23" width="2.88"/>
    <col customWidth="1" min="24" max="25" width="3.0"/>
    <col customWidth="1" min="26" max="33" width="1.88"/>
    <col customWidth="1" min="34" max="34" width="2.88"/>
    <col customWidth="1" min="35" max="35" width="2.75"/>
    <col customWidth="1" min="36" max="40" width="2.88"/>
    <col customWidth="1" min="41" max="42" width="3.0"/>
    <col customWidth="1" min="43" max="50" width="1.88"/>
    <col customWidth="1" min="51" max="51" width="2.88"/>
    <col customWidth="1" min="52" max="52" width="2.75"/>
    <col customWidth="1" min="53" max="65" width="2.88"/>
    <col customWidth="1" min="66" max="66" width="3.0"/>
  </cols>
  <sheetData>
    <row r="1">
      <c r="A1" s="18"/>
      <c r="B1" s="76"/>
      <c r="C1" s="77" t="s">
        <v>165</v>
      </c>
      <c r="X1" s="78"/>
      <c r="Y1" s="79" t="s">
        <v>8</v>
      </c>
      <c r="AO1" s="78"/>
      <c r="AP1" s="80" t="s">
        <v>166</v>
      </c>
      <c r="BN1" s="78"/>
    </row>
    <row r="2">
      <c r="A2" s="81" t="s">
        <v>167</v>
      </c>
      <c r="B2" s="82" t="s">
        <v>168</v>
      </c>
      <c r="C2" s="83">
        <v>3.0</v>
      </c>
      <c r="D2" s="83">
        <v>4.0</v>
      </c>
      <c r="E2" s="83">
        <v>5.0</v>
      </c>
      <c r="F2" s="83">
        <v>6.0</v>
      </c>
      <c r="G2" s="83">
        <v>7.0</v>
      </c>
      <c r="H2" s="83">
        <v>8.0</v>
      </c>
      <c r="I2" s="83">
        <v>9.0</v>
      </c>
      <c r="J2" s="83">
        <v>10.0</v>
      </c>
      <c r="K2" s="83">
        <v>11.0</v>
      </c>
      <c r="L2" s="83">
        <v>12.0</v>
      </c>
      <c r="M2" s="83">
        <v>13.0</v>
      </c>
      <c r="N2" s="83">
        <v>14.0</v>
      </c>
      <c r="O2" s="83">
        <v>15.0</v>
      </c>
      <c r="P2" s="83">
        <v>16.0</v>
      </c>
      <c r="Q2" s="83">
        <v>17.0</v>
      </c>
      <c r="R2" s="83">
        <v>18.0</v>
      </c>
      <c r="S2" s="83">
        <v>19.0</v>
      </c>
      <c r="T2" s="83">
        <v>20.0</v>
      </c>
      <c r="U2" s="83">
        <v>21.0</v>
      </c>
      <c r="V2" s="83">
        <v>22.0</v>
      </c>
      <c r="W2" s="83">
        <v>23.0</v>
      </c>
      <c r="X2" s="84">
        <v>24.0</v>
      </c>
      <c r="Y2" s="83">
        <v>1.0</v>
      </c>
      <c r="Z2" s="83">
        <v>2.0</v>
      </c>
      <c r="AA2" s="83">
        <v>3.0</v>
      </c>
      <c r="AB2" s="83">
        <v>4.0</v>
      </c>
      <c r="AC2" s="83">
        <v>5.0</v>
      </c>
      <c r="AD2" s="83">
        <v>6.0</v>
      </c>
      <c r="AE2" s="83">
        <v>7.0</v>
      </c>
      <c r="AF2" s="83">
        <v>8.0</v>
      </c>
      <c r="AG2" s="83">
        <v>9.0</v>
      </c>
      <c r="AH2" s="83">
        <v>10.0</v>
      </c>
      <c r="AI2" s="83">
        <v>11.0</v>
      </c>
      <c r="AJ2" s="83">
        <v>13.0</v>
      </c>
      <c r="AK2" s="83">
        <v>14.0</v>
      </c>
      <c r="AL2" s="83">
        <v>15.0</v>
      </c>
      <c r="AM2" s="83">
        <v>16.0</v>
      </c>
      <c r="AN2" s="83">
        <v>17.0</v>
      </c>
      <c r="AO2" s="84">
        <v>18.0</v>
      </c>
      <c r="AP2" s="83">
        <v>1.0</v>
      </c>
      <c r="AQ2" s="83">
        <v>2.0</v>
      </c>
      <c r="AR2" s="83">
        <v>3.0</v>
      </c>
      <c r="AS2" s="83">
        <v>4.0</v>
      </c>
      <c r="AT2" s="83">
        <v>5.0</v>
      </c>
      <c r="AU2" s="83">
        <v>6.0</v>
      </c>
      <c r="AV2" s="83">
        <v>7.0</v>
      </c>
      <c r="AW2" s="83">
        <v>8.0</v>
      </c>
      <c r="AX2" s="83">
        <v>9.0</v>
      </c>
      <c r="AY2" s="83">
        <v>10.0</v>
      </c>
      <c r="AZ2" s="83">
        <v>11.0</v>
      </c>
      <c r="BA2" s="83">
        <v>12.0</v>
      </c>
      <c r="BB2" s="83">
        <v>13.0</v>
      </c>
      <c r="BC2" s="83">
        <v>14.0</v>
      </c>
      <c r="BD2" s="83">
        <v>15.0</v>
      </c>
      <c r="BE2" s="83">
        <v>16.0</v>
      </c>
      <c r="BF2" s="83">
        <v>17.0</v>
      </c>
      <c r="BG2" s="83">
        <v>18.0</v>
      </c>
      <c r="BH2" s="83">
        <v>19.0</v>
      </c>
      <c r="BI2" s="83">
        <v>20.0</v>
      </c>
      <c r="BJ2" s="83">
        <v>21.0</v>
      </c>
      <c r="BK2" s="83">
        <v>22.0</v>
      </c>
      <c r="BL2" s="83">
        <v>23.0</v>
      </c>
      <c r="BM2" s="83">
        <v>24.0</v>
      </c>
      <c r="BN2" s="84">
        <v>25.0</v>
      </c>
    </row>
    <row r="3">
      <c r="A3" s="20" t="s">
        <v>67</v>
      </c>
      <c r="B3" s="85">
        <f t="shared" ref="B3:B29" si="1">sum(C3:BN3)</f>
        <v>12</v>
      </c>
      <c r="N3" s="42">
        <v>1.0</v>
      </c>
      <c r="P3" s="42">
        <v>1.0</v>
      </c>
      <c r="X3" s="86"/>
      <c r="AB3" s="42">
        <v>1.0</v>
      </c>
      <c r="AO3" s="86"/>
      <c r="AP3" s="42">
        <v>1.0</v>
      </c>
      <c r="AQ3" s="42">
        <v>1.0</v>
      </c>
      <c r="AT3" s="42">
        <v>1.0</v>
      </c>
      <c r="AU3" s="42">
        <v>1.0</v>
      </c>
      <c r="AX3" s="42">
        <v>1.0</v>
      </c>
      <c r="BA3" s="42">
        <v>1.0</v>
      </c>
      <c r="BE3" s="42">
        <v>1.0</v>
      </c>
      <c r="BI3" s="42">
        <v>1.0</v>
      </c>
      <c r="BJ3" s="42">
        <v>1.0</v>
      </c>
      <c r="BN3" s="86"/>
    </row>
    <row r="4">
      <c r="A4" s="20" t="s">
        <v>70</v>
      </c>
      <c r="B4" s="85">
        <f t="shared" si="1"/>
        <v>16</v>
      </c>
      <c r="S4" s="42">
        <v>1.0</v>
      </c>
      <c r="V4" s="42">
        <v>1.0</v>
      </c>
      <c r="X4" s="87">
        <v>1.0</v>
      </c>
      <c r="Y4" s="42">
        <v>1.0</v>
      </c>
      <c r="Z4" s="42">
        <v>1.0</v>
      </c>
      <c r="AC4" s="42">
        <v>1.0</v>
      </c>
      <c r="AO4" s="86"/>
      <c r="AP4" s="42">
        <v>1.0</v>
      </c>
      <c r="AR4" s="42">
        <v>1.0</v>
      </c>
      <c r="AS4" s="42">
        <v>1.0</v>
      </c>
      <c r="AY4" s="42">
        <v>1.0</v>
      </c>
      <c r="AZ4" s="42">
        <v>1.0</v>
      </c>
      <c r="BE4" s="42">
        <v>1.0</v>
      </c>
      <c r="BF4" s="42">
        <v>1.0</v>
      </c>
      <c r="BG4" s="42">
        <v>1.0</v>
      </c>
      <c r="BJ4" s="42">
        <v>1.0</v>
      </c>
      <c r="BK4" s="42">
        <v>1.0</v>
      </c>
      <c r="BN4" s="86"/>
      <c r="BP4" s="88">
        <f>countif(B3:B29,"&lt;=1")</f>
        <v>17</v>
      </c>
    </row>
    <row r="5">
      <c r="A5" s="20" t="s">
        <v>73</v>
      </c>
      <c r="B5" s="85">
        <f t="shared" si="1"/>
        <v>1</v>
      </c>
      <c r="X5" s="86"/>
      <c r="AA5" s="42">
        <v>1.0</v>
      </c>
      <c r="AO5" s="86"/>
      <c r="BN5" s="86"/>
    </row>
    <row r="6">
      <c r="A6" s="20" t="s">
        <v>76</v>
      </c>
      <c r="B6" s="85">
        <f t="shared" si="1"/>
        <v>4</v>
      </c>
      <c r="X6" s="86"/>
      <c r="AO6" s="86"/>
      <c r="AY6" s="42">
        <v>1.0</v>
      </c>
      <c r="BB6" s="42">
        <v>1.0</v>
      </c>
      <c r="BC6" s="42">
        <v>1.0</v>
      </c>
      <c r="BL6" s="42">
        <v>1.0</v>
      </c>
      <c r="BN6" s="86"/>
    </row>
    <row r="7">
      <c r="A7" s="20" t="s">
        <v>79</v>
      </c>
      <c r="B7" s="88">
        <f t="shared" si="1"/>
        <v>5</v>
      </c>
      <c r="F7" s="42">
        <v>1.0</v>
      </c>
      <c r="X7" s="86"/>
      <c r="AD7" s="89">
        <v>1.0</v>
      </c>
      <c r="AE7" s="42">
        <v>1.0</v>
      </c>
      <c r="AV7" s="42">
        <v>1.0</v>
      </c>
      <c r="BC7" s="42">
        <v>1.0</v>
      </c>
      <c r="BN7" s="86"/>
    </row>
    <row r="8">
      <c r="A8" s="90" t="s">
        <v>82</v>
      </c>
      <c r="B8" s="91">
        <f t="shared" si="1"/>
        <v>0</v>
      </c>
      <c r="C8" s="91"/>
      <c r="D8" s="91"/>
      <c r="E8" s="91"/>
      <c r="F8" s="92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3"/>
      <c r="Y8" s="91"/>
      <c r="Z8" s="91"/>
      <c r="AA8" s="91"/>
      <c r="AB8" s="91"/>
      <c r="AC8" s="91"/>
      <c r="AD8" s="94"/>
      <c r="AE8" s="92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2"/>
      <c r="AW8" s="91"/>
      <c r="AX8" s="91"/>
      <c r="AY8" s="91"/>
      <c r="AZ8" s="91"/>
      <c r="BA8" s="91"/>
      <c r="BB8" s="91"/>
      <c r="BC8" s="92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3"/>
    </row>
    <row r="9">
      <c r="A9" s="27" t="s">
        <v>88</v>
      </c>
      <c r="B9" s="85">
        <f t="shared" si="1"/>
        <v>9</v>
      </c>
      <c r="C9" s="42">
        <v>1.0</v>
      </c>
      <c r="H9" s="42">
        <v>1.0</v>
      </c>
      <c r="T9" s="42">
        <v>1.0</v>
      </c>
      <c r="X9" s="86"/>
      <c r="AF9" s="42">
        <v>1.0</v>
      </c>
      <c r="AG9" s="42">
        <v>1.0</v>
      </c>
      <c r="AH9" s="42">
        <v>1.0</v>
      </c>
      <c r="AI9" s="42">
        <v>1.0</v>
      </c>
      <c r="AO9" s="86"/>
      <c r="AZ9" s="42">
        <v>1.0</v>
      </c>
      <c r="BM9" s="42">
        <v>1.0</v>
      </c>
      <c r="BN9" s="86"/>
    </row>
    <row r="10">
      <c r="A10" s="27" t="s">
        <v>91</v>
      </c>
      <c r="B10" s="85">
        <f t="shared" si="1"/>
        <v>1</v>
      </c>
      <c r="X10" s="86"/>
      <c r="AO10" s="86"/>
      <c r="BN10" s="87">
        <v>1.0</v>
      </c>
    </row>
    <row r="11">
      <c r="A11" s="95" t="s">
        <v>94</v>
      </c>
      <c r="B11" s="96">
        <f t="shared" si="1"/>
        <v>0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3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3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3"/>
    </row>
    <row r="12">
      <c r="A12" s="30" t="s">
        <v>98</v>
      </c>
      <c r="B12" s="85">
        <f t="shared" si="1"/>
        <v>4</v>
      </c>
      <c r="G12" s="42">
        <v>1.0</v>
      </c>
      <c r="Q12" s="42">
        <v>1.0</v>
      </c>
      <c r="S12" s="97"/>
      <c r="X12" s="86"/>
      <c r="AJ12" s="42">
        <v>1.0</v>
      </c>
      <c r="AL12" s="42">
        <v>1.0</v>
      </c>
      <c r="AO12" s="86"/>
      <c r="BN12" s="86"/>
    </row>
    <row r="13">
      <c r="A13" s="30" t="s">
        <v>101</v>
      </c>
      <c r="B13" s="85">
        <f t="shared" si="1"/>
        <v>5</v>
      </c>
      <c r="D13" s="42">
        <v>1.0</v>
      </c>
      <c r="E13" s="42">
        <v>1.0</v>
      </c>
      <c r="I13" s="42">
        <v>1.0</v>
      </c>
      <c r="U13" s="42">
        <v>1.0</v>
      </c>
      <c r="X13" s="86"/>
      <c r="AM13" s="42">
        <v>1.0</v>
      </c>
      <c r="AO13" s="86"/>
      <c r="BN13" s="86"/>
    </row>
    <row r="14">
      <c r="A14" s="30" t="s">
        <v>104</v>
      </c>
      <c r="B14" s="85">
        <f t="shared" si="1"/>
        <v>0</v>
      </c>
      <c r="X14" s="86"/>
      <c r="AO14" s="86"/>
      <c r="BN14" s="86"/>
    </row>
    <row r="15">
      <c r="A15" s="30" t="s">
        <v>107</v>
      </c>
      <c r="B15" s="85">
        <f t="shared" si="1"/>
        <v>0</v>
      </c>
      <c r="X15" s="86"/>
      <c r="AO15" s="86"/>
      <c r="BN15" s="86"/>
    </row>
    <row r="16">
      <c r="A16" s="30" t="s">
        <v>110</v>
      </c>
      <c r="B16" s="85">
        <f t="shared" si="1"/>
        <v>0</v>
      </c>
      <c r="X16" s="86"/>
      <c r="AO16" s="86"/>
      <c r="BN16" s="86"/>
    </row>
    <row r="17">
      <c r="A17" s="98" t="s">
        <v>113</v>
      </c>
      <c r="B17" s="96">
        <f t="shared" si="1"/>
        <v>0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3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3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3"/>
    </row>
    <row r="18">
      <c r="A18" s="34" t="s">
        <v>117</v>
      </c>
      <c r="B18" s="85">
        <f t="shared" si="1"/>
        <v>1</v>
      </c>
      <c r="M18" s="42">
        <v>1.0</v>
      </c>
      <c r="X18" s="86"/>
      <c r="AO18" s="86"/>
      <c r="BN18" s="86"/>
    </row>
    <row r="19">
      <c r="A19" s="34" t="s">
        <v>120</v>
      </c>
      <c r="B19" s="85">
        <f t="shared" si="1"/>
        <v>1</v>
      </c>
      <c r="O19" s="42">
        <v>1.0</v>
      </c>
      <c r="X19" s="86"/>
      <c r="AO19" s="86"/>
      <c r="BN19" s="86"/>
    </row>
    <row r="20">
      <c r="A20" s="34" t="s">
        <v>123</v>
      </c>
      <c r="B20" s="85">
        <f t="shared" si="1"/>
        <v>1</v>
      </c>
      <c r="W20" s="42">
        <v>1.0</v>
      </c>
      <c r="X20" s="86"/>
      <c r="AO20" s="86"/>
      <c r="BN20" s="86"/>
    </row>
    <row r="21">
      <c r="A21" s="34" t="s">
        <v>126</v>
      </c>
      <c r="B21" s="85">
        <f t="shared" si="1"/>
        <v>6</v>
      </c>
      <c r="J21" s="42">
        <v>1.0</v>
      </c>
      <c r="K21" s="42">
        <v>1.0</v>
      </c>
      <c r="L21" s="42">
        <v>1.0</v>
      </c>
      <c r="X21" s="86"/>
      <c r="AK21" s="42">
        <v>1.0</v>
      </c>
      <c r="AO21" s="86"/>
      <c r="BD21" s="42">
        <v>1.0</v>
      </c>
      <c r="BH21" s="42">
        <v>1.0</v>
      </c>
      <c r="BN21" s="86"/>
    </row>
    <row r="22">
      <c r="A22" s="34" t="s">
        <v>129</v>
      </c>
      <c r="B22" s="85">
        <f t="shared" si="1"/>
        <v>3</v>
      </c>
      <c r="X22" s="86"/>
      <c r="AC22" s="97"/>
      <c r="AO22" s="86"/>
      <c r="BG22" s="42">
        <v>1.0</v>
      </c>
      <c r="BM22" s="42">
        <v>1.0</v>
      </c>
      <c r="BN22" s="87">
        <v>1.0</v>
      </c>
    </row>
    <row r="23">
      <c r="A23" s="34" t="s">
        <v>132</v>
      </c>
      <c r="B23" s="85">
        <f t="shared" si="1"/>
        <v>1</v>
      </c>
      <c r="H23" s="97"/>
      <c r="X23" s="86"/>
      <c r="AD23" s="42">
        <v>1.0</v>
      </c>
      <c r="AO23" s="86"/>
      <c r="BN23" s="86"/>
    </row>
    <row r="24">
      <c r="A24" s="99" t="s">
        <v>135</v>
      </c>
      <c r="B24" s="96">
        <f t="shared" si="1"/>
        <v>0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3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3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3"/>
    </row>
    <row r="25">
      <c r="A25" s="38" t="s">
        <v>139</v>
      </c>
      <c r="B25" s="85">
        <f t="shared" si="1"/>
        <v>0</v>
      </c>
      <c r="X25" s="86"/>
      <c r="AO25" s="86"/>
      <c r="BN25" s="86"/>
    </row>
    <row r="26">
      <c r="A26" s="38" t="s">
        <v>142</v>
      </c>
      <c r="B26" s="85">
        <f t="shared" si="1"/>
        <v>2</v>
      </c>
      <c r="X26" s="86"/>
      <c r="AO26" s="87">
        <v>1.0</v>
      </c>
      <c r="AW26" s="42">
        <v>1.0</v>
      </c>
      <c r="BN26" s="86"/>
    </row>
    <row r="27">
      <c r="A27" s="38" t="s">
        <v>145</v>
      </c>
      <c r="B27" s="85">
        <f t="shared" si="1"/>
        <v>1</v>
      </c>
      <c r="R27" s="42">
        <v>1.0</v>
      </c>
      <c r="X27" s="86"/>
      <c r="AO27" s="86"/>
      <c r="BN27" s="86"/>
    </row>
    <row r="28">
      <c r="A28" s="38" t="s">
        <v>148</v>
      </c>
      <c r="B28" s="85">
        <f t="shared" si="1"/>
        <v>1</v>
      </c>
      <c r="X28" s="86"/>
      <c r="AN28" s="42">
        <v>1.0</v>
      </c>
      <c r="AO28" s="86"/>
      <c r="BN28" s="86"/>
    </row>
    <row r="29">
      <c r="A29" s="100" t="s">
        <v>151</v>
      </c>
      <c r="B29" s="96">
        <f t="shared" si="1"/>
        <v>0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3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3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3"/>
    </row>
    <row r="30">
      <c r="C30" s="88">
        <f t="shared" ref="C30:BN30" si="2">sum(C3:C29)</f>
        <v>1</v>
      </c>
      <c r="D30" s="88">
        <f t="shared" si="2"/>
        <v>1</v>
      </c>
      <c r="E30" s="88">
        <f t="shared" si="2"/>
        <v>1</v>
      </c>
      <c r="F30" s="88">
        <f t="shared" si="2"/>
        <v>1</v>
      </c>
      <c r="G30" s="88">
        <f t="shared" si="2"/>
        <v>1</v>
      </c>
      <c r="H30" s="88">
        <f t="shared" si="2"/>
        <v>1</v>
      </c>
      <c r="I30" s="88">
        <f t="shared" si="2"/>
        <v>1</v>
      </c>
      <c r="J30" s="88">
        <f t="shared" si="2"/>
        <v>1</v>
      </c>
      <c r="K30" s="88">
        <f t="shared" si="2"/>
        <v>1</v>
      </c>
      <c r="L30" s="88">
        <f t="shared" si="2"/>
        <v>1</v>
      </c>
      <c r="M30" s="88">
        <f t="shared" si="2"/>
        <v>1</v>
      </c>
      <c r="N30" s="88">
        <f t="shared" si="2"/>
        <v>1</v>
      </c>
      <c r="O30" s="88">
        <f t="shared" si="2"/>
        <v>1</v>
      </c>
      <c r="P30" s="88">
        <f t="shared" si="2"/>
        <v>1</v>
      </c>
      <c r="Q30" s="88">
        <f t="shared" si="2"/>
        <v>1</v>
      </c>
      <c r="R30" s="88">
        <f t="shared" si="2"/>
        <v>1</v>
      </c>
      <c r="S30" s="88">
        <f t="shared" si="2"/>
        <v>1</v>
      </c>
      <c r="T30" s="88">
        <f t="shared" si="2"/>
        <v>1</v>
      </c>
      <c r="U30" s="88">
        <f t="shared" si="2"/>
        <v>1</v>
      </c>
      <c r="V30" s="88">
        <f t="shared" si="2"/>
        <v>1</v>
      </c>
      <c r="W30" s="88">
        <f t="shared" si="2"/>
        <v>1</v>
      </c>
      <c r="X30" s="88">
        <f t="shared" si="2"/>
        <v>1</v>
      </c>
      <c r="Y30" s="88">
        <f t="shared" si="2"/>
        <v>1</v>
      </c>
      <c r="Z30" s="88">
        <f t="shared" si="2"/>
        <v>1</v>
      </c>
      <c r="AA30" s="88">
        <f t="shared" si="2"/>
        <v>1</v>
      </c>
      <c r="AB30" s="88">
        <f t="shared" si="2"/>
        <v>1</v>
      </c>
      <c r="AC30" s="88">
        <f t="shared" si="2"/>
        <v>1</v>
      </c>
      <c r="AD30" s="88">
        <f t="shared" si="2"/>
        <v>2</v>
      </c>
      <c r="AE30" s="88">
        <f t="shared" si="2"/>
        <v>1</v>
      </c>
      <c r="AF30" s="88">
        <f t="shared" si="2"/>
        <v>1</v>
      </c>
      <c r="AG30" s="88">
        <f t="shared" si="2"/>
        <v>1</v>
      </c>
      <c r="AH30" s="88">
        <f t="shared" si="2"/>
        <v>1</v>
      </c>
      <c r="AI30" s="88">
        <f t="shared" si="2"/>
        <v>1</v>
      </c>
      <c r="AJ30" s="88">
        <f t="shared" si="2"/>
        <v>1</v>
      </c>
      <c r="AK30" s="88">
        <f t="shared" si="2"/>
        <v>1</v>
      </c>
      <c r="AL30" s="88">
        <f t="shared" si="2"/>
        <v>1</v>
      </c>
      <c r="AM30" s="88">
        <f t="shared" si="2"/>
        <v>1</v>
      </c>
      <c r="AN30" s="88">
        <f t="shared" si="2"/>
        <v>1</v>
      </c>
      <c r="AO30" s="88">
        <f t="shared" si="2"/>
        <v>1</v>
      </c>
      <c r="AP30" s="88">
        <f t="shared" si="2"/>
        <v>2</v>
      </c>
      <c r="AQ30" s="88">
        <f t="shared" si="2"/>
        <v>1</v>
      </c>
      <c r="AR30" s="88">
        <f t="shared" si="2"/>
        <v>1</v>
      </c>
      <c r="AS30" s="88">
        <f t="shared" si="2"/>
        <v>1</v>
      </c>
      <c r="AT30" s="88">
        <f t="shared" si="2"/>
        <v>1</v>
      </c>
      <c r="AU30" s="88">
        <f t="shared" si="2"/>
        <v>1</v>
      </c>
      <c r="AV30" s="88">
        <f t="shared" si="2"/>
        <v>1</v>
      </c>
      <c r="AW30" s="88">
        <f t="shared" si="2"/>
        <v>1</v>
      </c>
      <c r="AX30" s="88">
        <f t="shared" si="2"/>
        <v>1</v>
      </c>
      <c r="AY30" s="88">
        <f t="shared" si="2"/>
        <v>2</v>
      </c>
      <c r="AZ30" s="88">
        <f t="shared" si="2"/>
        <v>2</v>
      </c>
      <c r="BA30" s="88">
        <f t="shared" si="2"/>
        <v>1</v>
      </c>
      <c r="BB30" s="88">
        <f t="shared" si="2"/>
        <v>1</v>
      </c>
      <c r="BC30" s="88">
        <f t="shared" si="2"/>
        <v>2</v>
      </c>
      <c r="BD30" s="88">
        <f t="shared" si="2"/>
        <v>1</v>
      </c>
      <c r="BE30" s="88">
        <f t="shared" si="2"/>
        <v>2</v>
      </c>
      <c r="BF30" s="88">
        <f t="shared" si="2"/>
        <v>1</v>
      </c>
      <c r="BG30" s="88">
        <f t="shared" si="2"/>
        <v>2</v>
      </c>
      <c r="BH30" s="88">
        <f t="shared" si="2"/>
        <v>1</v>
      </c>
      <c r="BI30" s="88">
        <f t="shared" si="2"/>
        <v>1</v>
      </c>
      <c r="BJ30" s="88">
        <f t="shared" si="2"/>
        <v>2</v>
      </c>
      <c r="BK30" s="88">
        <f t="shared" si="2"/>
        <v>1</v>
      </c>
      <c r="BL30" s="88">
        <f t="shared" si="2"/>
        <v>1</v>
      </c>
      <c r="BM30" s="88">
        <f t="shared" si="2"/>
        <v>2</v>
      </c>
      <c r="BN30" s="88">
        <f t="shared" si="2"/>
        <v>2</v>
      </c>
    </row>
    <row r="31">
      <c r="BN31" s="85"/>
    </row>
    <row r="32">
      <c r="BN32" s="85"/>
    </row>
    <row r="33">
      <c r="BN33" s="85"/>
    </row>
    <row r="34">
      <c r="BN34" s="85"/>
    </row>
    <row r="35">
      <c r="BN35" s="85"/>
    </row>
    <row r="36">
      <c r="BN36" s="85"/>
    </row>
    <row r="37">
      <c r="BN37" s="85"/>
    </row>
    <row r="38">
      <c r="BN38" s="85"/>
    </row>
    <row r="39">
      <c r="BN39" s="85"/>
    </row>
    <row r="40">
      <c r="BN40" s="85"/>
    </row>
    <row r="41">
      <c r="BN41" s="85"/>
    </row>
    <row r="42">
      <c r="BN42" s="85"/>
    </row>
    <row r="43">
      <c r="BN43" s="85"/>
    </row>
    <row r="44">
      <c r="BN44" s="85"/>
    </row>
    <row r="45">
      <c r="BN45" s="85"/>
    </row>
    <row r="46">
      <c r="BN46" s="85"/>
    </row>
    <row r="47">
      <c r="BN47" s="85"/>
    </row>
    <row r="48">
      <c r="BN48" s="85"/>
    </row>
    <row r="49">
      <c r="BN49" s="85"/>
    </row>
    <row r="50">
      <c r="BN50" s="85"/>
    </row>
    <row r="51">
      <c r="BN51" s="85"/>
    </row>
    <row r="52">
      <c r="BN52" s="85"/>
    </row>
    <row r="53">
      <c r="BN53" s="85"/>
    </row>
    <row r="54">
      <c r="BN54" s="85"/>
    </row>
    <row r="55">
      <c r="BN55" s="85"/>
    </row>
    <row r="56">
      <c r="BN56" s="85"/>
    </row>
    <row r="57">
      <c r="BN57" s="85"/>
    </row>
    <row r="58">
      <c r="BN58" s="85"/>
    </row>
    <row r="59">
      <c r="BN59" s="85"/>
    </row>
    <row r="60">
      <c r="BN60" s="85"/>
    </row>
    <row r="61">
      <c r="BN61" s="85"/>
    </row>
    <row r="62">
      <c r="BN62" s="85"/>
    </row>
    <row r="63">
      <c r="BN63" s="85"/>
    </row>
    <row r="64">
      <c r="BN64" s="85"/>
    </row>
    <row r="65">
      <c r="BN65" s="85"/>
    </row>
    <row r="66">
      <c r="A66" s="18"/>
      <c r="X66" s="86"/>
      <c r="AO66" s="86"/>
      <c r="BN66" s="85"/>
    </row>
    <row r="67">
      <c r="A67" s="18"/>
      <c r="X67" s="86"/>
      <c r="AO67" s="86"/>
      <c r="BN67" s="85"/>
    </row>
    <row r="68">
      <c r="A68" s="18"/>
      <c r="X68" s="86"/>
      <c r="AO68" s="86"/>
      <c r="BN68" s="85"/>
    </row>
    <row r="69">
      <c r="A69" s="18"/>
      <c r="X69" s="86"/>
      <c r="AO69" s="86"/>
      <c r="BN69" s="85"/>
    </row>
    <row r="70">
      <c r="A70" s="18"/>
      <c r="X70" s="86"/>
      <c r="AO70" s="86"/>
      <c r="BN70" s="85"/>
    </row>
    <row r="71">
      <c r="A71" s="18"/>
      <c r="X71" s="86"/>
      <c r="AO71" s="86"/>
      <c r="BN71" s="85"/>
    </row>
    <row r="72">
      <c r="A72" s="18"/>
      <c r="X72" s="86"/>
      <c r="AO72" s="86"/>
      <c r="BN72" s="85"/>
    </row>
    <row r="73">
      <c r="A73" s="18"/>
      <c r="X73" s="86"/>
      <c r="AO73" s="86"/>
      <c r="BN73" s="85"/>
    </row>
    <row r="74">
      <c r="A74" s="18"/>
      <c r="X74" s="86"/>
      <c r="AO74" s="86"/>
      <c r="BN74" s="85"/>
    </row>
    <row r="75">
      <c r="A75" s="18"/>
      <c r="X75" s="86"/>
      <c r="AO75" s="86"/>
      <c r="BN75" s="85"/>
    </row>
    <row r="76">
      <c r="A76" s="18"/>
      <c r="X76" s="86"/>
      <c r="AO76" s="86"/>
      <c r="BN76" s="85"/>
    </row>
    <row r="77">
      <c r="A77" s="18"/>
      <c r="X77" s="86"/>
      <c r="AO77" s="86"/>
      <c r="BN77" s="85"/>
    </row>
    <row r="78">
      <c r="A78" s="18"/>
      <c r="X78" s="86"/>
      <c r="AO78" s="86"/>
      <c r="BN78" s="85"/>
    </row>
    <row r="79">
      <c r="A79" s="18"/>
      <c r="X79" s="86"/>
      <c r="AO79" s="86"/>
      <c r="BN79" s="85"/>
    </row>
    <row r="80">
      <c r="A80" s="18"/>
      <c r="X80" s="86"/>
      <c r="AO80" s="86"/>
      <c r="BN80" s="85"/>
    </row>
    <row r="81">
      <c r="A81" s="18"/>
      <c r="X81" s="86"/>
      <c r="AO81" s="86"/>
      <c r="BN81" s="85"/>
    </row>
    <row r="82">
      <c r="A82" s="18"/>
      <c r="X82" s="86"/>
      <c r="AO82" s="86"/>
      <c r="BN82" s="85"/>
    </row>
    <row r="83">
      <c r="A83" s="18"/>
      <c r="X83" s="86"/>
      <c r="AO83" s="86"/>
      <c r="BN83" s="85"/>
    </row>
    <row r="84">
      <c r="A84" s="18"/>
      <c r="X84" s="86"/>
      <c r="AO84" s="86"/>
      <c r="BN84" s="85"/>
    </row>
    <row r="85">
      <c r="A85" s="18"/>
      <c r="X85" s="86"/>
      <c r="AO85" s="86"/>
      <c r="BN85" s="85"/>
    </row>
    <row r="86">
      <c r="A86" s="18"/>
      <c r="X86" s="86"/>
      <c r="AO86" s="86"/>
      <c r="BN86" s="85"/>
    </row>
    <row r="87">
      <c r="A87" s="18"/>
      <c r="X87" s="86"/>
      <c r="AO87" s="86"/>
      <c r="BN87" s="85"/>
    </row>
    <row r="88">
      <c r="A88" s="18"/>
      <c r="X88" s="86"/>
      <c r="AO88" s="86"/>
      <c r="BN88" s="85"/>
    </row>
    <row r="89">
      <c r="A89" s="18"/>
      <c r="X89" s="86"/>
      <c r="AO89" s="86"/>
      <c r="BN89" s="85"/>
    </row>
    <row r="90">
      <c r="A90" s="18"/>
      <c r="X90" s="86"/>
      <c r="AO90" s="86"/>
      <c r="BN90" s="85"/>
    </row>
    <row r="91">
      <c r="A91" s="18"/>
      <c r="X91" s="86"/>
      <c r="AO91" s="86"/>
      <c r="BN91" s="85"/>
    </row>
    <row r="92">
      <c r="A92" s="18"/>
      <c r="X92" s="86"/>
      <c r="AO92" s="86"/>
      <c r="BN92" s="85"/>
    </row>
    <row r="93">
      <c r="A93" s="18"/>
      <c r="X93" s="86"/>
      <c r="AO93" s="86"/>
      <c r="BN93" s="85"/>
    </row>
    <row r="94">
      <c r="A94" s="18"/>
      <c r="X94" s="86"/>
      <c r="AO94" s="86"/>
      <c r="BN94" s="85"/>
    </row>
    <row r="95">
      <c r="A95" s="18"/>
      <c r="X95" s="86"/>
      <c r="AO95" s="86"/>
      <c r="BN95" s="85"/>
    </row>
    <row r="96">
      <c r="A96" s="18"/>
      <c r="X96" s="86"/>
      <c r="AO96" s="86"/>
      <c r="BN96" s="85"/>
    </row>
    <row r="97">
      <c r="A97" s="18"/>
      <c r="X97" s="86"/>
      <c r="AO97" s="86"/>
      <c r="BN97" s="85"/>
    </row>
    <row r="98">
      <c r="A98" s="18"/>
      <c r="X98" s="86"/>
      <c r="AO98" s="86"/>
      <c r="BN98" s="85"/>
    </row>
    <row r="99">
      <c r="A99" s="18"/>
      <c r="X99" s="86"/>
      <c r="AO99" s="86"/>
      <c r="BN99" s="85"/>
    </row>
    <row r="100">
      <c r="A100" s="18"/>
      <c r="X100" s="86"/>
      <c r="AO100" s="86"/>
      <c r="BN100" s="85"/>
    </row>
    <row r="101">
      <c r="A101" s="18"/>
      <c r="X101" s="86"/>
      <c r="AO101" s="86"/>
      <c r="BN101" s="85"/>
    </row>
    <row r="102">
      <c r="A102" s="18"/>
      <c r="X102" s="86"/>
      <c r="AO102" s="86"/>
      <c r="BN102" s="85"/>
    </row>
    <row r="103">
      <c r="A103" s="18"/>
      <c r="X103" s="86"/>
      <c r="AO103" s="86"/>
      <c r="BN103" s="85"/>
    </row>
    <row r="104">
      <c r="A104" s="18"/>
      <c r="X104" s="86"/>
      <c r="AO104" s="86"/>
      <c r="BN104" s="85"/>
    </row>
    <row r="105">
      <c r="A105" s="18"/>
      <c r="X105" s="86"/>
      <c r="AO105" s="86"/>
      <c r="BN105" s="85"/>
    </row>
    <row r="106">
      <c r="A106" s="18"/>
      <c r="X106" s="86"/>
      <c r="AO106" s="86"/>
      <c r="BN106" s="85"/>
    </row>
    <row r="107">
      <c r="A107" s="18"/>
      <c r="X107" s="86"/>
      <c r="AO107" s="86"/>
      <c r="BN107" s="85"/>
    </row>
    <row r="108">
      <c r="A108" s="18"/>
      <c r="X108" s="86"/>
      <c r="AO108" s="86"/>
      <c r="BN108" s="85"/>
    </row>
    <row r="109">
      <c r="A109" s="18"/>
      <c r="X109" s="86"/>
      <c r="AO109" s="86"/>
      <c r="BN109" s="85"/>
    </row>
    <row r="110">
      <c r="A110" s="18"/>
      <c r="X110" s="86"/>
      <c r="AO110" s="86"/>
      <c r="BN110" s="85"/>
    </row>
    <row r="111">
      <c r="A111" s="18"/>
      <c r="X111" s="86"/>
      <c r="AO111" s="86"/>
      <c r="BN111" s="85"/>
    </row>
    <row r="112">
      <c r="A112" s="18"/>
      <c r="X112" s="86"/>
      <c r="AO112" s="86"/>
      <c r="BN112" s="85"/>
    </row>
    <row r="113">
      <c r="A113" s="18"/>
      <c r="X113" s="86"/>
      <c r="AO113" s="86"/>
      <c r="BN113" s="85"/>
    </row>
    <row r="114">
      <c r="A114" s="18"/>
      <c r="X114" s="86"/>
      <c r="AO114" s="86"/>
      <c r="BN114" s="85"/>
    </row>
    <row r="115">
      <c r="A115" s="18"/>
      <c r="X115" s="86"/>
      <c r="AO115" s="86"/>
      <c r="BN115" s="85"/>
    </row>
    <row r="116">
      <c r="A116" s="18"/>
      <c r="X116" s="86"/>
      <c r="AO116" s="86"/>
      <c r="BN116" s="85"/>
    </row>
    <row r="117">
      <c r="A117" s="18"/>
      <c r="X117" s="86"/>
      <c r="AO117" s="86"/>
      <c r="BN117" s="85"/>
    </row>
    <row r="118">
      <c r="A118" s="18"/>
      <c r="X118" s="86"/>
      <c r="AO118" s="86"/>
      <c r="BN118" s="85"/>
    </row>
    <row r="119">
      <c r="A119" s="18"/>
      <c r="X119" s="86"/>
      <c r="AO119" s="86"/>
      <c r="BN119" s="85"/>
    </row>
    <row r="120">
      <c r="A120" s="18"/>
      <c r="X120" s="86"/>
      <c r="AO120" s="86"/>
      <c r="BN120" s="85"/>
    </row>
    <row r="121">
      <c r="A121" s="18"/>
      <c r="X121" s="86"/>
      <c r="AO121" s="86"/>
      <c r="BN121" s="85"/>
    </row>
    <row r="122">
      <c r="A122" s="18"/>
      <c r="X122" s="86"/>
      <c r="AO122" s="86"/>
      <c r="BN122" s="85"/>
    </row>
    <row r="123">
      <c r="A123" s="18"/>
      <c r="X123" s="86"/>
      <c r="AO123" s="86"/>
      <c r="BN123" s="85"/>
    </row>
    <row r="124">
      <c r="A124" s="18"/>
      <c r="X124" s="86"/>
      <c r="AO124" s="86"/>
      <c r="BN124" s="85"/>
    </row>
    <row r="125">
      <c r="A125" s="18"/>
      <c r="X125" s="86"/>
      <c r="AO125" s="86"/>
      <c r="BN125" s="85"/>
    </row>
    <row r="126">
      <c r="A126" s="18"/>
      <c r="X126" s="86"/>
      <c r="AO126" s="86"/>
      <c r="BN126" s="85"/>
    </row>
    <row r="127">
      <c r="A127" s="18"/>
      <c r="X127" s="86"/>
      <c r="AO127" s="86"/>
      <c r="BN127" s="85"/>
    </row>
    <row r="128">
      <c r="A128" s="18"/>
      <c r="X128" s="86"/>
      <c r="AO128" s="86"/>
      <c r="BN128" s="85"/>
    </row>
    <row r="129">
      <c r="A129" s="18"/>
      <c r="X129" s="86"/>
      <c r="AO129" s="86"/>
      <c r="BN129" s="85"/>
    </row>
    <row r="130">
      <c r="A130" s="18"/>
      <c r="X130" s="86"/>
      <c r="AO130" s="86"/>
      <c r="BN130" s="85"/>
    </row>
    <row r="131">
      <c r="A131" s="18"/>
      <c r="X131" s="86"/>
      <c r="AO131" s="86"/>
      <c r="BN131" s="85"/>
    </row>
    <row r="132">
      <c r="A132" s="18"/>
      <c r="X132" s="86"/>
      <c r="AO132" s="86"/>
      <c r="BN132" s="85"/>
    </row>
    <row r="133">
      <c r="A133" s="18"/>
      <c r="X133" s="86"/>
      <c r="AO133" s="86"/>
      <c r="BN133" s="85"/>
    </row>
    <row r="134">
      <c r="A134" s="18"/>
      <c r="X134" s="86"/>
      <c r="AO134" s="86"/>
      <c r="BN134" s="85"/>
    </row>
    <row r="135">
      <c r="A135" s="18"/>
      <c r="X135" s="86"/>
      <c r="AO135" s="86"/>
      <c r="BN135" s="85"/>
    </row>
    <row r="136">
      <c r="A136" s="18"/>
      <c r="X136" s="86"/>
      <c r="AO136" s="86"/>
      <c r="BN136" s="85"/>
    </row>
    <row r="137">
      <c r="A137" s="18"/>
      <c r="X137" s="86"/>
      <c r="AO137" s="86"/>
      <c r="BN137" s="85"/>
    </row>
    <row r="138">
      <c r="A138" s="18"/>
      <c r="X138" s="86"/>
      <c r="AO138" s="86"/>
      <c r="BN138" s="85"/>
    </row>
    <row r="139">
      <c r="A139" s="18"/>
      <c r="X139" s="86"/>
      <c r="AO139" s="86"/>
      <c r="BN139" s="85"/>
    </row>
    <row r="140">
      <c r="A140" s="18"/>
      <c r="X140" s="86"/>
      <c r="AO140" s="86"/>
      <c r="BN140" s="85"/>
    </row>
    <row r="141">
      <c r="A141" s="18"/>
      <c r="X141" s="86"/>
      <c r="AO141" s="86"/>
      <c r="BN141" s="85"/>
    </row>
    <row r="142">
      <c r="A142" s="18"/>
      <c r="X142" s="86"/>
      <c r="AO142" s="86"/>
      <c r="BN142" s="85"/>
    </row>
    <row r="143">
      <c r="A143" s="18"/>
      <c r="X143" s="86"/>
      <c r="AO143" s="86"/>
      <c r="BN143" s="85"/>
    </row>
    <row r="144">
      <c r="A144" s="18"/>
      <c r="X144" s="86"/>
      <c r="AO144" s="86"/>
      <c r="BN144" s="85"/>
    </row>
    <row r="145">
      <c r="A145" s="18"/>
      <c r="X145" s="86"/>
      <c r="AO145" s="86"/>
      <c r="BN145" s="85"/>
    </row>
    <row r="146">
      <c r="A146" s="18"/>
      <c r="X146" s="86"/>
      <c r="AO146" s="86"/>
      <c r="BN146" s="85"/>
    </row>
    <row r="147">
      <c r="A147" s="18"/>
      <c r="X147" s="86"/>
      <c r="AO147" s="86"/>
      <c r="BN147" s="85"/>
    </row>
    <row r="148">
      <c r="A148" s="18"/>
      <c r="X148" s="86"/>
      <c r="AO148" s="86"/>
      <c r="BN148" s="85"/>
    </row>
    <row r="149">
      <c r="A149" s="18"/>
      <c r="X149" s="86"/>
      <c r="AO149" s="86"/>
      <c r="BN149" s="85"/>
    </row>
    <row r="150">
      <c r="A150" s="18"/>
      <c r="X150" s="86"/>
      <c r="AO150" s="86"/>
      <c r="BN150" s="85"/>
    </row>
    <row r="151">
      <c r="A151" s="18"/>
      <c r="X151" s="86"/>
      <c r="AO151" s="86"/>
      <c r="BN151" s="85"/>
    </row>
    <row r="152">
      <c r="A152" s="18"/>
      <c r="X152" s="86"/>
      <c r="AO152" s="86"/>
      <c r="BN152" s="85"/>
    </row>
    <row r="153">
      <c r="A153" s="18"/>
      <c r="X153" s="86"/>
      <c r="AO153" s="86"/>
      <c r="BN153" s="85"/>
    </row>
    <row r="154">
      <c r="A154" s="18"/>
      <c r="X154" s="86"/>
      <c r="AO154" s="86"/>
      <c r="BN154" s="85"/>
    </row>
    <row r="155">
      <c r="A155" s="18"/>
      <c r="X155" s="86"/>
      <c r="AO155" s="86"/>
      <c r="BN155" s="85"/>
    </row>
    <row r="156">
      <c r="A156" s="18"/>
      <c r="X156" s="86"/>
      <c r="AO156" s="86"/>
      <c r="BN156" s="85"/>
    </row>
    <row r="157">
      <c r="A157" s="18"/>
      <c r="X157" s="86"/>
      <c r="AO157" s="86"/>
      <c r="BN157" s="85"/>
    </row>
    <row r="158">
      <c r="A158" s="18"/>
      <c r="X158" s="86"/>
      <c r="AO158" s="86"/>
      <c r="BN158" s="85"/>
    </row>
    <row r="159">
      <c r="A159" s="18"/>
      <c r="X159" s="86"/>
      <c r="AO159" s="86"/>
      <c r="BN159" s="85"/>
    </row>
    <row r="160">
      <c r="A160" s="18"/>
      <c r="X160" s="86"/>
      <c r="AO160" s="86"/>
      <c r="BN160" s="85"/>
    </row>
    <row r="161">
      <c r="A161" s="18"/>
      <c r="X161" s="86"/>
      <c r="AO161" s="86"/>
      <c r="BN161" s="85"/>
    </row>
    <row r="162">
      <c r="A162" s="18"/>
      <c r="X162" s="86"/>
      <c r="AO162" s="86"/>
      <c r="BN162" s="85"/>
    </row>
    <row r="163">
      <c r="A163" s="18"/>
      <c r="X163" s="86"/>
      <c r="AO163" s="86"/>
      <c r="BN163" s="85"/>
    </row>
    <row r="164">
      <c r="A164" s="18"/>
      <c r="X164" s="86"/>
      <c r="AO164" s="86"/>
      <c r="BN164" s="85"/>
    </row>
    <row r="165">
      <c r="A165" s="18"/>
      <c r="X165" s="86"/>
      <c r="AO165" s="86"/>
      <c r="BN165" s="85"/>
    </row>
    <row r="166">
      <c r="A166" s="18"/>
      <c r="X166" s="86"/>
      <c r="AO166" s="86"/>
      <c r="BN166" s="85"/>
    </row>
    <row r="167">
      <c r="A167" s="18"/>
      <c r="X167" s="86"/>
      <c r="AO167" s="86"/>
      <c r="BN167" s="85"/>
    </row>
    <row r="168">
      <c r="A168" s="18"/>
      <c r="X168" s="86"/>
      <c r="AO168" s="86"/>
      <c r="BN168" s="85"/>
    </row>
    <row r="169">
      <c r="A169" s="18"/>
      <c r="X169" s="86"/>
      <c r="AO169" s="86"/>
      <c r="BN169" s="85"/>
    </row>
    <row r="170">
      <c r="A170" s="18"/>
      <c r="X170" s="86"/>
      <c r="AO170" s="86"/>
      <c r="BN170" s="85"/>
    </row>
    <row r="171">
      <c r="A171" s="18"/>
      <c r="X171" s="86"/>
      <c r="AO171" s="86"/>
      <c r="BN171" s="85"/>
    </row>
    <row r="172">
      <c r="A172" s="18"/>
      <c r="X172" s="86"/>
      <c r="AO172" s="86"/>
      <c r="BN172" s="85"/>
    </row>
    <row r="173">
      <c r="A173" s="18"/>
      <c r="X173" s="86"/>
      <c r="AO173" s="86"/>
      <c r="BN173" s="85"/>
    </row>
    <row r="174">
      <c r="A174" s="18"/>
      <c r="X174" s="86"/>
      <c r="AO174" s="86"/>
      <c r="BN174" s="85"/>
    </row>
    <row r="175">
      <c r="A175" s="18"/>
      <c r="X175" s="86"/>
      <c r="AO175" s="86"/>
      <c r="BN175" s="85"/>
    </row>
    <row r="176">
      <c r="A176" s="18"/>
      <c r="X176" s="86"/>
      <c r="AO176" s="86"/>
      <c r="BN176" s="85"/>
    </row>
    <row r="177">
      <c r="A177" s="18"/>
      <c r="X177" s="86"/>
      <c r="AO177" s="86"/>
      <c r="BN177" s="85"/>
    </row>
    <row r="178">
      <c r="A178" s="18"/>
      <c r="X178" s="86"/>
      <c r="AO178" s="86"/>
      <c r="BN178" s="85"/>
    </row>
    <row r="179">
      <c r="A179" s="18"/>
      <c r="X179" s="86"/>
      <c r="AO179" s="86"/>
      <c r="BN179" s="85"/>
    </row>
    <row r="180">
      <c r="A180" s="18"/>
      <c r="X180" s="86"/>
      <c r="AO180" s="86"/>
      <c r="BN180" s="85"/>
    </row>
    <row r="181">
      <c r="A181" s="18"/>
      <c r="X181" s="86"/>
      <c r="AO181" s="86"/>
      <c r="BN181" s="85"/>
    </row>
    <row r="182">
      <c r="A182" s="18"/>
      <c r="X182" s="86"/>
      <c r="AO182" s="86"/>
      <c r="BN182" s="85"/>
    </row>
    <row r="183">
      <c r="A183" s="18"/>
      <c r="X183" s="86"/>
      <c r="AO183" s="86"/>
      <c r="BN183" s="85"/>
    </row>
    <row r="184">
      <c r="A184" s="18"/>
      <c r="X184" s="86"/>
      <c r="AO184" s="86"/>
      <c r="BN184" s="85"/>
    </row>
    <row r="185">
      <c r="A185" s="18"/>
      <c r="X185" s="86"/>
      <c r="AO185" s="86"/>
      <c r="BN185" s="85"/>
    </row>
    <row r="186">
      <c r="A186" s="18"/>
      <c r="X186" s="86"/>
      <c r="AO186" s="86"/>
      <c r="BN186" s="85"/>
    </row>
    <row r="187">
      <c r="A187" s="18"/>
      <c r="X187" s="86"/>
      <c r="AO187" s="86"/>
      <c r="BN187" s="85"/>
    </row>
    <row r="188">
      <c r="A188" s="18"/>
      <c r="X188" s="86"/>
      <c r="AO188" s="86"/>
      <c r="BN188" s="85"/>
    </row>
    <row r="189">
      <c r="A189" s="18"/>
      <c r="X189" s="86"/>
      <c r="AO189" s="86"/>
      <c r="BN189" s="85"/>
    </row>
    <row r="190">
      <c r="A190" s="18"/>
      <c r="X190" s="86"/>
      <c r="AO190" s="86"/>
      <c r="BN190" s="85"/>
    </row>
    <row r="191">
      <c r="A191" s="18"/>
      <c r="X191" s="86"/>
      <c r="AO191" s="86"/>
      <c r="BN191" s="85"/>
    </row>
    <row r="192">
      <c r="A192" s="18"/>
      <c r="X192" s="86"/>
      <c r="AO192" s="86"/>
      <c r="BN192" s="85"/>
    </row>
    <row r="193">
      <c r="A193" s="18"/>
      <c r="X193" s="86"/>
      <c r="AO193" s="86"/>
      <c r="BN193" s="85"/>
    </row>
    <row r="194">
      <c r="A194" s="18"/>
      <c r="X194" s="86"/>
      <c r="AO194" s="86"/>
      <c r="BN194" s="85"/>
    </row>
    <row r="195">
      <c r="A195" s="18"/>
      <c r="X195" s="86"/>
      <c r="AO195" s="86"/>
      <c r="BN195" s="85"/>
    </row>
    <row r="196">
      <c r="A196" s="18"/>
      <c r="X196" s="86"/>
      <c r="AO196" s="86"/>
      <c r="BN196" s="85"/>
    </row>
    <row r="197">
      <c r="A197" s="18"/>
      <c r="X197" s="86"/>
      <c r="AO197" s="86"/>
      <c r="BN197" s="85"/>
    </row>
    <row r="198">
      <c r="A198" s="18"/>
      <c r="X198" s="86"/>
      <c r="AO198" s="86"/>
      <c r="BN198" s="85"/>
    </row>
    <row r="199">
      <c r="A199" s="18"/>
      <c r="X199" s="86"/>
      <c r="AO199" s="86"/>
      <c r="BN199" s="85"/>
    </row>
    <row r="200">
      <c r="A200" s="18"/>
      <c r="X200" s="86"/>
      <c r="AO200" s="86"/>
      <c r="BN200" s="85"/>
    </row>
    <row r="201">
      <c r="A201" s="18"/>
      <c r="X201" s="86"/>
      <c r="AO201" s="86"/>
      <c r="BN201" s="85"/>
    </row>
    <row r="202">
      <c r="A202" s="18"/>
      <c r="X202" s="86"/>
      <c r="AO202" s="86"/>
      <c r="BN202" s="85"/>
    </row>
    <row r="203">
      <c r="A203" s="18"/>
      <c r="X203" s="86"/>
      <c r="AO203" s="86"/>
      <c r="BN203" s="85"/>
    </row>
    <row r="204">
      <c r="A204" s="18"/>
      <c r="X204" s="86"/>
      <c r="AO204" s="86"/>
      <c r="BN204" s="85"/>
    </row>
    <row r="205">
      <c r="A205" s="18"/>
      <c r="X205" s="86"/>
      <c r="AO205" s="86"/>
      <c r="BN205" s="85"/>
    </row>
    <row r="206">
      <c r="A206" s="18"/>
      <c r="X206" s="86"/>
      <c r="AO206" s="86"/>
      <c r="BN206" s="85"/>
    </row>
    <row r="207">
      <c r="A207" s="18"/>
      <c r="X207" s="86"/>
      <c r="AO207" s="86"/>
      <c r="BN207" s="85"/>
    </row>
    <row r="208">
      <c r="A208" s="18"/>
      <c r="X208" s="86"/>
      <c r="AO208" s="86"/>
      <c r="BN208" s="85"/>
    </row>
    <row r="209">
      <c r="A209" s="18"/>
      <c r="X209" s="86"/>
      <c r="AO209" s="86"/>
      <c r="BN209" s="85"/>
    </row>
    <row r="210">
      <c r="A210" s="18"/>
      <c r="X210" s="86"/>
      <c r="AO210" s="86"/>
      <c r="BN210" s="85"/>
    </row>
    <row r="211">
      <c r="A211" s="18"/>
      <c r="X211" s="86"/>
      <c r="AO211" s="86"/>
      <c r="BN211" s="85"/>
    </row>
    <row r="212">
      <c r="A212" s="18"/>
      <c r="X212" s="86"/>
      <c r="AO212" s="86"/>
      <c r="BN212" s="85"/>
    </row>
    <row r="213">
      <c r="A213" s="18"/>
      <c r="X213" s="86"/>
      <c r="AO213" s="86"/>
      <c r="BN213" s="85"/>
    </row>
    <row r="214">
      <c r="A214" s="18"/>
      <c r="X214" s="86"/>
      <c r="AO214" s="86"/>
      <c r="BN214" s="85"/>
    </row>
    <row r="215">
      <c r="A215" s="18"/>
      <c r="X215" s="86"/>
      <c r="AO215" s="86"/>
      <c r="BN215" s="85"/>
    </row>
    <row r="216">
      <c r="A216" s="18"/>
      <c r="X216" s="86"/>
      <c r="AO216" s="86"/>
      <c r="BN216" s="85"/>
    </row>
    <row r="217">
      <c r="A217" s="18"/>
      <c r="X217" s="86"/>
      <c r="AO217" s="86"/>
      <c r="BN217" s="85"/>
    </row>
    <row r="218">
      <c r="A218" s="18"/>
      <c r="X218" s="86"/>
      <c r="AO218" s="86"/>
      <c r="BN218" s="85"/>
    </row>
    <row r="219">
      <c r="A219" s="18"/>
      <c r="X219" s="86"/>
      <c r="AO219" s="86"/>
      <c r="BN219" s="85"/>
    </row>
    <row r="220">
      <c r="A220" s="18"/>
      <c r="X220" s="86"/>
      <c r="AO220" s="86"/>
      <c r="BN220" s="85"/>
    </row>
    <row r="221">
      <c r="A221" s="18"/>
      <c r="X221" s="86"/>
      <c r="AO221" s="86"/>
      <c r="BN221" s="85"/>
    </row>
    <row r="222">
      <c r="A222" s="18"/>
      <c r="X222" s="86"/>
      <c r="AO222" s="86"/>
      <c r="BN222" s="85"/>
    </row>
    <row r="223">
      <c r="A223" s="18"/>
      <c r="X223" s="86"/>
      <c r="AO223" s="86"/>
      <c r="BN223" s="85"/>
    </row>
    <row r="224">
      <c r="A224" s="18"/>
      <c r="X224" s="86"/>
      <c r="AO224" s="86"/>
      <c r="BN224" s="85"/>
    </row>
    <row r="225">
      <c r="A225" s="18"/>
      <c r="X225" s="86"/>
      <c r="AO225" s="86"/>
      <c r="BN225" s="85"/>
    </row>
    <row r="226">
      <c r="A226" s="18"/>
      <c r="X226" s="86"/>
      <c r="AO226" s="86"/>
      <c r="BN226" s="85"/>
    </row>
    <row r="227">
      <c r="A227" s="18"/>
      <c r="X227" s="86"/>
      <c r="AO227" s="86"/>
      <c r="BN227" s="85"/>
    </row>
    <row r="228">
      <c r="A228" s="18"/>
      <c r="X228" s="86"/>
      <c r="AO228" s="86"/>
      <c r="BN228" s="85"/>
    </row>
    <row r="229">
      <c r="A229" s="18"/>
      <c r="X229" s="86"/>
      <c r="AO229" s="86"/>
      <c r="BN229" s="85"/>
    </row>
    <row r="230">
      <c r="A230" s="18"/>
      <c r="X230" s="86"/>
      <c r="AO230" s="86"/>
      <c r="BN230" s="85"/>
    </row>
    <row r="231">
      <c r="A231" s="18"/>
      <c r="X231" s="86"/>
      <c r="AO231" s="86"/>
      <c r="BN231" s="85"/>
    </row>
    <row r="232">
      <c r="A232" s="18"/>
      <c r="X232" s="86"/>
      <c r="AO232" s="86"/>
      <c r="BN232" s="85"/>
    </row>
    <row r="233">
      <c r="A233" s="18"/>
      <c r="X233" s="86"/>
      <c r="AO233" s="86"/>
      <c r="BN233" s="85"/>
    </row>
    <row r="234">
      <c r="A234" s="18"/>
      <c r="X234" s="86"/>
      <c r="AO234" s="86"/>
      <c r="BN234" s="85"/>
    </row>
    <row r="235">
      <c r="A235" s="18"/>
      <c r="X235" s="86"/>
      <c r="AO235" s="86"/>
      <c r="BN235" s="85"/>
    </row>
    <row r="236">
      <c r="A236" s="18"/>
      <c r="X236" s="86"/>
      <c r="AO236" s="86"/>
      <c r="BN236" s="85"/>
    </row>
    <row r="237">
      <c r="A237" s="18"/>
      <c r="X237" s="86"/>
      <c r="AO237" s="86"/>
      <c r="BN237" s="85"/>
    </row>
    <row r="238">
      <c r="A238" s="18"/>
      <c r="X238" s="86"/>
      <c r="AO238" s="86"/>
      <c r="BN238" s="85"/>
    </row>
    <row r="239">
      <c r="A239" s="18"/>
      <c r="X239" s="86"/>
      <c r="AO239" s="86"/>
      <c r="BN239" s="85"/>
    </row>
    <row r="240">
      <c r="A240" s="18"/>
      <c r="X240" s="86"/>
      <c r="AO240" s="86"/>
      <c r="BN240" s="85"/>
    </row>
    <row r="241">
      <c r="A241" s="18"/>
      <c r="X241" s="86"/>
      <c r="AO241" s="86"/>
      <c r="BN241" s="85"/>
    </row>
    <row r="242">
      <c r="A242" s="18"/>
      <c r="X242" s="86"/>
      <c r="AO242" s="86"/>
      <c r="BN242" s="85"/>
    </row>
    <row r="243">
      <c r="A243" s="18"/>
      <c r="X243" s="86"/>
      <c r="AO243" s="86"/>
      <c r="BN243" s="85"/>
    </row>
    <row r="244">
      <c r="A244" s="18"/>
      <c r="X244" s="86"/>
      <c r="AO244" s="86"/>
      <c r="BN244" s="85"/>
    </row>
    <row r="245">
      <c r="A245" s="18"/>
      <c r="X245" s="86"/>
      <c r="AO245" s="86"/>
      <c r="BN245" s="85"/>
    </row>
    <row r="246">
      <c r="A246" s="18"/>
      <c r="X246" s="86"/>
      <c r="AO246" s="86"/>
      <c r="BN246" s="85"/>
    </row>
    <row r="247">
      <c r="A247" s="18"/>
      <c r="X247" s="86"/>
      <c r="AO247" s="86"/>
      <c r="BN247" s="85"/>
    </row>
    <row r="248">
      <c r="A248" s="18"/>
      <c r="X248" s="86"/>
      <c r="AO248" s="86"/>
      <c r="BN248" s="85"/>
    </row>
    <row r="249">
      <c r="A249" s="18"/>
      <c r="X249" s="86"/>
      <c r="AO249" s="86"/>
      <c r="BN249" s="85"/>
    </row>
    <row r="250">
      <c r="A250" s="18"/>
      <c r="X250" s="86"/>
      <c r="AO250" s="86"/>
      <c r="BN250" s="85"/>
    </row>
    <row r="251">
      <c r="A251" s="18"/>
      <c r="X251" s="86"/>
      <c r="AO251" s="86"/>
      <c r="BN251" s="85"/>
    </row>
    <row r="252">
      <c r="A252" s="18"/>
      <c r="X252" s="86"/>
      <c r="AO252" s="86"/>
      <c r="BN252" s="85"/>
    </row>
    <row r="253">
      <c r="A253" s="18"/>
      <c r="X253" s="86"/>
      <c r="AO253" s="86"/>
      <c r="BN253" s="85"/>
    </row>
    <row r="254">
      <c r="A254" s="18"/>
      <c r="X254" s="86"/>
      <c r="AO254" s="86"/>
      <c r="BN254" s="85"/>
    </row>
    <row r="255">
      <c r="A255" s="18"/>
      <c r="X255" s="86"/>
      <c r="AO255" s="86"/>
      <c r="BN255" s="85"/>
    </row>
    <row r="256">
      <c r="A256" s="18"/>
      <c r="X256" s="86"/>
      <c r="AO256" s="86"/>
      <c r="BN256" s="85"/>
    </row>
    <row r="257">
      <c r="A257" s="18"/>
      <c r="X257" s="86"/>
      <c r="AO257" s="86"/>
      <c r="BN257" s="85"/>
    </row>
    <row r="258">
      <c r="A258" s="18"/>
      <c r="X258" s="86"/>
      <c r="AO258" s="86"/>
      <c r="BN258" s="85"/>
    </row>
    <row r="259">
      <c r="A259" s="18"/>
      <c r="X259" s="86"/>
      <c r="AO259" s="86"/>
      <c r="BN259" s="85"/>
    </row>
    <row r="260">
      <c r="A260" s="18"/>
      <c r="X260" s="86"/>
      <c r="AO260" s="86"/>
      <c r="BN260" s="85"/>
    </row>
    <row r="261">
      <c r="A261" s="18"/>
      <c r="X261" s="86"/>
      <c r="AO261" s="86"/>
      <c r="BN261" s="85"/>
    </row>
    <row r="262">
      <c r="A262" s="18"/>
      <c r="X262" s="86"/>
      <c r="AO262" s="86"/>
      <c r="BN262" s="85"/>
    </row>
    <row r="263">
      <c r="A263" s="18"/>
      <c r="X263" s="86"/>
      <c r="AO263" s="86"/>
      <c r="BN263" s="85"/>
    </row>
    <row r="264">
      <c r="A264" s="18"/>
      <c r="X264" s="86"/>
      <c r="AO264" s="86"/>
      <c r="BN264" s="85"/>
    </row>
    <row r="265">
      <c r="A265" s="18"/>
      <c r="X265" s="86"/>
      <c r="AO265" s="86"/>
      <c r="BN265" s="85"/>
    </row>
    <row r="266">
      <c r="A266" s="18"/>
      <c r="X266" s="86"/>
      <c r="AO266" s="86"/>
      <c r="BN266" s="85"/>
    </row>
    <row r="267">
      <c r="A267" s="18"/>
      <c r="X267" s="86"/>
      <c r="AO267" s="86"/>
      <c r="BN267" s="85"/>
    </row>
    <row r="268">
      <c r="A268" s="18"/>
      <c r="X268" s="86"/>
      <c r="AO268" s="86"/>
      <c r="BN268" s="85"/>
    </row>
    <row r="269">
      <c r="A269" s="18"/>
      <c r="X269" s="86"/>
      <c r="AO269" s="86"/>
      <c r="BN269" s="85"/>
    </row>
    <row r="270">
      <c r="A270" s="18"/>
      <c r="X270" s="86"/>
      <c r="AO270" s="86"/>
      <c r="BN270" s="85"/>
    </row>
    <row r="271">
      <c r="A271" s="18"/>
      <c r="X271" s="86"/>
      <c r="AO271" s="86"/>
      <c r="BN271" s="85"/>
    </row>
    <row r="272">
      <c r="A272" s="18"/>
      <c r="X272" s="86"/>
      <c r="AO272" s="86"/>
      <c r="BN272" s="85"/>
    </row>
    <row r="273">
      <c r="A273" s="18"/>
      <c r="X273" s="86"/>
      <c r="AO273" s="86"/>
      <c r="BN273" s="85"/>
    </row>
    <row r="274">
      <c r="A274" s="18"/>
      <c r="X274" s="86"/>
      <c r="AO274" s="86"/>
      <c r="BN274" s="85"/>
    </row>
    <row r="275">
      <c r="A275" s="18"/>
      <c r="X275" s="86"/>
      <c r="AO275" s="86"/>
      <c r="BN275" s="85"/>
    </row>
    <row r="276">
      <c r="A276" s="18"/>
      <c r="X276" s="86"/>
      <c r="AO276" s="86"/>
      <c r="BN276" s="85"/>
    </row>
    <row r="277">
      <c r="A277" s="18"/>
      <c r="X277" s="86"/>
      <c r="AO277" s="86"/>
      <c r="BN277" s="85"/>
    </row>
    <row r="278">
      <c r="A278" s="18"/>
      <c r="X278" s="86"/>
      <c r="AO278" s="86"/>
      <c r="BN278" s="85"/>
    </row>
    <row r="279">
      <c r="A279" s="18"/>
      <c r="X279" s="86"/>
      <c r="AO279" s="86"/>
      <c r="BN279" s="85"/>
    </row>
    <row r="280">
      <c r="A280" s="18"/>
      <c r="X280" s="86"/>
      <c r="AO280" s="86"/>
      <c r="BN280" s="85"/>
    </row>
    <row r="281">
      <c r="A281" s="18"/>
      <c r="X281" s="86"/>
      <c r="AO281" s="86"/>
      <c r="BN281" s="85"/>
    </row>
    <row r="282">
      <c r="A282" s="18"/>
      <c r="X282" s="86"/>
      <c r="AO282" s="86"/>
      <c r="BN282" s="85"/>
    </row>
    <row r="283">
      <c r="A283" s="18"/>
      <c r="X283" s="86"/>
      <c r="AO283" s="86"/>
      <c r="BN283" s="85"/>
    </row>
    <row r="284">
      <c r="A284" s="18"/>
      <c r="X284" s="86"/>
      <c r="AO284" s="86"/>
      <c r="BN284" s="85"/>
    </row>
    <row r="285">
      <c r="A285" s="18"/>
      <c r="X285" s="86"/>
      <c r="AO285" s="86"/>
      <c r="BN285" s="85"/>
    </row>
    <row r="286">
      <c r="A286" s="18"/>
      <c r="X286" s="86"/>
      <c r="AO286" s="86"/>
      <c r="BN286" s="85"/>
    </row>
    <row r="287">
      <c r="A287" s="18"/>
      <c r="X287" s="86"/>
      <c r="AO287" s="86"/>
      <c r="BN287" s="85"/>
    </row>
    <row r="288">
      <c r="A288" s="18"/>
      <c r="X288" s="86"/>
      <c r="AO288" s="86"/>
      <c r="BN288" s="85"/>
    </row>
    <row r="289">
      <c r="A289" s="18"/>
      <c r="X289" s="86"/>
      <c r="AO289" s="86"/>
      <c r="BN289" s="85"/>
    </row>
    <row r="290">
      <c r="A290" s="18"/>
      <c r="X290" s="86"/>
      <c r="AO290" s="86"/>
      <c r="BN290" s="85"/>
    </row>
    <row r="291">
      <c r="A291" s="18"/>
      <c r="X291" s="86"/>
      <c r="AO291" s="86"/>
      <c r="BN291" s="85"/>
    </row>
    <row r="292">
      <c r="A292" s="18"/>
      <c r="X292" s="86"/>
      <c r="AO292" s="86"/>
      <c r="BN292" s="85"/>
    </row>
    <row r="293">
      <c r="A293" s="18"/>
      <c r="X293" s="86"/>
      <c r="AO293" s="86"/>
      <c r="BN293" s="85"/>
    </row>
    <row r="294">
      <c r="A294" s="18"/>
      <c r="X294" s="86"/>
      <c r="AO294" s="86"/>
      <c r="BN294" s="85"/>
    </row>
    <row r="295">
      <c r="A295" s="18"/>
      <c r="X295" s="86"/>
      <c r="AO295" s="86"/>
      <c r="BN295" s="85"/>
    </row>
    <row r="296">
      <c r="A296" s="18"/>
      <c r="X296" s="86"/>
      <c r="AO296" s="86"/>
      <c r="BN296" s="85"/>
    </row>
    <row r="297">
      <c r="A297" s="18"/>
      <c r="X297" s="86"/>
      <c r="AO297" s="86"/>
      <c r="BN297" s="85"/>
    </row>
    <row r="298">
      <c r="A298" s="18"/>
      <c r="X298" s="86"/>
      <c r="AO298" s="86"/>
      <c r="BN298" s="85"/>
    </row>
    <row r="299">
      <c r="A299" s="18"/>
      <c r="X299" s="86"/>
      <c r="AO299" s="86"/>
      <c r="BN299" s="85"/>
    </row>
    <row r="300">
      <c r="A300" s="18"/>
      <c r="X300" s="86"/>
      <c r="AO300" s="86"/>
      <c r="BN300" s="85"/>
    </row>
    <row r="301">
      <c r="A301" s="18"/>
      <c r="X301" s="86"/>
      <c r="AO301" s="86"/>
      <c r="BN301" s="85"/>
    </row>
    <row r="302">
      <c r="A302" s="18"/>
      <c r="X302" s="86"/>
      <c r="AO302" s="86"/>
      <c r="BN302" s="85"/>
    </row>
    <row r="303">
      <c r="A303" s="18"/>
      <c r="X303" s="86"/>
      <c r="AO303" s="86"/>
      <c r="BN303" s="85"/>
    </row>
    <row r="304">
      <c r="A304" s="18"/>
      <c r="X304" s="86"/>
      <c r="AO304" s="86"/>
      <c r="BN304" s="85"/>
    </row>
    <row r="305">
      <c r="A305" s="18"/>
      <c r="X305" s="86"/>
      <c r="AO305" s="86"/>
      <c r="BN305" s="85"/>
    </row>
    <row r="306">
      <c r="A306" s="18"/>
      <c r="X306" s="86"/>
      <c r="AO306" s="86"/>
      <c r="BN306" s="85"/>
    </row>
    <row r="307">
      <c r="A307" s="18"/>
      <c r="X307" s="86"/>
      <c r="AO307" s="86"/>
      <c r="BN307" s="85"/>
    </row>
    <row r="308">
      <c r="A308" s="18"/>
      <c r="X308" s="86"/>
      <c r="AO308" s="86"/>
      <c r="BN308" s="85"/>
    </row>
    <row r="309">
      <c r="A309" s="18"/>
      <c r="X309" s="86"/>
      <c r="AO309" s="86"/>
      <c r="BN309" s="85"/>
    </row>
    <row r="310">
      <c r="A310" s="18"/>
      <c r="X310" s="86"/>
      <c r="AO310" s="86"/>
      <c r="BN310" s="85"/>
    </row>
    <row r="311">
      <c r="A311" s="18"/>
      <c r="X311" s="86"/>
      <c r="AO311" s="86"/>
      <c r="BN311" s="85"/>
    </row>
    <row r="312">
      <c r="A312" s="18"/>
      <c r="X312" s="86"/>
      <c r="AO312" s="86"/>
      <c r="BN312" s="85"/>
    </row>
    <row r="313">
      <c r="A313" s="18"/>
      <c r="X313" s="86"/>
      <c r="AO313" s="86"/>
      <c r="BN313" s="85"/>
    </row>
    <row r="314">
      <c r="A314" s="18"/>
      <c r="X314" s="86"/>
      <c r="AO314" s="86"/>
      <c r="BN314" s="85"/>
    </row>
    <row r="315">
      <c r="A315" s="18"/>
      <c r="X315" s="86"/>
      <c r="AO315" s="86"/>
      <c r="BN315" s="85"/>
    </row>
    <row r="316">
      <c r="A316" s="18"/>
      <c r="X316" s="86"/>
      <c r="AO316" s="86"/>
      <c r="BN316" s="85"/>
    </row>
    <row r="317">
      <c r="A317" s="18"/>
      <c r="X317" s="86"/>
      <c r="AO317" s="86"/>
      <c r="BN317" s="85"/>
    </row>
    <row r="318">
      <c r="A318" s="18"/>
      <c r="X318" s="86"/>
      <c r="AO318" s="86"/>
      <c r="BN318" s="85"/>
    </row>
    <row r="319">
      <c r="A319" s="18"/>
      <c r="X319" s="86"/>
      <c r="AO319" s="86"/>
      <c r="BN319" s="85"/>
    </row>
    <row r="320">
      <c r="A320" s="18"/>
      <c r="X320" s="86"/>
      <c r="AO320" s="86"/>
      <c r="BN320" s="85"/>
    </row>
    <row r="321">
      <c r="A321" s="18"/>
      <c r="X321" s="86"/>
      <c r="AO321" s="86"/>
      <c r="BN321" s="85"/>
    </row>
    <row r="322">
      <c r="A322" s="18"/>
      <c r="X322" s="86"/>
      <c r="AO322" s="86"/>
      <c r="BN322" s="85"/>
    </row>
    <row r="323">
      <c r="A323" s="18"/>
      <c r="X323" s="86"/>
      <c r="AO323" s="86"/>
      <c r="BN323" s="85"/>
    </row>
    <row r="324">
      <c r="A324" s="18"/>
      <c r="X324" s="86"/>
      <c r="AO324" s="86"/>
      <c r="BN324" s="85"/>
    </row>
    <row r="325">
      <c r="A325" s="18"/>
      <c r="X325" s="86"/>
      <c r="AO325" s="86"/>
      <c r="BN325" s="85"/>
    </row>
    <row r="326">
      <c r="A326" s="18"/>
      <c r="X326" s="86"/>
      <c r="AO326" s="86"/>
      <c r="BN326" s="85"/>
    </row>
    <row r="327">
      <c r="A327" s="18"/>
      <c r="X327" s="86"/>
      <c r="AO327" s="86"/>
      <c r="BN327" s="85"/>
    </row>
    <row r="328">
      <c r="A328" s="18"/>
      <c r="X328" s="86"/>
      <c r="AO328" s="86"/>
      <c r="BN328" s="85"/>
    </row>
    <row r="329">
      <c r="A329" s="18"/>
      <c r="X329" s="86"/>
      <c r="AO329" s="86"/>
      <c r="BN329" s="85"/>
    </row>
    <row r="330">
      <c r="A330" s="18"/>
      <c r="X330" s="86"/>
      <c r="AO330" s="86"/>
      <c r="BN330" s="85"/>
    </row>
    <row r="331">
      <c r="A331" s="18"/>
      <c r="X331" s="86"/>
      <c r="AO331" s="86"/>
      <c r="BN331" s="85"/>
    </row>
    <row r="332">
      <c r="A332" s="18"/>
      <c r="X332" s="86"/>
      <c r="AO332" s="86"/>
      <c r="BN332" s="85"/>
    </row>
    <row r="333">
      <c r="A333" s="18"/>
      <c r="X333" s="86"/>
      <c r="AO333" s="86"/>
      <c r="BN333" s="85"/>
    </row>
    <row r="334">
      <c r="A334" s="18"/>
      <c r="X334" s="86"/>
      <c r="AO334" s="86"/>
      <c r="BN334" s="85"/>
    </row>
    <row r="335">
      <c r="A335" s="18"/>
      <c r="X335" s="86"/>
      <c r="AO335" s="86"/>
      <c r="BN335" s="85"/>
    </row>
    <row r="336">
      <c r="A336" s="18"/>
      <c r="X336" s="86"/>
      <c r="AO336" s="86"/>
      <c r="BN336" s="85"/>
    </row>
    <row r="337">
      <c r="A337" s="18"/>
      <c r="X337" s="86"/>
      <c r="AO337" s="86"/>
      <c r="BN337" s="85"/>
    </row>
    <row r="338">
      <c r="A338" s="18"/>
      <c r="X338" s="86"/>
      <c r="AO338" s="86"/>
      <c r="BN338" s="85"/>
    </row>
    <row r="339">
      <c r="A339" s="18"/>
      <c r="X339" s="86"/>
      <c r="AO339" s="86"/>
      <c r="BN339" s="85"/>
    </row>
    <row r="340">
      <c r="A340" s="18"/>
      <c r="X340" s="86"/>
      <c r="AO340" s="86"/>
      <c r="BN340" s="85"/>
    </row>
    <row r="341">
      <c r="A341" s="18"/>
      <c r="X341" s="86"/>
      <c r="AO341" s="86"/>
      <c r="BN341" s="85"/>
    </row>
    <row r="342">
      <c r="A342" s="18"/>
      <c r="X342" s="86"/>
      <c r="AO342" s="86"/>
      <c r="BN342" s="85"/>
    </row>
    <row r="343">
      <c r="A343" s="18"/>
      <c r="X343" s="86"/>
      <c r="AO343" s="86"/>
      <c r="BN343" s="85"/>
    </row>
    <row r="344">
      <c r="A344" s="18"/>
      <c r="X344" s="86"/>
      <c r="AO344" s="86"/>
      <c r="BN344" s="85"/>
    </row>
    <row r="345">
      <c r="A345" s="18"/>
      <c r="X345" s="86"/>
      <c r="AO345" s="86"/>
      <c r="BN345" s="85"/>
    </row>
    <row r="346">
      <c r="A346" s="18"/>
      <c r="X346" s="86"/>
      <c r="AO346" s="86"/>
      <c r="BN346" s="85"/>
    </row>
    <row r="347">
      <c r="A347" s="18"/>
      <c r="X347" s="86"/>
      <c r="AO347" s="86"/>
      <c r="BN347" s="85"/>
    </row>
    <row r="348">
      <c r="A348" s="18"/>
      <c r="X348" s="86"/>
      <c r="AO348" s="86"/>
      <c r="BN348" s="85"/>
    </row>
    <row r="349">
      <c r="A349" s="18"/>
      <c r="X349" s="86"/>
      <c r="AO349" s="86"/>
      <c r="BN349" s="85"/>
    </row>
    <row r="350">
      <c r="A350" s="18"/>
      <c r="X350" s="86"/>
      <c r="AO350" s="86"/>
      <c r="BN350" s="85"/>
    </row>
    <row r="351">
      <c r="A351" s="18"/>
      <c r="X351" s="86"/>
      <c r="AO351" s="86"/>
      <c r="BN351" s="85"/>
    </row>
    <row r="352">
      <c r="A352" s="18"/>
      <c r="X352" s="86"/>
      <c r="AO352" s="86"/>
      <c r="BN352" s="85"/>
    </row>
    <row r="353">
      <c r="A353" s="18"/>
      <c r="X353" s="86"/>
      <c r="AO353" s="86"/>
      <c r="BN353" s="85"/>
    </row>
    <row r="354">
      <c r="A354" s="18"/>
      <c r="X354" s="86"/>
      <c r="AO354" s="86"/>
      <c r="BN354" s="85"/>
    </row>
    <row r="355">
      <c r="A355" s="18"/>
      <c r="X355" s="86"/>
      <c r="AO355" s="86"/>
      <c r="BN355" s="85"/>
    </row>
    <row r="356">
      <c r="A356" s="18"/>
      <c r="X356" s="86"/>
      <c r="AO356" s="86"/>
      <c r="BN356" s="85"/>
    </row>
    <row r="357">
      <c r="A357" s="18"/>
      <c r="X357" s="86"/>
      <c r="AO357" s="86"/>
      <c r="BN357" s="85"/>
    </row>
    <row r="358">
      <c r="A358" s="18"/>
      <c r="X358" s="86"/>
      <c r="AO358" s="86"/>
      <c r="BN358" s="85"/>
    </row>
    <row r="359">
      <c r="A359" s="18"/>
      <c r="X359" s="86"/>
      <c r="AO359" s="86"/>
      <c r="BN359" s="85"/>
    </row>
    <row r="360">
      <c r="A360" s="18"/>
      <c r="X360" s="86"/>
      <c r="AO360" s="86"/>
      <c r="BN360" s="85"/>
    </row>
    <row r="361">
      <c r="A361" s="18"/>
      <c r="X361" s="86"/>
      <c r="AO361" s="86"/>
      <c r="BN361" s="85"/>
    </row>
    <row r="362">
      <c r="A362" s="18"/>
      <c r="X362" s="86"/>
      <c r="AO362" s="86"/>
      <c r="BN362" s="85"/>
    </row>
    <row r="363">
      <c r="A363" s="18"/>
      <c r="X363" s="86"/>
      <c r="AO363" s="86"/>
      <c r="BN363" s="85"/>
    </row>
    <row r="364">
      <c r="A364" s="18"/>
      <c r="X364" s="86"/>
      <c r="AO364" s="86"/>
      <c r="BN364" s="85"/>
    </row>
    <row r="365">
      <c r="A365" s="18"/>
      <c r="X365" s="86"/>
      <c r="AO365" s="86"/>
      <c r="BN365" s="85"/>
    </row>
    <row r="366">
      <c r="A366" s="18"/>
      <c r="X366" s="86"/>
      <c r="AO366" s="86"/>
      <c r="BN366" s="85"/>
    </row>
    <row r="367">
      <c r="A367" s="18"/>
      <c r="X367" s="86"/>
      <c r="AO367" s="86"/>
      <c r="BN367" s="85"/>
    </row>
    <row r="368">
      <c r="A368" s="18"/>
      <c r="X368" s="86"/>
      <c r="AO368" s="86"/>
      <c r="BN368" s="85"/>
    </row>
    <row r="369">
      <c r="A369" s="18"/>
      <c r="X369" s="86"/>
      <c r="AO369" s="86"/>
      <c r="BN369" s="85"/>
    </row>
    <row r="370">
      <c r="A370" s="18"/>
      <c r="X370" s="86"/>
      <c r="AO370" s="86"/>
      <c r="BN370" s="85"/>
    </row>
    <row r="371">
      <c r="A371" s="18"/>
      <c r="X371" s="86"/>
      <c r="AO371" s="86"/>
      <c r="BN371" s="85"/>
    </row>
    <row r="372">
      <c r="A372" s="18"/>
      <c r="X372" s="86"/>
      <c r="AO372" s="86"/>
      <c r="BN372" s="85"/>
    </row>
    <row r="373">
      <c r="A373" s="18"/>
      <c r="X373" s="86"/>
      <c r="AO373" s="86"/>
      <c r="BN373" s="85"/>
    </row>
    <row r="374">
      <c r="A374" s="18"/>
      <c r="X374" s="86"/>
      <c r="AO374" s="86"/>
      <c r="BN374" s="85"/>
    </row>
    <row r="375">
      <c r="A375" s="18"/>
      <c r="X375" s="86"/>
      <c r="AO375" s="86"/>
      <c r="BN375" s="85"/>
    </row>
    <row r="376">
      <c r="A376" s="18"/>
      <c r="X376" s="86"/>
      <c r="AO376" s="86"/>
      <c r="BN376" s="85"/>
    </row>
    <row r="377">
      <c r="A377" s="18"/>
      <c r="X377" s="86"/>
      <c r="AO377" s="86"/>
      <c r="BN377" s="85"/>
    </row>
    <row r="378">
      <c r="A378" s="18"/>
      <c r="X378" s="86"/>
      <c r="AO378" s="86"/>
      <c r="BN378" s="85"/>
    </row>
    <row r="379">
      <c r="A379" s="18"/>
      <c r="X379" s="86"/>
      <c r="AO379" s="86"/>
      <c r="BN379" s="85"/>
    </row>
    <row r="380">
      <c r="A380" s="18"/>
      <c r="X380" s="86"/>
      <c r="AO380" s="86"/>
      <c r="BN380" s="85"/>
    </row>
    <row r="381">
      <c r="A381" s="18"/>
      <c r="X381" s="86"/>
      <c r="AO381" s="86"/>
      <c r="BN381" s="85"/>
    </row>
    <row r="382">
      <c r="A382" s="18"/>
      <c r="X382" s="86"/>
      <c r="AO382" s="86"/>
      <c r="BN382" s="85"/>
    </row>
    <row r="383">
      <c r="A383" s="18"/>
      <c r="X383" s="86"/>
      <c r="AO383" s="86"/>
      <c r="BN383" s="85"/>
    </row>
    <row r="384">
      <c r="A384" s="18"/>
      <c r="X384" s="86"/>
      <c r="AO384" s="86"/>
      <c r="BN384" s="85"/>
    </row>
    <row r="385">
      <c r="A385" s="18"/>
      <c r="X385" s="86"/>
      <c r="AO385" s="86"/>
      <c r="BN385" s="85"/>
    </row>
    <row r="386">
      <c r="A386" s="18"/>
      <c r="X386" s="86"/>
      <c r="AO386" s="86"/>
      <c r="BN386" s="85"/>
    </row>
    <row r="387">
      <c r="A387" s="18"/>
      <c r="X387" s="86"/>
      <c r="AO387" s="86"/>
      <c r="BN387" s="85"/>
    </row>
    <row r="388">
      <c r="A388" s="18"/>
      <c r="X388" s="86"/>
      <c r="AO388" s="86"/>
      <c r="BN388" s="85"/>
    </row>
    <row r="389">
      <c r="A389" s="18"/>
      <c r="X389" s="86"/>
      <c r="AO389" s="86"/>
      <c r="BN389" s="85"/>
    </row>
    <row r="390">
      <c r="A390" s="18"/>
      <c r="X390" s="86"/>
      <c r="AO390" s="86"/>
      <c r="BN390" s="85"/>
    </row>
    <row r="391">
      <c r="A391" s="18"/>
      <c r="X391" s="86"/>
      <c r="AO391" s="86"/>
      <c r="BN391" s="85"/>
    </row>
    <row r="392">
      <c r="A392" s="18"/>
      <c r="X392" s="86"/>
      <c r="AO392" s="86"/>
      <c r="BN392" s="85"/>
    </row>
    <row r="393">
      <c r="A393" s="18"/>
      <c r="X393" s="86"/>
      <c r="AO393" s="86"/>
      <c r="BN393" s="85"/>
    </row>
    <row r="394">
      <c r="A394" s="18"/>
      <c r="X394" s="86"/>
      <c r="AO394" s="86"/>
      <c r="BN394" s="85"/>
    </row>
    <row r="395">
      <c r="A395" s="18"/>
      <c r="X395" s="86"/>
      <c r="AO395" s="86"/>
      <c r="BN395" s="85"/>
    </row>
    <row r="396">
      <c r="A396" s="18"/>
      <c r="X396" s="86"/>
      <c r="AO396" s="86"/>
      <c r="BN396" s="85"/>
    </row>
    <row r="397">
      <c r="A397" s="18"/>
      <c r="X397" s="86"/>
      <c r="AO397" s="86"/>
      <c r="BN397" s="85"/>
    </row>
    <row r="398">
      <c r="A398" s="18"/>
      <c r="X398" s="86"/>
      <c r="AO398" s="86"/>
      <c r="BN398" s="85"/>
    </row>
    <row r="399">
      <c r="A399" s="18"/>
      <c r="X399" s="86"/>
      <c r="AO399" s="86"/>
      <c r="BN399" s="85"/>
    </row>
    <row r="400">
      <c r="A400" s="18"/>
      <c r="X400" s="86"/>
      <c r="AO400" s="86"/>
      <c r="BN400" s="85"/>
    </row>
    <row r="401">
      <c r="A401" s="18"/>
      <c r="X401" s="86"/>
      <c r="AO401" s="86"/>
      <c r="BN401" s="85"/>
    </row>
    <row r="402">
      <c r="A402" s="18"/>
      <c r="X402" s="86"/>
      <c r="AO402" s="86"/>
      <c r="BN402" s="85"/>
    </row>
    <row r="403">
      <c r="A403" s="18"/>
      <c r="X403" s="86"/>
      <c r="AO403" s="86"/>
      <c r="BN403" s="85"/>
    </row>
    <row r="404">
      <c r="A404" s="18"/>
      <c r="X404" s="86"/>
      <c r="AO404" s="86"/>
      <c r="BN404" s="85"/>
    </row>
    <row r="405">
      <c r="A405" s="18"/>
      <c r="X405" s="86"/>
      <c r="AO405" s="86"/>
      <c r="BN405" s="85"/>
    </row>
    <row r="406">
      <c r="A406" s="18"/>
      <c r="X406" s="86"/>
      <c r="AO406" s="86"/>
      <c r="BN406" s="85"/>
    </row>
    <row r="407">
      <c r="A407" s="18"/>
      <c r="X407" s="86"/>
      <c r="AO407" s="86"/>
      <c r="BN407" s="85"/>
    </row>
    <row r="408">
      <c r="A408" s="18"/>
      <c r="X408" s="86"/>
      <c r="AO408" s="86"/>
      <c r="BN408" s="85"/>
    </row>
    <row r="409">
      <c r="A409" s="18"/>
      <c r="X409" s="86"/>
      <c r="AO409" s="86"/>
      <c r="BN409" s="85"/>
    </row>
    <row r="410">
      <c r="A410" s="18"/>
      <c r="X410" s="86"/>
      <c r="AO410" s="86"/>
      <c r="BN410" s="85"/>
    </row>
    <row r="411">
      <c r="A411" s="18"/>
      <c r="X411" s="86"/>
      <c r="AO411" s="86"/>
      <c r="BN411" s="85"/>
    </row>
    <row r="412">
      <c r="A412" s="18"/>
      <c r="X412" s="86"/>
      <c r="AO412" s="86"/>
      <c r="BN412" s="85"/>
    </row>
    <row r="413">
      <c r="A413" s="18"/>
      <c r="X413" s="86"/>
      <c r="AO413" s="86"/>
      <c r="BN413" s="85"/>
    </row>
    <row r="414">
      <c r="A414" s="18"/>
      <c r="X414" s="86"/>
      <c r="AO414" s="86"/>
      <c r="BN414" s="85"/>
    </row>
    <row r="415">
      <c r="A415" s="18"/>
      <c r="X415" s="86"/>
      <c r="AO415" s="86"/>
      <c r="BN415" s="85"/>
    </row>
    <row r="416">
      <c r="A416" s="18"/>
      <c r="X416" s="86"/>
      <c r="AO416" s="86"/>
      <c r="BN416" s="85"/>
    </row>
    <row r="417">
      <c r="A417" s="18"/>
      <c r="X417" s="86"/>
      <c r="AO417" s="86"/>
      <c r="BN417" s="85"/>
    </row>
    <row r="418">
      <c r="A418" s="18"/>
      <c r="X418" s="86"/>
      <c r="AO418" s="86"/>
      <c r="BN418" s="85"/>
    </row>
    <row r="419">
      <c r="A419" s="18"/>
      <c r="X419" s="86"/>
      <c r="AO419" s="86"/>
      <c r="BN419" s="85"/>
    </row>
    <row r="420">
      <c r="A420" s="18"/>
      <c r="X420" s="86"/>
      <c r="AO420" s="86"/>
      <c r="BN420" s="85"/>
    </row>
    <row r="421">
      <c r="A421" s="18"/>
      <c r="X421" s="86"/>
      <c r="AO421" s="86"/>
      <c r="BN421" s="85"/>
    </row>
    <row r="422">
      <c r="A422" s="18"/>
      <c r="X422" s="86"/>
      <c r="AO422" s="86"/>
      <c r="BN422" s="85"/>
    </row>
    <row r="423">
      <c r="A423" s="18"/>
      <c r="X423" s="86"/>
      <c r="AO423" s="86"/>
      <c r="BN423" s="85"/>
    </row>
    <row r="424">
      <c r="A424" s="18"/>
      <c r="X424" s="86"/>
      <c r="AO424" s="86"/>
      <c r="BN424" s="85"/>
    </row>
    <row r="425">
      <c r="A425" s="18"/>
      <c r="X425" s="86"/>
      <c r="AO425" s="86"/>
      <c r="BN425" s="85"/>
    </row>
    <row r="426">
      <c r="A426" s="18"/>
      <c r="X426" s="86"/>
      <c r="AO426" s="86"/>
      <c r="BN426" s="85"/>
    </row>
    <row r="427">
      <c r="A427" s="18"/>
      <c r="X427" s="86"/>
      <c r="AO427" s="86"/>
      <c r="BN427" s="85"/>
    </row>
    <row r="428">
      <c r="A428" s="18"/>
      <c r="X428" s="86"/>
      <c r="AO428" s="86"/>
      <c r="BN428" s="85"/>
    </row>
    <row r="429">
      <c r="A429" s="18"/>
      <c r="X429" s="86"/>
      <c r="AO429" s="86"/>
      <c r="BN429" s="85"/>
    </row>
    <row r="430">
      <c r="A430" s="18"/>
      <c r="X430" s="86"/>
      <c r="AO430" s="86"/>
      <c r="BN430" s="85"/>
    </row>
    <row r="431">
      <c r="A431" s="18"/>
      <c r="X431" s="86"/>
      <c r="AO431" s="86"/>
      <c r="BN431" s="85"/>
    </row>
    <row r="432">
      <c r="A432" s="18"/>
      <c r="X432" s="86"/>
      <c r="AO432" s="86"/>
      <c r="BN432" s="85"/>
    </row>
    <row r="433">
      <c r="A433" s="18"/>
      <c r="X433" s="86"/>
      <c r="AO433" s="86"/>
      <c r="BN433" s="85"/>
    </row>
    <row r="434">
      <c r="A434" s="18"/>
      <c r="X434" s="86"/>
      <c r="AO434" s="86"/>
      <c r="BN434" s="85"/>
    </row>
    <row r="435">
      <c r="A435" s="18"/>
      <c r="X435" s="86"/>
      <c r="AO435" s="86"/>
      <c r="BN435" s="85"/>
    </row>
    <row r="436">
      <c r="A436" s="18"/>
      <c r="X436" s="86"/>
      <c r="AO436" s="86"/>
      <c r="BN436" s="85"/>
    </row>
    <row r="437">
      <c r="A437" s="18"/>
      <c r="X437" s="86"/>
      <c r="AO437" s="86"/>
      <c r="BN437" s="85"/>
    </row>
    <row r="438">
      <c r="A438" s="18"/>
      <c r="X438" s="86"/>
      <c r="AO438" s="86"/>
      <c r="BN438" s="85"/>
    </row>
    <row r="439">
      <c r="A439" s="18"/>
      <c r="X439" s="86"/>
      <c r="AO439" s="86"/>
      <c r="BN439" s="85"/>
    </row>
    <row r="440">
      <c r="A440" s="18"/>
      <c r="X440" s="86"/>
      <c r="AO440" s="86"/>
      <c r="BN440" s="85"/>
    </row>
    <row r="441">
      <c r="A441" s="18"/>
      <c r="X441" s="86"/>
      <c r="AO441" s="86"/>
      <c r="BN441" s="85"/>
    </row>
    <row r="442">
      <c r="A442" s="18"/>
      <c r="X442" s="86"/>
      <c r="AO442" s="86"/>
      <c r="BN442" s="85"/>
    </row>
    <row r="443">
      <c r="A443" s="18"/>
      <c r="X443" s="86"/>
      <c r="AO443" s="86"/>
      <c r="BN443" s="85"/>
    </row>
    <row r="444">
      <c r="A444" s="18"/>
      <c r="X444" s="86"/>
      <c r="AO444" s="86"/>
      <c r="BN444" s="85"/>
    </row>
    <row r="445">
      <c r="A445" s="18"/>
      <c r="X445" s="86"/>
      <c r="AO445" s="86"/>
      <c r="BN445" s="85"/>
    </row>
    <row r="446">
      <c r="A446" s="18"/>
      <c r="X446" s="86"/>
      <c r="AO446" s="86"/>
      <c r="BN446" s="85"/>
    </row>
    <row r="447">
      <c r="A447" s="18"/>
      <c r="X447" s="86"/>
      <c r="AO447" s="86"/>
      <c r="BN447" s="85"/>
    </row>
    <row r="448">
      <c r="A448" s="18"/>
      <c r="X448" s="86"/>
      <c r="AO448" s="86"/>
      <c r="BN448" s="85"/>
    </row>
    <row r="449">
      <c r="A449" s="18"/>
      <c r="X449" s="86"/>
      <c r="AO449" s="86"/>
      <c r="BN449" s="85"/>
    </row>
    <row r="450">
      <c r="A450" s="18"/>
      <c r="X450" s="86"/>
      <c r="AO450" s="86"/>
      <c r="BN450" s="85"/>
    </row>
    <row r="451">
      <c r="A451" s="18"/>
      <c r="X451" s="86"/>
      <c r="AO451" s="86"/>
      <c r="BN451" s="85"/>
    </row>
    <row r="452">
      <c r="A452" s="18"/>
      <c r="X452" s="86"/>
      <c r="AO452" s="86"/>
      <c r="BN452" s="85"/>
    </row>
    <row r="453">
      <c r="A453" s="18"/>
      <c r="X453" s="86"/>
      <c r="AO453" s="86"/>
      <c r="BN453" s="85"/>
    </row>
    <row r="454">
      <c r="A454" s="18"/>
      <c r="X454" s="86"/>
      <c r="AO454" s="86"/>
      <c r="BN454" s="85"/>
    </row>
    <row r="455">
      <c r="A455" s="18"/>
      <c r="X455" s="86"/>
      <c r="AO455" s="86"/>
      <c r="BN455" s="85"/>
    </row>
    <row r="456">
      <c r="A456" s="18"/>
      <c r="X456" s="86"/>
      <c r="AO456" s="86"/>
      <c r="BN456" s="85"/>
    </row>
    <row r="457">
      <c r="A457" s="18"/>
      <c r="X457" s="86"/>
      <c r="AO457" s="86"/>
      <c r="BN457" s="85"/>
    </row>
    <row r="458">
      <c r="A458" s="18"/>
      <c r="X458" s="86"/>
      <c r="AO458" s="86"/>
      <c r="BN458" s="85"/>
    </row>
    <row r="459">
      <c r="A459" s="18"/>
      <c r="X459" s="86"/>
      <c r="AO459" s="86"/>
      <c r="BN459" s="85"/>
    </row>
    <row r="460">
      <c r="A460" s="18"/>
      <c r="X460" s="86"/>
      <c r="AO460" s="86"/>
      <c r="BN460" s="85"/>
    </row>
    <row r="461">
      <c r="A461" s="18"/>
      <c r="X461" s="86"/>
      <c r="AO461" s="86"/>
      <c r="BN461" s="85"/>
    </row>
    <row r="462">
      <c r="A462" s="18"/>
      <c r="X462" s="86"/>
      <c r="AO462" s="86"/>
      <c r="BN462" s="85"/>
    </row>
    <row r="463">
      <c r="A463" s="18"/>
      <c r="X463" s="86"/>
      <c r="AO463" s="86"/>
      <c r="BN463" s="85"/>
    </row>
    <row r="464">
      <c r="A464" s="18"/>
      <c r="X464" s="86"/>
      <c r="AO464" s="86"/>
      <c r="BN464" s="85"/>
    </row>
    <row r="465">
      <c r="A465" s="18"/>
      <c r="X465" s="86"/>
      <c r="AO465" s="86"/>
      <c r="BN465" s="85"/>
    </row>
    <row r="466">
      <c r="A466" s="18"/>
      <c r="X466" s="86"/>
      <c r="AO466" s="86"/>
      <c r="BN466" s="85"/>
    </row>
    <row r="467">
      <c r="A467" s="18"/>
      <c r="X467" s="86"/>
      <c r="AO467" s="86"/>
      <c r="BN467" s="85"/>
    </row>
    <row r="468">
      <c r="A468" s="18"/>
      <c r="X468" s="86"/>
      <c r="AO468" s="86"/>
      <c r="BN468" s="85"/>
    </row>
    <row r="469">
      <c r="A469" s="18"/>
      <c r="X469" s="86"/>
      <c r="AO469" s="86"/>
      <c r="BN469" s="85"/>
    </row>
    <row r="470">
      <c r="A470" s="18"/>
      <c r="X470" s="86"/>
      <c r="AO470" s="86"/>
      <c r="BN470" s="85"/>
    </row>
    <row r="471">
      <c r="A471" s="18"/>
      <c r="X471" s="86"/>
      <c r="AO471" s="86"/>
      <c r="BN471" s="85"/>
    </row>
    <row r="472">
      <c r="A472" s="18"/>
      <c r="X472" s="86"/>
      <c r="AO472" s="86"/>
      <c r="BN472" s="85"/>
    </row>
    <row r="473">
      <c r="A473" s="18"/>
      <c r="X473" s="86"/>
      <c r="AO473" s="86"/>
      <c r="BN473" s="85"/>
    </row>
    <row r="474">
      <c r="A474" s="18"/>
      <c r="X474" s="86"/>
      <c r="AO474" s="86"/>
      <c r="BN474" s="85"/>
    </row>
    <row r="475">
      <c r="A475" s="18"/>
      <c r="X475" s="86"/>
      <c r="AO475" s="86"/>
      <c r="BN475" s="85"/>
    </row>
    <row r="476">
      <c r="A476" s="18"/>
      <c r="X476" s="86"/>
      <c r="AO476" s="86"/>
      <c r="BN476" s="85"/>
    </row>
    <row r="477">
      <c r="A477" s="18"/>
      <c r="X477" s="86"/>
      <c r="AO477" s="86"/>
      <c r="BN477" s="85"/>
    </row>
    <row r="478">
      <c r="A478" s="18"/>
      <c r="X478" s="86"/>
      <c r="AO478" s="86"/>
      <c r="BN478" s="85"/>
    </row>
    <row r="479">
      <c r="A479" s="18"/>
      <c r="X479" s="86"/>
      <c r="AO479" s="86"/>
      <c r="BN479" s="85"/>
    </row>
    <row r="480">
      <c r="A480" s="18"/>
      <c r="X480" s="86"/>
      <c r="AO480" s="86"/>
      <c r="BN480" s="85"/>
    </row>
    <row r="481">
      <c r="A481" s="18"/>
      <c r="X481" s="86"/>
      <c r="AO481" s="86"/>
      <c r="BN481" s="85"/>
    </row>
    <row r="482">
      <c r="A482" s="18"/>
      <c r="X482" s="86"/>
      <c r="AO482" s="86"/>
      <c r="BN482" s="85"/>
    </row>
    <row r="483">
      <c r="A483" s="18"/>
      <c r="X483" s="86"/>
      <c r="AO483" s="86"/>
      <c r="BN483" s="85"/>
    </row>
    <row r="484">
      <c r="A484" s="18"/>
      <c r="X484" s="86"/>
      <c r="AO484" s="86"/>
      <c r="BN484" s="85"/>
    </row>
    <row r="485">
      <c r="A485" s="18"/>
      <c r="X485" s="86"/>
      <c r="AO485" s="86"/>
      <c r="BN485" s="85"/>
    </row>
    <row r="486">
      <c r="A486" s="18"/>
      <c r="X486" s="86"/>
      <c r="AO486" s="86"/>
      <c r="BN486" s="85"/>
    </row>
    <row r="487">
      <c r="A487" s="18"/>
      <c r="X487" s="86"/>
      <c r="AO487" s="86"/>
      <c r="BN487" s="85"/>
    </row>
    <row r="488">
      <c r="A488" s="18"/>
      <c r="X488" s="86"/>
      <c r="AO488" s="86"/>
      <c r="BN488" s="85"/>
    </row>
    <row r="489">
      <c r="A489" s="18"/>
      <c r="X489" s="86"/>
      <c r="AO489" s="86"/>
      <c r="BN489" s="85"/>
    </row>
    <row r="490">
      <c r="A490" s="18"/>
      <c r="X490" s="86"/>
      <c r="AO490" s="86"/>
      <c r="BN490" s="85"/>
    </row>
    <row r="491">
      <c r="A491" s="18"/>
      <c r="X491" s="86"/>
      <c r="AO491" s="86"/>
      <c r="BN491" s="85"/>
    </row>
    <row r="492">
      <c r="A492" s="18"/>
      <c r="X492" s="86"/>
      <c r="AO492" s="86"/>
      <c r="BN492" s="85"/>
    </row>
    <row r="493">
      <c r="A493" s="18"/>
      <c r="X493" s="86"/>
      <c r="AO493" s="86"/>
      <c r="BN493" s="85"/>
    </row>
    <row r="494">
      <c r="A494" s="18"/>
      <c r="X494" s="86"/>
      <c r="AO494" s="86"/>
      <c r="BN494" s="85"/>
    </row>
    <row r="495">
      <c r="A495" s="18"/>
      <c r="X495" s="86"/>
      <c r="AO495" s="86"/>
      <c r="BN495" s="85"/>
    </row>
    <row r="496">
      <c r="A496" s="18"/>
      <c r="X496" s="86"/>
      <c r="AO496" s="86"/>
      <c r="BN496" s="85"/>
    </row>
    <row r="497">
      <c r="A497" s="18"/>
      <c r="X497" s="86"/>
      <c r="AO497" s="86"/>
      <c r="BN497" s="85"/>
    </row>
    <row r="498">
      <c r="A498" s="18"/>
      <c r="X498" s="86"/>
      <c r="AO498" s="86"/>
      <c r="BN498" s="85"/>
    </row>
    <row r="499">
      <c r="A499" s="18"/>
      <c r="X499" s="86"/>
      <c r="AO499" s="86"/>
      <c r="BN499" s="85"/>
    </row>
    <row r="500">
      <c r="A500" s="18"/>
      <c r="X500" s="86"/>
      <c r="AO500" s="86"/>
      <c r="BN500" s="85"/>
    </row>
    <row r="501">
      <c r="A501" s="18"/>
      <c r="X501" s="86"/>
      <c r="AO501" s="86"/>
      <c r="BN501" s="85"/>
    </row>
    <row r="502">
      <c r="A502" s="18"/>
      <c r="X502" s="86"/>
      <c r="AO502" s="86"/>
      <c r="BN502" s="85"/>
    </row>
    <row r="503">
      <c r="A503" s="18"/>
      <c r="X503" s="86"/>
      <c r="AO503" s="86"/>
      <c r="BN503" s="85"/>
    </row>
    <row r="504">
      <c r="A504" s="18"/>
      <c r="X504" s="86"/>
      <c r="AO504" s="86"/>
      <c r="BN504" s="85"/>
    </row>
    <row r="505">
      <c r="A505" s="18"/>
      <c r="X505" s="86"/>
      <c r="AO505" s="86"/>
      <c r="BN505" s="85"/>
    </row>
    <row r="506">
      <c r="A506" s="18"/>
      <c r="X506" s="86"/>
      <c r="AO506" s="86"/>
      <c r="BN506" s="85"/>
    </row>
    <row r="507">
      <c r="A507" s="18"/>
      <c r="X507" s="86"/>
      <c r="AO507" s="86"/>
      <c r="BN507" s="85"/>
    </row>
    <row r="508">
      <c r="A508" s="18"/>
      <c r="X508" s="86"/>
      <c r="AO508" s="86"/>
      <c r="BN508" s="85"/>
    </row>
    <row r="509">
      <c r="A509" s="18"/>
      <c r="X509" s="86"/>
      <c r="AO509" s="86"/>
      <c r="BN509" s="85"/>
    </row>
    <row r="510">
      <c r="A510" s="18"/>
      <c r="X510" s="86"/>
      <c r="AO510" s="86"/>
      <c r="BN510" s="85"/>
    </row>
    <row r="511">
      <c r="A511" s="18"/>
      <c r="X511" s="86"/>
      <c r="AO511" s="86"/>
      <c r="BN511" s="85"/>
    </row>
    <row r="512">
      <c r="A512" s="18"/>
      <c r="X512" s="86"/>
      <c r="AO512" s="86"/>
      <c r="BN512" s="85"/>
    </row>
    <row r="513">
      <c r="A513" s="18"/>
      <c r="X513" s="86"/>
      <c r="AO513" s="86"/>
      <c r="BN513" s="85"/>
    </row>
    <row r="514">
      <c r="A514" s="18"/>
      <c r="X514" s="86"/>
      <c r="AO514" s="86"/>
      <c r="BN514" s="85"/>
    </row>
    <row r="515">
      <c r="A515" s="18"/>
      <c r="X515" s="86"/>
      <c r="AO515" s="86"/>
      <c r="BN515" s="85"/>
    </row>
    <row r="516">
      <c r="A516" s="18"/>
      <c r="X516" s="86"/>
      <c r="AO516" s="86"/>
      <c r="BN516" s="85"/>
    </row>
    <row r="517">
      <c r="A517" s="18"/>
      <c r="X517" s="86"/>
      <c r="AO517" s="86"/>
      <c r="BN517" s="85"/>
    </row>
    <row r="518">
      <c r="A518" s="18"/>
      <c r="X518" s="86"/>
      <c r="AO518" s="86"/>
      <c r="BN518" s="85"/>
    </row>
    <row r="519">
      <c r="A519" s="18"/>
      <c r="X519" s="86"/>
      <c r="AO519" s="86"/>
      <c r="BN519" s="85"/>
    </row>
    <row r="520">
      <c r="A520" s="18"/>
      <c r="X520" s="86"/>
      <c r="AO520" s="86"/>
      <c r="BN520" s="85"/>
    </row>
    <row r="521">
      <c r="A521" s="18"/>
      <c r="X521" s="86"/>
      <c r="AO521" s="86"/>
      <c r="BN521" s="85"/>
    </row>
    <row r="522">
      <c r="A522" s="18"/>
      <c r="X522" s="86"/>
      <c r="AO522" s="86"/>
      <c r="BN522" s="85"/>
    </row>
    <row r="523">
      <c r="A523" s="18"/>
      <c r="X523" s="86"/>
      <c r="AO523" s="86"/>
      <c r="BN523" s="85"/>
    </row>
    <row r="524">
      <c r="A524" s="18"/>
      <c r="X524" s="86"/>
      <c r="AO524" s="86"/>
      <c r="BN524" s="85"/>
    </row>
    <row r="525">
      <c r="A525" s="18"/>
      <c r="X525" s="86"/>
      <c r="AO525" s="86"/>
      <c r="BN525" s="85"/>
    </row>
    <row r="526">
      <c r="A526" s="18"/>
      <c r="X526" s="86"/>
      <c r="AO526" s="86"/>
      <c r="BN526" s="85"/>
    </row>
    <row r="527">
      <c r="A527" s="18"/>
      <c r="X527" s="86"/>
      <c r="AO527" s="86"/>
      <c r="BN527" s="85"/>
    </row>
    <row r="528">
      <c r="A528" s="18"/>
      <c r="X528" s="86"/>
      <c r="AO528" s="86"/>
      <c r="BN528" s="85"/>
    </row>
    <row r="529">
      <c r="A529" s="18"/>
      <c r="X529" s="86"/>
      <c r="AO529" s="86"/>
      <c r="BN529" s="85"/>
    </row>
    <row r="530">
      <c r="A530" s="18"/>
      <c r="X530" s="86"/>
      <c r="AO530" s="86"/>
      <c r="BN530" s="85"/>
    </row>
    <row r="531">
      <c r="A531" s="18"/>
      <c r="X531" s="86"/>
      <c r="AO531" s="86"/>
      <c r="BN531" s="85"/>
    </row>
    <row r="532">
      <c r="A532" s="18"/>
      <c r="X532" s="86"/>
      <c r="AO532" s="86"/>
      <c r="BN532" s="85"/>
    </row>
    <row r="533">
      <c r="A533" s="18"/>
      <c r="X533" s="86"/>
      <c r="AO533" s="86"/>
      <c r="BN533" s="85"/>
    </row>
    <row r="534">
      <c r="A534" s="18"/>
      <c r="X534" s="86"/>
      <c r="AO534" s="86"/>
      <c r="BN534" s="85"/>
    </row>
    <row r="535">
      <c r="A535" s="18"/>
      <c r="X535" s="86"/>
      <c r="AO535" s="86"/>
      <c r="BN535" s="85"/>
    </row>
    <row r="536">
      <c r="A536" s="18"/>
      <c r="X536" s="86"/>
      <c r="AO536" s="86"/>
      <c r="BN536" s="85"/>
    </row>
    <row r="537">
      <c r="A537" s="18"/>
      <c r="X537" s="86"/>
      <c r="AO537" s="86"/>
      <c r="BN537" s="85"/>
    </row>
    <row r="538">
      <c r="A538" s="18"/>
      <c r="X538" s="86"/>
      <c r="AO538" s="86"/>
      <c r="BN538" s="85"/>
    </row>
    <row r="539">
      <c r="A539" s="18"/>
      <c r="X539" s="86"/>
      <c r="AO539" s="86"/>
      <c r="BN539" s="85"/>
    </row>
    <row r="540">
      <c r="A540" s="18"/>
      <c r="X540" s="86"/>
      <c r="AO540" s="86"/>
      <c r="BN540" s="85"/>
    </row>
    <row r="541">
      <c r="A541" s="18"/>
      <c r="X541" s="86"/>
      <c r="AO541" s="86"/>
      <c r="BN541" s="85"/>
    </row>
    <row r="542">
      <c r="A542" s="18"/>
      <c r="X542" s="86"/>
      <c r="AO542" s="86"/>
      <c r="BN542" s="85"/>
    </row>
    <row r="543">
      <c r="A543" s="18"/>
      <c r="X543" s="86"/>
      <c r="AO543" s="86"/>
      <c r="BN543" s="85"/>
    </row>
    <row r="544">
      <c r="A544" s="18"/>
      <c r="X544" s="86"/>
      <c r="AO544" s="86"/>
      <c r="BN544" s="85"/>
    </row>
    <row r="545">
      <c r="A545" s="18"/>
      <c r="X545" s="86"/>
      <c r="AO545" s="86"/>
      <c r="BN545" s="85"/>
    </row>
    <row r="546">
      <c r="A546" s="18"/>
      <c r="X546" s="86"/>
      <c r="AO546" s="86"/>
      <c r="BN546" s="85"/>
    </row>
    <row r="547">
      <c r="A547" s="18"/>
      <c r="X547" s="86"/>
      <c r="AO547" s="86"/>
      <c r="BN547" s="85"/>
    </row>
    <row r="548">
      <c r="A548" s="18"/>
      <c r="X548" s="86"/>
      <c r="AO548" s="86"/>
      <c r="BN548" s="85"/>
    </row>
    <row r="549">
      <c r="A549" s="18"/>
      <c r="X549" s="86"/>
      <c r="AO549" s="86"/>
      <c r="BN549" s="85"/>
    </row>
    <row r="550">
      <c r="A550" s="18"/>
      <c r="X550" s="86"/>
      <c r="AO550" s="86"/>
      <c r="BN550" s="85"/>
    </row>
    <row r="551">
      <c r="A551" s="18"/>
      <c r="X551" s="86"/>
      <c r="AO551" s="86"/>
      <c r="BN551" s="85"/>
    </row>
    <row r="552">
      <c r="A552" s="18"/>
      <c r="X552" s="86"/>
      <c r="AO552" s="86"/>
      <c r="BN552" s="85"/>
    </row>
    <row r="553">
      <c r="A553" s="18"/>
      <c r="X553" s="86"/>
      <c r="AO553" s="86"/>
      <c r="BN553" s="85"/>
    </row>
    <row r="554">
      <c r="A554" s="18"/>
      <c r="X554" s="86"/>
      <c r="AO554" s="86"/>
      <c r="BN554" s="85"/>
    </row>
    <row r="555">
      <c r="A555" s="18"/>
      <c r="X555" s="86"/>
      <c r="AO555" s="86"/>
      <c r="BN555" s="85"/>
    </row>
    <row r="556">
      <c r="A556" s="18"/>
      <c r="X556" s="86"/>
      <c r="AO556" s="86"/>
      <c r="BN556" s="85"/>
    </row>
    <row r="557">
      <c r="A557" s="18"/>
      <c r="X557" s="86"/>
      <c r="AO557" s="86"/>
      <c r="BN557" s="85"/>
    </row>
    <row r="558">
      <c r="A558" s="18"/>
      <c r="X558" s="86"/>
      <c r="AO558" s="86"/>
      <c r="BN558" s="85"/>
    </row>
    <row r="559">
      <c r="A559" s="18"/>
      <c r="X559" s="86"/>
      <c r="AO559" s="86"/>
      <c r="BN559" s="85"/>
    </row>
    <row r="560">
      <c r="A560" s="18"/>
      <c r="X560" s="86"/>
      <c r="AO560" s="86"/>
      <c r="BN560" s="85"/>
    </row>
    <row r="561">
      <c r="A561" s="18"/>
      <c r="X561" s="86"/>
      <c r="AO561" s="86"/>
      <c r="BN561" s="85"/>
    </row>
    <row r="562">
      <c r="A562" s="18"/>
      <c r="X562" s="86"/>
      <c r="AO562" s="86"/>
      <c r="BN562" s="85"/>
    </row>
    <row r="563">
      <c r="A563" s="18"/>
      <c r="X563" s="86"/>
      <c r="AO563" s="86"/>
      <c r="BN563" s="85"/>
    </row>
    <row r="564">
      <c r="A564" s="18"/>
      <c r="X564" s="86"/>
      <c r="AO564" s="86"/>
      <c r="BN564" s="85"/>
    </row>
    <row r="565">
      <c r="A565" s="18"/>
      <c r="X565" s="86"/>
      <c r="AO565" s="86"/>
      <c r="BN565" s="85"/>
    </row>
    <row r="566">
      <c r="A566" s="18"/>
      <c r="X566" s="86"/>
      <c r="AO566" s="86"/>
      <c r="BN566" s="85"/>
    </row>
    <row r="567">
      <c r="A567" s="18"/>
      <c r="X567" s="86"/>
      <c r="AO567" s="86"/>
      <c r="BN567" s="85"/>
    </row>
    <row r="568">
      <c r="A568" s="18"/>
      <c r="X568" s="86"/>
      <c r="AO568" s="86"/>
      <c r="BN568" s="85"/>
    </row>
    <row r="569">
      <c r="A569" s="18"/>
      <c r="X569" s="86"/>
      <c r="AO569" s="86"/>
      <c r="BN569" s="85"/>
    </row>
    <row r="570">
      <c r="A570" s="18"/>
      <c r="X570" s="86"/>
      <c r="AO570" s="86"/>
      <c r="BN570" s="85"/>
    </row>
    <row r="571">
      <c r="A571" s="18"/>
      <c r="X571" s="86"/>
      <c r="AO571" s="86"/>
      <c r="BN571" s="85"/>
    </row>
    <row r="572">
      <c r="A572" s="18"/>
      <c r="X572" s="86"/>
      <c r="AO572" s="86"/>
      <c r="BN572" s="85"/>
    </row>
    <row r="573">
      <c r="A573" s="18"/>
      <c r="X573" s="86"/>
      <c r="AO573" s="86"/>
      <c r="BN573" s="85"/>
    </row>
    <row r="574">
      <c r="A574" s="18"/>
      <c r="X574" s="86"/>
      <c r="AO574" s="86"/>
      <c r="BN574" s="85"/>
    </row>
    <row r="575">
      <c r="A575" s="18"/>
      <c r="X575" s="86"/>
      <c r="AO575" s="86"/>
      <c r="BN575" s="85"/>
    </row>
    <row r="576">
      <c r="A576" s="18"/>
      <c r="X576" s="86"/>
      <c r="AO576" s="86"/>
      <c r="BN576" s="85"/>
    </row>
    <row r="577">
      <c r="A577" s="18"/>
      <c r="X577" s="86"/>
      <c r="AO577" s="86"/>
      <c r="BN577" s="85"/>
    </row>
    <row r="578">
      <c r="A578" s="18"/>
      <c r="X578" s="86"/>
      <c r="AO578" s="86"/>
      <c r="BN578" s="85"/>
    </row>
    <row r="579">
      <c r="A579" s="18"/>
      <c r="X579" s="86"/>
      <c r="AO579" s="86"/>
      <c r="BN579" s="85"/>
    </row>
    <row r="580">
      <c r="A580" s="18"/>
      <c r="X580" s="86"/>
      <c r="AO580" s="86"/>
      <c r="BN580" s="85"/>
    </row>
    <row r="581">
      <c r="A581" s="18"/>
      <c r="X581" s="86"/>
      <c r="AO581" s="86"/>
      <c r="BN581" s="85"/>
    </row>
    <row r="582">
      <c r="A582" s="18"/>
      <c r="X582" s="86"/>
      <c r="AO582" s="86"/>
      <c r="BN582" s="85"/>
    </row>
    <row r="583">
      <c r="A583" s="18"/>
      <c r="X583" s="86"/>
      <c r="AO583" s="86"/>
      <c r="BN583" s="85"/>
    </row>
    <row r="584">
      <c r="A584" s="18"/>
      <c r="X584" s="86"/>
      <c r="AO584" s="86"/>
      <c r="BN584" s="85"/>
    </row>
    <row r="585">
      <c r="A585" s="18"/>
      <c r="X585" s="86"/>
      <c r="AO585" s="86"/>
      <c r="BN585" s="85"/>
    </row>
    <row r="586">
      <c r="A586" s="18"/>
      <c r="X586" s="86"/>
      <c r="AO586" s="86"/>
      <c r="BN586" s="85"/>
    </row>
    <row r="587">
      <c r="A587" s="18"/>
      <c r="X587" s="86"/>
      <c r="AO587" s="86"/>
      <c r="BN587" s="85"/>
    </row>
    <row r="588">
      <c r="A588" s="18"/>
      <c r="X588" s="86"/>
      <c r="AO588" s="86"/>
      <c r="BN588" s="85"/>
    </row>
    <row r="589">
      <c r="A589" s="18"/>
      <c r="X589" s="86"/>
      <c r="AO589" s="86"/>
      <c r="BN589" s="85"/>
    </row>
    <row r="590">
      <c r="A590" s="18"/>
      <c r="X590" s="86"/>
      <c r="AO590" s="86"/>
      <c r="BN590" s="85"/>
    </row>
    <row r="591">
      <c r="A591" s="18"/>
      <c r="X591" s="86"/>
      <c r="AO591" s="86"/>
      <c r="BN591" s="85"/>
    </row>
    <row r="592">
      <c r="A592" s="18"/>
      <c r="X592" s="86"/>
      <c r="AO592" s="86"/>
      <c r="BN592" s="85"/>
    </row>
    <row r="593">
      <c r="A593" s="18"/>
      <c r="X593" s="86"/>
      <c r="AO593" s="86"/>
      <c r="BN593" s="85"/>
    </row>
    <row r="594">
      <c r="A594" s="18"/>
      <c r="X594" s="86"/>
      <c r="AO594" s="86"/>
      <c r="BN594" s="85"/>
    </row>
    <row r="595">
      <c r="A595" s="18"/>
      <c r="X595" s="86"/>
      <c r="AO595" s="86"/>
      <c r="BN595" s="85"/>
    </row>
    <row r="596">
      <c r="A596" s="18"/>
      <c r="X596" s="86"/>
      <c r="AO596" s="86"/>
      <c r="BN596" s="85"/>
    </row>
    <row r="597">
      <c r="A597" s="18"/>
      <c r="X597" s="86"/>
      <c r="AO597" s="86"/>
      <c r="BN597" s="85"/>
    </row>
    <row r="598">
      <c r="A598" s="18"/>
      <c r="X598" s="86"/>
      <c r="AO598" s="86"/>
      <c r="BN598" s="85"/>
    </row>
    <row r="599">
      <c r="A599" s="18"/>
      <c r="X599" s="86"/>
      <c r="AO599" s="86"/>
      <c r="BN599" s="85"/>
    </row>
    <row r="600">
      <c r="A600" s="18"/>
      <c r="X600" s="86"/>
      <c r="AO600" s="86"/>
      <c r="BN600" s="85"/>
    </row>
    <row r="601">
      <c r="A601" s="18"/>
      <c r="X601" s="86"/>
      <c r="AO601" s="86"/>
      <c r="BN601" s="85"/>
    </row>
    <row r="602">
      <c r="A602" s="18"/>
      <c r="X602" s="86"/>
      <c r="AO602" s="86"/>
      <c r="BN602" s="85"/>
    </row>
    <row r="603">
      <c r="A603" s="18"/>
      <c r="X603" s="86"/>
      <c r="AO603" s="86"/>
      <c r="BN603" s="85"/>
    </row>
    <row r="604">
      <c r="A604" s="18"/>
      <c r="X604" s="86"/>
      <c r="AO604" s="86"/>
      <c r="BN604" s="85"/>
    </row>
    <row r="605">
      <c r="A605" s="18"/>
      <c r="X605" s="86"/>
      <c r="AO605" s="86"/>
      <c r="BN605" s="85"/>
    </row>
    <row r="606">
      <c r="A606" s="18"/>
      <c r="X606" s="86"/>
      <c r="AO606" s="86"/>
      <c r="BN606" s="85"/>
    </row>
    <row r="607">
      <c r="A607" s="18"/>
      <c r="X607" s="86"/>
      <c r="AO607" s="86"/>
      <c r="BN607" s="85"/>
    </row>
    <row r="608">
      <c r="A608" s="18"/>
      <c r="X608" s="86"/>
      <c r="AO608" s="86"/>
      <c r="BN608" s="85"/>
    </row>
    <row r="609">
      <c r="A609" s="18"/>
      <c r="X609" s="86"/>
      <c r="AO609" s="86"/>
      <c r="BN609" s="85"/>
    </row>
    <row r="610">
      <c r="A610" s="18"/>
      <c r="X610" s="86"/>
      <c r="AO610" s="86"/>
      <c r="BN610" s="85"/>
    </row>
    <row r="611">
      <c r="A611" s="18"/>
      <c r="X611" s="86"/>
      <c r="AO611" s="86"/>
      <c r="BN611" s="85"/>
    </row>
    <row r="612">
      <c r="A612" s="18"/>
      <c r="X612" s="86"/>
      <c r="AO612" s="86"/>
      <c r="BN612" s="85"/>
    </row>
    <row r="613">
      <c r="A613" s="18"/>
      <c r="X613" s="86"/>
      <c r="AO613" s="86"/>
      <c r="BN613" s="85"/>
    </row>
    <row r="614">
      <c r="A614" s="18"/>
      <c r="X614" s="86"/>
      <c r="AO614" s="86"/>
      <c r="BN614" s="85"/>
    </row>
    <row r="615">
      <c r="A615" s="18"/>
      <c r="X615" s="86"/>
      <c r="AO615" s="86"/>
      <c r="BN615" s="85"/>
    </row>
    <row r="616">
      <c r="A616" s="18"/>
      <c r="X616" s="86"/>
      <c r="AO616" s="86"/>
      <c r="BN616" s="85"/>
    </row>
    <row r="617">
      <c r="A617" s="18"/>
      <c r="X617" s="86"/>
      <c r="AO617" s="86"/>
      <c r="BN617" s="85"/>
    </row>
    <row r="618">
      <c r="A618" s="18"/>
      <c r="X618" s="86"/>
      <c r="AO618" s="86"/>
      <c r="BN618" s="85"/>
    </row>
    <row r="619">
      <c r="A619" s="18"/>
      <c r="X619" s="86"/>
      <c r="AO619" s="86"/>
      <c r="BN619" s="85"/>
    </row>
    <row r="620">
      <c r="A620" s="18"/>
      <c r="X620" s="86"/>
      <c r="AO620" s="86"/>
      <c r="BN620" s="85"/>
    </row>
    <row r="621">
      <c r="A621" s="18"/>
      <c r="X621" s="86"/>
      <c r="AO621" s="86"/>
      <c r="BN621" s="85"/>
    </row>
    <row r="622">
      <c r="A622" s="18"/>
      <c r="X622" s="86"/>
      <c r="AO622" s="86"/>
      <c r="BN622" s="85"/>
    </row>
    <row r="623">
      <c r="A623" s="18"/>
      <c r="X623" s="86"/>
      <c r="AO623" s="86"/>
      <c r="BN623" s="85"/>
    </row>
    <row r="624">
      <c r="A624" s="18"/>
      <c r="X624" s="86"/>
      <c r="AO624" s="86"/>
      <c r="BN624" s="85"/>
    </row>
    <row r="625">
      <c r="A625" s="18"/>
      <c r="X625" s="86"/>
      <c r="AO625" s="86"/>
      <c r="BN625" s="85"/>
    </row>
    <row r="626">
      <c r="A626" s="18"/>
      <c r="X626" s="86"/>
      <c r="AO626" s="86"/>
      <c r="BN626" s="85"/>
    </row>
    <row r="627">
      <c r="A627" s="18"/>
      <c r="X627" s="86"/>
      <c r="AO627" s="86"/>
      <c r="BN627" s="85"/>
    </row>
    <row r="628">
      <c r="A628" s="18"/>
      <c r="X628" s="86"/>
      <c r="AO628" s="86"/>
      <c r="BN628" s="85"/>
    </row>
    <row r="629">
      <c r="A629" s="18"/>
      <c r="X629" s="86"/>
      <c r="AO629" s="86"/>
      <c r="BN629" s="85"/>
    </row>
    <row r="630">
      <c r="A630" s="18"/>
      <c r="X630" s="86"/>
      <c r="AO630" s="86"/>
      <c r="BN630" s="85"/>
    </row>
    <row r="631">
      <c r="A631" s="18"/>
      <c r="X631" s="86"/>
      <c r="AO631" s="86"/>
      <c r="BN631" s="85"/>
    </row>
    <row r="632">
      <c r="A632" s="18"/>
      <c r="X632" s="86"/>
      <c r="AO632" s="86"/>
      <c r="BN632" s="85"/>
    </row>
    <row r="633">
      <c r="A633" s="18"/>
      <c r="X633" s="86"/>
      <c r="AO633" s="86"/>
      <c r="BN633" s="85"/>
    </row>
    <row r="634">
      <c r="A634" s="18"/>
      <c r="X634" s="86"/>
      <c r="AO634" s="86"/>
      <c r="BN634" s="85"/>
    </row>
    <row r="635">
      <c r="A635" s="18"/>
      <c r="X635" s="86"/>
      <c r="AO635" s="86"/>
      <c r="BN635" s="85"/>
    </row>
    <row r="636">
      <c r="A636" s="18"/>
      <c r="X636" s="86"/>
      <c r="AO636" s="86"/>
      <c r="BN636" s="85"/>
    </row>
    <row r="637">
      <c r="A637" s="18"/>
      <c r="X637" s="86"/>
      <c r="AO637" s="86"/>
      <c r="BN637" s="85"/>
    </row>
    <row r="638">
      <c r="A638" s="18"/>
      <c r="X638" s="86"/>
      <c r="AO638" s="86"/>
      <c r="BN638" s="85"/>
    </row>
    <row r="639">
      <c r="A639" s="18"/>
      <c r="X639" s="86"/>
      <c r="AO639" s="86"/>
      <c r="BN639" s="85"/>
    </row>
    <row r="640">
      <c r="A640" s="18"/>
      <c r="X640" s="86"/>
      <c r="AO640" s="86"/>
      <c r="BN640" s="85"/>
    </row>
    <row r="641">
      <c r="A641" s="18"/>
      <c r="X641" s="86"/>
      <c r="AO641" s="86"/>
      <c r="BN641" s="85"/>
    </row>
    <row r="642">
      <c r="A642" s="18"/>
      <c r="X642" s="86"/>
      <c r="AO642" s="86"/>
      <c r="BN642" s="85"/>
    </row>
    <row r="643">
      <c r="A643" s="18"/>
      <c r="X643" s="86"/>
      <c r="AO643" s="86"/>
      <c r="BN643" s="85"/>
    </row>
    <row r="644">
      <c r="A644" s="18"/>
      <c r="X644" s="86"/>
      <c r="AO644" s="86"/>
      <c r="BN644" s="85"/>
    </row>
    <row r="645">
      <c r="A645" s="18"/>
      <c r="X645" s="86"/>
      <c r="AO645" s="86"/>
      <c r="BN645" s="85"/>
    </row>
    <row r="646">
      <c r="A646" s="18"/>
      <c r="X646" s="86"/>
      <c r="AO646" s="86"/>
      <c r="BN646" s="85"/>
    </row>
    <row r="647">
      <c r="A647" s="18"/>
      <c r="X647" s="86"/>
      <c r="AO647" s="86"/>
      <c r="BN647" s="85"/>
    </row>
    <row r="648">
      <c r="A648" s="18"/>
      <c r="X648" s="86"/>
      <c r="AO648" s="86"/>
      <c r="BN648" s="85"/>
    </row>
    <row r="649">
      <c r="A649" s="18"/>
      <c r="X649" s="86"/>
      <c r="AO649" s="86"/>
      <c r="BN649" s="85"/>
    </row>
    <row r="650">
      <c r="A650" s="18"/>
      <c r="X650" s="86"/>
      <c r="AO650" s="86"/>
      <c r="BN650" s="85"/>
    </row>
    <row r="651">
      <c r="A651" s="18"/>
      <c r="X651" s="86"/>
      <c r="AO651" s="86"/>
      <c r="BN651" s="85"/>
    </row>
    <row r="652">
      <c r="A652" s="18"/>
      <c r="X652" s="86"/>
      <c r="AO652" s="86"/>
      <c r="BN652" s="85"/>
    </row>
    <row r="653">
      <c r="A653" s="18"/>
      <c r="X653" s="86"/>
      <c r="AO653" s="86"/>
      <c r="BN653" s="85"/>
    </row>
    <row r="654">
      <c r="A654" s="18"/>
      <c r="X654" s="86"/>
      <c r="AO654" s="86"/>
      <c r="BN654" s="85"/>
    </row>
    <row r="655">
      <c r="A655" s="18"/>
      <c r="X655" s="86"/>
      <c r="AO655" s="86"/>
      <c r="BN655" s="85"/>
    </row>
    <row r="656">
      <c r="A656" s="18"/>
      <c r="X656" s="86"/>
      <c r="AO656" s="86"/>
      <c r="BN656" s="85"/>
    </row>
    <row r="657">
      <c r="A657" s="18"/>
      <c r="X657" s="86"/>
      <c r="AO657" s="86"/>
      <c r="BN657" s="85"/>
    </row>
    <row r="658">
      <c r="A658" s="18"/>
      <c r="X658" s="86"/>
      <c r="AO658" s="86"/>
      <c r="BN658" s="85"/>
    </row>
    <row r="659">
      <c r="A659" s="18"/>
      <c r="X659" s="86"/>
      <c r="AO659" s="86"/>
      <c r="BN659" s="85"/>
    </row>
    <row r="660">
      <c r="A660" s="18"/>
      <c r="X660" s="86"/>
      <c r="AO660" s="86"/>
      <c r="BN660" s="85"/>
    </row>
    <row r="661">
      <c r="A661" s="18"/>
      <c r="X661" s="86"/>
      <c r="AO661" s="86"/>
      <c r="BN661" s="85"/>
    </row>
    <row r="662">
      <c r="A662" s="18"/>
      <c r="X662" s="86"/>
      <c r="AO662" s="86"/>
      <c r="BN662" s="85"/>
    </row>
    <row r="663">
      <c r="A663" s="18"/>
      <c r="X663" s="86"/>
      <c r="AO663" s="86"/>
      <c r="BN663" s="85"/>
    </row>
    <row r="664">
      <c r="A664" s="18"/>
      <c r="X664" s="86"/>
      <c r="AO664" s="86"/>
      <c r="BN664" s="85"/>
    </row>
    <row r="665">
      <c r="A665" s="18"/>
      <c r="X665" s="86"/>
      <c r="AO665" s="86"/>
      <c r="BN665" s="85"/>
    </row>
    <row r="666">
      <c r="A666" s="18"/>
      <c r="X666" s="86"/>
      <c r="AO666" s="86"/>
      <c r="BN666" s="85"/>
    </row>
    <row r="667">
      <c r="A667" s="18"/>
      <c r="X667" s="86"/>
      <c r="AO667" s="86"/>
      <c r="BN667" s="85"/>
    </row>
    <row r="668">
      <c r="A668" s="18"/>
      <c r="X668" s="86"/>
      <c r="AO668" s="86"/>
      <c r="BN668" s="85"/>
    </row>
    <row r="669">
      <c r="A669" s="18"/>
      <c r="X669" s="86"/>
      <c r="AO669" s="86"/>
      <c r="BN669" s="85"/>
    </row>
    <row r="670">
      <c r="A670" s="18"/>
      <c r="X670" s="86"/>
      <c r="AO670" s="86"/>
      <c r="BN670" s="85"/>
    </row>
    <row r="671">
      <c r="A671" s="18"/>
      <c r="X671" s="86"/>
      <c r="AO671" s="86"/>
      <c r="BN671" s="85"/>
    </row>
    <row r="672">
      <c r="A672" s="18"/>
      <c r="X672" s="86"/>
      <c r="AO672" s="86"/>
      <c r="BN672" s="85"/>
    </row>
    <row r="673">
      <c r="A673" s="18"/>
      <c r="X673" s="86"/>
      <c r="AO673" s="86"/>
      <c r="BN673" s="85"/>
    </row>
    <row r="674">
      <c r="A674" s="18"/>
      <c r="X674" s="86"/>
      <c r="AO674" s="86"/>
      <c r="BN674" s="85"/>
    </row>
    <row r="675">
      <c r="A675" s="18"/>
      <c r="X675" s="86"/>
      <c r="AO675" s="86"/>
      <c r="BN675" s="85"/>
    </row>
    <row r="676">
      <c r="A676" s="18"/>
      <c r="X676" s="86"/>
      <c r="AO676" s="86"/>
      <c r="BN676" s="85"/>
    </row>
    <row r="677">
      <c r="A677" s="18"/>
      <c r="X677" s="86"/>
      <c r="AO677" s="86"/>
      <c r="BN677" s="85"/>
    </row>
    <row r="678">
      <c r="A678" s="18"/>
      <c r="X678" s="86"/>
      <c r="AO678" s="86"/>
      <c r="BN678" s="85"/>
    </row>
    <row r="679">
      <c r="A679" s="18"/>
      <c r="X679" s="86"/>
      <c r="AO679" s="86"/>
      <c r="BN679" s="85"/>
    </row>
    <row r="680">
      <c r="A680" s="18"/>
      <c r="X680" s="86"/>
      <c r="AO680" s="86"/>
      <c r="BN680" s="85"/>
    </row>
    <row r="681">
      <c r="A681" s="18"/>
      <c r="X681" s="86"/>
      <c r="AO681" s="86"/>
      <c r="BN681" s="85"/>
    </row>
    <row r="682">
      <c r="A682" s="18"/>
      <c r="X682" s="86"/>
      <c r="AO682" s="86"/>
      <c r="BN682" s="85"/>
    </row>
    <row r="683">
      <c r="A683" s="18"/>
      <c r="X683" s="86"/>
      <c r="AO683" s="86"/>
      <c r="BN683" s="85"/>
    </row>
    <row r="684">
      <c r="A684" s="18"/>
      <c r="X684" s="86"/>
      <c r="AO684" s="86"/>
      <c r="BN684" s="85"/>
    </row>
    <row r="685">
      <c r="A685" s="18"/>
      <c r="X685" s="86"/>
      <c r="AO685" s="86"/>
      <c r="BN685" s="85"/>
    </row>
    <row r="686">
      <c r="A686" s="18"/>
      <c r="X686" s="86"/>
      <c r="AO686" s="86"/>
      <c r="BN686" s="85"/>
    </row>
    <row r="687">
      <c r="A687" s="18"/>
      <c r="X687" s="86"/>
      <c r="AO687" s="86"/>
      <c r="BN687" s="85"/>
    </row>
    <row r="688">
      <c r="A688" s="18"/>
      <c r="X688" s="86"/>
      <c r="AO688" s="86"/>
      <c r="BN688" s="85"/>
    </row>
    <row r="689">
      <c r="A689" s="18"/>
      <c r="X689" s="86"/>
      <c r="AO689" s="86"/>
      <c r="BN689" s="85"/>
    </row>
    <row r="690">
      <c r="A690" s="18"/>
      <c r="X690" s="86"/>
      <c r="AO690" s="86"/>
      <c r="BN690" s="85"/>
    </row>
    <row r="691">
      <c r="A691" s="18"/>
      <c r="X691" s="86"/>
      <c r="AO691" s="86"/>
      <c r="BN691" s="85"/>
    </row>
    <row r="692">
      <c r="A692" s="18"/>
      <c r="X692" s="86"/>
      <c r="AO692" s="86"/>
      <c r="BN692" s="85"/>
    </row>
    <row r="693">
      <c r="A693" s="18"/>
      <c r="X693" s="86"/>
      <c r="AO693" s="86"/>
      <c r="BN693" s="85"/>
    </row>
    <row r="694">
      <c r="A694" s="18"/>
      <c r="X694" s="86"/>
      <c r="AO694" s="86"/>
      <c r="BN694" s="85"/>
    </row>
    <row r="695">
      <c r="A695" s="18"/>
      <c r="X695" s="86"/>
      <c r="AO695" s="86"/>
      <c r="BN695" s="85"/>
    </row>
    <row r="696">
      <c r="A696" s="18"/>
      <c r="X696" s="86"/>
      <c r="AO696" s="86"/>
      <c r="BN696" s="85"/>
    </row>
    <row r="697">
      <c r="A697" s="18"/>
      <c r="X697" s="86"/>
      <c r="AO697" s="86"/>
      <c r="BN697" s="85"/>
    </row>
    <row r="698">
      <c r="A698" s="18"/>
      <c r="X698" s="86"/>
      <c r="AO698" s="86"/>
      <c r="BN698" s="85"/>
    </row>
    <row r="699">
      <c r="A699" s="18"/>
      <c r="X699" s="86"/>
      <c r="AO699" s="86"/>
      <c r="BN699" s="85"/>
    </row>
    <row r="700">
      <c r="A700" s="18"/>
      <c r="X700" s="86"/>
      <c r="AO700" s="86"/>
      <c r="BN700" s="85"/>
    </row>
    <row r="701">
      <c r="A701" s="18"/>
      <c r="X701" s="86"/>
      <c r="AO701" s="86"/>
      <c r="BN701" s="85"/>
    </row>
    <row r="702">
      <c r="A702" s="18"/>
      <c r="X702" s="86"/>
      <c r="AO702" s="86"/>
      <c r="BN702" s="85"/>
    </row>
    <row r="703">
      <c r="A703" s="18"/>
      <c r="X703" s="86"/>
      <c r="AO703" s="86"/>
      <c r="BN703" s="85"/>
    </row>
    <row r="704">
      <c r="A704" s="18"/>
      <c r="X704" s="86"/>
      <c r="AO704" s="86"/>
      <c r="BN704" s="85"/>
    </row>
    <row r="705">
      <c r="A705" s="18"/>
      <c r="X705" s="86"/>
      <c r="AO705" s="86"/>
      <c r="BN705" s="85"/>
    </row>
    <row r="706">
      <c r="A706" s="18"/>
      <c r="X706" s="86"/>
      <c r="AO706" s="86"/>
      <c r="BN706" s="85"/>
    </row>
    <row r="707">
      <c r="A707" s="18"/>
      <c r="X707" s="86"/>
      <c r="AO707" s="86"/>
      <c r="BN707" s="85"/>
    </row>
    <row r="708">
      <c r="A708" s="18"/>
      <c r="X708" s="86"/>
      <c r="AO708" s="86"/>
      <c r="BN708" s="85"/>
    </row>
    <row r="709">
      <c r="A709" s="18"/>
      <c r="X709" s="86"/>
      <c r="AO709" s="86"/>
      <c r="BN709" s="85"/>
    </row>
    <row r="710">
      <c r="A710" s="18"/>
      <c r="X710" s="86"/>
      <c r="AO710" s="86"/>
      <c r="BN710" s="85"/>
    </row>
    <row r="711">
      <c r="A711" s="18"/>
      <c r="X711" s="86"/>
      <c r="AO711" s="86"/>
      <c r="BN711" s="85"/>
    </row>
    <row r="712">
      <c r="A712" s="18"/>
      <c r="X712" s="86"/>
      <c r="AO712" s="86"/>
      <c r="BN712" s="85"/>
    </row>
    <row r="713">
      <c r="A713" s="18"/>
      <c r="X713" s="86"/>
      <c r="AO713" s="86"/>
      <c r="BN713" s="85"/>
    </row>
    <row r="714">
      <c r="A714" s="18"/>
      <c r="X714" s="86"/>
      <c r="AO714" s="86"/>
      <c r="BN714" s="85"/>
    </row>
    <row r="715">
      <c r="A715" s="18"/>
      <c r="X715" s="86"/>
      <c r="AO715" s="86"/>
      <c r="BN715" s="85"/>
    </row>
    <row r="716">
      <c r="A716" s="18"/>
      <c r="X716" s="86"/>
      <c r="AO716" s="86"/>
      <c r="BN716" s="85"/>
    </row>
    <row r="717">
      <c r="A717" s="18"/>
      <c r="X717" s="86"/>
      <c r="AO717" s="86"/>
      <c r="BN717" s="85"/>
    </row>
    <row r="718">
      <c r="A718" s="18"/>
      <c r="X718" s="86"/>
      <c r="AO718" s="86"/>
      <c r="BN718" s="85"/>
    </row>
    <row r="719">
      <c r="A719" s="18"/>
      <c r="X719" s="86"/>
      <c r="AO719" s="86"/>
      <c r="BN719" s="85"/>
    </row>
    <row r="720">
      <c r="A720" s="18"/>
      <c r="X720" s="86"/>
      <c r="AO720" s="86"/>
      <c r="BN720" s="85"/>
    </row>
    <row r="721">
      <c r="A721" s="18"/>
      <c r="X721" s="86"/>
      <c r="AO721" s="86"/>
      <c r="BN721" s="85"/>
    </row>
    <row r="722">
      <c r="A722" s="18"/>
      <c r="X722" s="86"/>
      <c r="AO722" s="86"/>
      <c r="BN722" s="85"/>
    </row>
    <row r="723">
      <c r="A723" s="18"/>
      <c r="X723" s="86"/>
      <c r="AO723" s="86"/>
      <c r="BN723" s="85"/>
    </row>
    <row r="724">
      <c r="A724" s="18"/>
      <c r="X724" s="86"/>
      <c r="AO724" s="86"/>
      <c r="BN724" s="85"/>
    </row>
    <row r="725">
      <c r="A725" s="18"/>
      <c r="X725" s="86"/>
      <c r="AO725" s="86"/>
      <c r="BN725" s="85"/>
    </row>
    <row r="726">
      <c r="A726" s="18"/>
      <c r="X726" s="86"/>
      <c r="AO726" s="86"/>
      <c r="BN726" s="85"/>
    </row>
    <row r="727">
      <c r="A727" s="18"/>
      <c r="X727" s="86"/>
      <c r="AO727" s="86"/>
      <c r="BN727" s="85"/>
    </row>
    <row r="728">
      <c r="A728" s="18"/>
      <c r="X728" s="86"/>
      <c r="AO728" s="86"/>
      <c r="BN728" s="85"/>
    </row>
    <row r="729">
      <c r="A729" s="18"/>
      <c r="X729" s="86"/>
      <c r="AO729" s="86"/>
      <c r="BN729" s="85"/>
    </row>
    <row r="730">
      <c r="A730" s="18"/>
      <c r="X730" s="86"/>
      <c r="AO730" s="86"/>
      <c r="BN730" s="85"/>
    </row>
    <row r="731">
      <c r="A731" s="18"/>
      <c r="X731" s="86"/>
      <c r="AO731" s="86"/>
      <c r="BN731" s="85"/>
    </row>
    <row r="732">
      <c r="A732" s="18"/>
      <c r="X732" s="86"/>
      <c r="AO732" s="86"/>
      <c r="BN732" s="85"/>
    </row>
    <row r="733">
      <c r="A733" s="18"/>
      <c r="X733" s="86"/>
      <c r="AO733" s="86"/>
      <c r="BN733" s="85"/>
    </row>
    <row r="734">
      <c r="A734" s="18"/>
      <c r="X734" s="86"/>
      <c r="AO734" s="86"/>
      <c r="BN734" s="85"/>
    </row>
    <row r="735">
      <c r="A735" s="18"/>
      <c r="X735" s="86"/>
      <c r="AO735" s="86"/>
      <c r="BN735" s="85"/>
    </row>
    <row r="736">
      <c r="A736" s="18"/>
      <c r="X736" s="86"/>
      <c r="AO736" s="86"/>
      <c r="BN736" s="85"/>
    </row>
    <row r="737">
      <c r="A737" s="18"/>
      <c r="X737" s="86"/>
      <c r="AO737" s="86"/>
      <c r="BN737" s="85"/>
    </row>
    <row r="738">
      <c r="A738" s="18"/>
      <c r="X738" s="86"/>
      <c r="AO738" s="86"/>
      <c r="BN738" s="85"/>
    </row>
    <row r="739">
      <c r="A739" s="18"/>
      <c r="X739" s="86"/>
      <c r="AO739" s="86"/>
      <c r="BN739" s="85"/>
    </row>
    <row r="740">
      <c r="A740" s="18"/>
      <c r="X740" s="86"/>
      <c r="AO740" s="86"/>
      <c r="BN740" s="85"/>
    </row>
    <row r="741">
      <c r="A741" s="18"/>
      <c r="X741" s="86"/>
      <c r="AO741" s="86"/>
      <c r="BN741" s="85"/>
    </row>
    <row r="742">
      <c r="A742" s="18"/>
      <c r="X742" s="86"/>
      <c r="AO742" s="86"/>
      <c r="BN742" s="85"/>
    </row>
    <row r="743">
      <c r="A743" s="18"/>
      <c r="X743" s="86"/>
      <c r="AO743" s="86"/>
      <c r="BN743" s="85"/>
    </row>
    <row r="744">
      <c r="A744" s="18"/>
      <c r="X744" s="86"/>
      <c r="AO744" s="86"/>
      <c r="BN744" s="85"/>
    </row>
    <row r="745">
      <c r="A745" s="18"/>
      <c r="X745" s="86"/>
      <c r="AO745" s="86"/>
      <c r="BN745" s="85"/>
    </row>
    <row r="746">
      <c r="A746" s="18"/>
      <c r="X746" s="86"/>
      <c r="AO746" s="86"/>
      <c r="BN746" s="85"/>
    </row>
    <row r="747">
      <c r="A747" s="18"/>
      <c r="X747" s="86"/>
      <c r="AO747" s="86"/>
      <c r="BN747" s="85"/>
    </row>
    <row r="748">
      <c r="A748" s="18"/>
      <c r="X748" s="86"/>
      <c r="AO748" s="86"/>
      <c r="BN748" s="85"/>
    </row>
    <row r="749">
      <c r="A749" s="18"/>
      <c r="X749" s="86"/>
      <c r="AO749" s="86"/>
      <c r="BN749" s="85"/>
    </row>
    <row r="750">
      <c r="A750" s="18"/>
      <c r="X750" s="86"/>
      <c r="AO750" s="86"/>
      <c r="BN750" s="85"/>
    </row>
    <row r="751">
      <c r="A751" s="18"/>
      <c r="X751" s="86"/>
      <c r="AO751" s="86"/>
      <c r="BN751" s="85"/>
    </row>
    <row r="752">
      <c r="A752" s="18"/>
      <c r="X752" s="86"/>
      <c r="AO752" s="86"/>
      <c r="BN752" s="85"/>
    </row>
    <row r="753">
      <c r="A753" s="18"/>
      <c r="X753" s="86"/>
      <c r="AO753" s="86"/>
      <c r="BN753" s="85"/>
    </row>
    <row r="754">
      <c r="A754" s="18"/>
      <c r="X754" s="86"/>
      <c r="AO754" s="86"/>
      <c r="BN754" s="85"/>
    </row>
    <row r="755">
      <c r="A755" s="18"/>
      <c r="X755" s="86"/>
      <c r="AO755" s="86"/>
      <c r="BN755" s="85"/>
    </row>
    <row r="756">
      <c r="A756" s="18"/>
      <c r="X756" s="86"/>
      <c r="AO756" s="86"/>
      <c r="BN756" s="85"/>
    </row>
    <row r="757">
      <c r="A757" s="18"/>
      <c r="X757" s="86"/>
      <c r="AO757" s="86"/>
      <c r="BN757" s="85"/>
    </row>
    <row r="758">
      <c r="A758" s="18"/>
      <c r="X758" s="86"/>
      <c r="AO758" s="86"/>
      <c r="BN758" s="85"/>
    </row>
    <row r="759">
      <c r="A759" s="18"/>
      <c r="X759" s="86"/>
      <c r="AO759" s="86"/>
      <c r="BN759" s="85"/>
    </row>
    <row r="760">
      <c r="A760" s="18"/>
      <c r="X760" s="86"/>
      <c r="AO760" s="86"/>
      <c r="BN760" s="85"/>
    </row>
    <row r="761">
      <c r="A761" s="18"/>
      <c r="X761" s="86"/>
      <c r="AO761" s="86"/>
      <c r="BN761" s="85"/>
    </row>
    <row r="762">
      <c r="A762" s="18"/>
      <c r="X762" s="86"/>
      <c r="AO762" s="86"/>
      <c r="BN762" s="85"/>
    </row>
    <row r="763">
      <c r="A763" s="18"/>
      <c r="X763" s="86"/>
      <c r="AO763" s="86"/>
      <c r="BN763" s="85"/>
    </row>
    <row r="764">
      <c r="A764" s="18"/>
      <c r="X764" s="86"/>
      <c r="AO764" s="86"/>
      <c r="BN764" s="85"/>
    </row>
    <row r="765">
      <c r="A765" s="18"/>
      <c r="X765" s="86"/>
      <c r="AO765" s="86"/>
      <c r="BN765" s="85"/>
    </row>
    <row r="766">
      <c r="A766" s="18"/>
      <c r="X766" s="86"/>
      <c r="AO766" s="86"/>
      <c r="BN766" s="85"/>
    </row>
    <row r="767">
      <c r="A767" s="18"/>
      <c r="X767" s="86"/>
      <c r="AO767" s="86"/>
      <c r="BN767" s="85"/>
    </row>
    <row r="768">
      <c r="A768" s="18"/>
      <c r="X768" s="86"/>
      <c r="AO768" s="86"/>
      <c r="BN768" s="85"/>
    </row>
    <row r="769">
      <c r="A769" s="18"/>
      <c r="X769" s="86"/>
      <c r="AO769" s="86"/>
      <c r="BN769" s="85"/>
    </row>
    <row r="770">
      <c r="A770" s="18"/>
      <c r="X770" s="86"/>
      <c r="AO770" s="86"/>
      <c r="BN770" s="85"/>
    </row>
    <row r="771">
      <c r="A771" s="18"/>
      <c r="X771" s="86"/>
      <c r="AO771" s="86"/>
      <c r="BN771" s="85"/>
    </row>
    <row r="772">
      <c r="A772" s="18"/>
      <c r="X772" s="86"/>
      <c r="AO772" s="86"/>
      <c r="BN772" s="85"/>
    </row>
    <row r="773">
      <c r="A773" s="18"/>
      <c r="X773" s="86"/>
      <c r="AO773" s="86"/>
      <c r="BN773" s="85"/>
    </row>
    <row r="774">
      <c r="A774" s="18"/>
      <c r="X774" s="86"/>
      <c r="AO774" s="86"/>
      <c r="BN774" s="85"/>
    </row>
    <row r="775">
      <c r="A775" s="18"/>
      <c r="X775" s="86"/>
      <c r="AO775" s="86"/>
      <c r="BN775" s="85"/>
    </row>
    <row r="776">
      <c r="A776" s="18"/>
      <c r="X776" s="86"/>
      <c r="AO776" s="86"/>
      <c r="BN776" s="85"/>
    </row>
    <row r="777">
      <c r="A777" s="18"/>
      <c r="X777" s="86"/>
      <c r="AO777" s="86"/>
      <c r="BN777" s="85"/>
    </row>
    <row r="778">
      <c r="A778" s="18"/>
      <c r="X778" s="86"/>
      <c r="AO778" s="86"/>
      <c r="BN778" s="85"/>
    </row>
    <row r="779">
      <c r="A779" s="18"/>
      <c r="X779" s="86"/>
      <c r="AO779" s="86"/>
      <c r="BN779" s="85"/>
    </row>
    <row r="780">
      <c r="A780" s="18"/>
      <c r="X780" s="86"/>
      <c r="AO780" s="86"/>
      <c r="BN780" s="85"/>
    </row>
    <row r="781">
      <c r="A781" s="18"/>
      <c r="X781" s="86"/>
      <c r="AO781" s="86"/>
      <c r="BN781" s="85"/>
    </row>
    <row r="782">
      <c r="A782" s="18"/>
      <c r="X782" s="86"/>
      <c r="AO782" s="86"/>
      <c r="BN782" s="85"/>
    </row>
    <row r="783">
      <c r="A783" s="18"/>
      <c r="X783" s="86"/>
      <c r="AO783" s="86"/>
      <c r="BN783" s="85"/>
    </row>
    <row r="784">
      <c r="A784" s="18"/>
      <c r="X784" s="86"/>
      <c r="AO784" s="86"/>
      <c r="BN784" s="85"/>
    </row>
    <row r="785">
      <c r="A785" s="18"/>
      <c r="X785" s="86"/>
      <c r="AO785" s="86"/>
      <c r="BN785" s="85"/>
    </row>
    <row r="786">
      <c r="A786" s="18"/>
      <c r="X786" s="86"/>
      <c r="AO786" s="86"/>
      <c r="BN786" s="85"/>
    </row>
    <row r="787">
      <c r="A787" s="18"/>
      <c r="X787" s="86"/>
      <c r="AO787" s="86"/>
      <c r="BN787" s="85"/>
    </row>
    <row r="788">
      <c r="A788" s="18"/>
      <c r="X788" s="86"/>
      <c r="AO788" s="86"/>
      <c r="BN788" s="85"/>
    </row>
    <row r="789">
      <c r="A789" s="18"/>
      <c r="X789" s="86"/>
      <c r="AO789" s="86"/>
      <c r="BN789" s="85"/>
    </row>
    <row r="790">
      <c r="A790" s="18"/>
      <c r="X790" s="86"/>
      <c r="AO790" s="86"/>
      <c r="BN790" s="85"/>
    </row>
    <row r="791">
      <c r="A791" s="18"/>
      <c r="X791" s="86"/>
      <c r="AO791" s="86"/>
      <c r="BN791" s="85"/>
    </row>
    <row r="792">
      <c r="A792" s="18"/>
      <c r="X792" s="86"/>
      <c r="AO792" s="86"/>
      <c r="BN792" s="85"/>
    </row>
    <row r="793">
      <c r="A793" s="18"/>
      <c r="X793" s="86"/>
      <c r="AO793" s="86"/>
      <c r="BN793" s="85"/>
    </row>
    <row r="794">
      <c r="A794" s="18"/>
      <c r="X794" s="86"/>
      <c r="AO794" s="86"/>
      <c r="BN794" s="85"/>
    </row>
    <row r="795">
      <c r="A795" s="18"/>
      <c r="X795" s="86"/>
      <c r="AO795" s="86"/>
      <c r="BN795" s="85"/>
    </row>
    <row r="796">
      <c r="A796" s="18"/>
      <c r="X796" s="86"/>
      <c r="AO796" s="86"/>
      <c r="BN796" s="85"/>
    </row>
    <row r="797">
      <c r="A797" s="18"/>
      <c r="X797" s="86"/>
      <c r="AO797" s="86"/>
      <c r="BN797" s="85"/>
    </row>
    <row r="798">
      <c r="A798" s="18"/>
      <c r="X798" s="86"/>
      <c r="AO798" s="86"/>
      <c r="BN798" s="85"/>
    </row>
    <row r="799">
      <c r="A799" s="18"/>
      <c r="X799" s="86"/>
      <c r="AO799" s="86"/>
      <c r="BN799" s="85"/>
    </row>
    <row r="800">
      <c r="A800" s="18"/>
      <c r="X800" s="86"/>
      <c r="AO800" s="86"/>
      <c r="BN800" s="85"/>
    </row>
    <row r="801">
      <c r="A801" s="18"/>
      <c r="X801" s="86"/>
      <c r="AO801" s="86"/>
      <c r="BN801" s="85"/>
    </row>
    <row r="802">
      <c r="A802" s="18"/>
      <c r="X802" s="86"/>
      <c r="AO802" s="86"/>
      <c r="BN802" s="85"/>
    </row>
    <row r="803">
      <c r="A803" s="18"/>
      <c r="X803" s="86"/>
      <c r="AO803" s="86"/>
      <c r="BN803" s="85"/>
    </row>
    <row r="804">
      <c r="A804" s="18"/>
      <c r="X804" s="86"/>
      <c r="AO804" s="86"/>
      <c r="BN804" s="85"/>
    </row>
    <row r="805">
      <c r="A805" s="18"/>
      <c r="X805" s="86"/>
      <c r="AO805" s="86"/>
      <c r="BN805" s="85"/>
    </row>
    <row r="806">
      <c r="A806" s="18"/>
      <c r="X806" s="86"/>
      <c r="AO806" s="86"/>
      <c r="BN806" s="85"/>
    </row>
    <row r="807">
      <c r="A807" s="18"/>
      <c r="X807" s="86"/>
      <c r="AO807" s="86"/>
      <c r="BN807" s="85"/>
    </row>
    <row r="808">
      <c r="A808" s="18"/>
      <c r="X808" s="86"/>
      <c r="AO808" s="86"/>
      <c r="BN808" s="85"/>
    </row>
    <row r="809">
      <c r="A809" s="18"/>
      <c r="X809" s="86"/>
      <c r="AO809" s="86"/>
      <c r="BN809" s="85"/>
    </row>
    <row r="810">
      <c r="A810" s="18"/>
      <c r="X810" s="86"/>
      <c r="AO810" s="86"/>
      <c r="BN810" s="85"/>
    </row>
    <row r="811">
      <c r="A811" s="18"/>
      <c r="X811" s="86"/>
      <c r="AO811" s="86"/>
      <c r="BN811" s="85"/>
    </row>
    <row r="812">
      <c r="A812" s="18"/>
      <c r="X812" s="86"/>
      <c r="AO812" s="86"/>
      <c r="BN812" s="85"/>
    </row>
    <row r="813">
      <c r="A813" s="18"/>
      <c r="X813" s="86"/>
      <c r="AO813" s="86"/>
      <c r="BN813" s="85"/>
    </row>
    <row r="814">
      <c r="A814" s="18"/>
      <c r="X814" s="86"/>
      <c r="AO814" s="86"/>
      <c r="BN814" s="85"/>
    </row>
    <row r="815">
      <c r="A815" s="18"/>
      <c r="X815" s="86"/>
      <c r="AO815" s="86"/>
      <c r="BN815" s="85"/>
    </row>
    <row r="816">
      <c r="A816" s="18"/>
      <c r="X816" s="86"/>
      <c r="AO816" s="86"/>
      <c r="BN816" s="85"/>
    </row>
    <row r="817">
      <c r="A817" s="18"/>
      <c r="X817" s="86"/>
      <c r="AO817" s="86"/>
      <c r="BN817" s="85"/>
    </row>
    <row r="818">
      <c r="A818" s="18"/>
      <c r="X818" s="86"/>
      <c r="AO818" s="86"/>
      <c r="BN818" s="85"/>
    </row>
    <row r="819">
      <c r="A819" s="18"/>
      <c r="X819" s="86"/>
      <c r="AO819" s="86"/>
      <c r="BN819" s="85"/>
    </row>
    <row r="820">
      <c r="A820" s="18"/>
      <c r="X820" s="86"/>
      <c r="AO820" s="86"/>
      <c r="BN820" s="85"/>
    </row>
    <row r="821">
      <c r="A821" s="18"/>
      <c r="X821" s="86"/>
      <c r="AO821" s="86"/>
      <c r="BN821" s="85"/>
    </row>
    <row r="822">
      <c r="A822" s="18"/>
      <c r="X822" s="86"/>
      <c r="AO822" s="86"/>
      <c r="BN822" s="85"/>
    </row>
    <row r="823">
      <c r="A823" s="18"/>
      <c r="X823" s="86"/>
      <c r="AO823" s="86"/>
      <c r="BN823" s="85"/>
    </row>
    <row r="824">
      <c r="A824" s="18"/>
      <c r="X824" s="86"/>
      <c r="AO824" s="86"/>
      <c r="BN824" s="85"/>
    </row>
    <row r="825">
      <c r="A825" s="18"/>
      <c r="X825" s="86"/>
      <c r="AO825" s="86"/>
      <c r="BN825" s="85"/>
    </row>
    <row r="826">
      <c r="A826" s="18"/>
      <c r="X826" s="86"/>
      <c r="AO826" s="86"/>
      <c r="BN826" s="85"/>
    </row>
    <row r="827">
      <c r="A827" s="18"/>
      <c r="X827" s="86"/>
      <c r="AO827" s="86"/>
      <c r="BN827" s="85"/>
    </row>
    <row r="828">
      <c r="A828" s="18"/>
      <c r="X828" s="86"/>
      <c r="AO828" s="86"/>
      <c r="BN828" s="85"/>
    </row>
    <row r="829">
      <c r="A829" s="18"/>
      <c r="X829" s="86"/>
      <c r="AO829" s="86"/>
      <c r="BN829" s="85"/>
    </row>
    <row r="830">
      <c r="A830" s="18"/>
      <c r="X830" s="86"/>
      <c r="AO830" s="86"/>
      <c r="BN830" s="85"/>
    </row>
    <row r="831">
      <c r="A831" s="18"/>
      <c r="X831" s="86"/>
      <c r="AO831" s="86"/>
      <c r="BN831" s="85"/>
    </row>
    <row r="832">
      <c r="A832" s="18"/>
      <c r="X832" s="86"/>
      <c r="AO832" s="86"/>
      <c r="BN832" s="85"/>
    </row>
    <row r="833">
      <c r="A833" s="18"/>
      <c r="X833" s="86"/>
      <c r="AO833" s="86"/>
      <c r="BN833" s="85"/>
    </row>
    <row r="834">
      <c r="A834" s="18"/>
      <c r="X834" s="86"/>
      <c r="AO834" s="86"/>
      <c r="BN834" s="85"/>
    </row>
    <row r="835">
      <c r="A835" s="18"/>
      <c r="X835" s="86"/>
      <c r="AO835" s="86"/>
      <c r="BN835" s="85"/>
    </row>
    <row r="836">
      <c r="A836" s="18"/>
      <c r="X836" s="86"/>
      <c r="AO836" s="86"/>
      <c r="BN836" s="85"/>
    </row>
    <row r="837">
      <c r="A837" s="18"/>
      <c r="X837" s="86"/>
      <c r="AO837" s="86"/>
      <c r="BN837" s="85"/>
    </row>
    <row r="838">
      <c r="A838" s="18"/>
      <c r="X838" s="86"/>
      <c r="AO838" s="86"/>
      <c r="BN838" s="85"/>
    </row>
    <row r="839">
      <c r="A839" s="18"/>
      <c r="X839" s="86"/>
      <c r="AO839" s="86"/>
      <c r="BN839" s="85"/>
    </row>
    <row r="840">
      <c r="A840" s="18"/>
      <c r="X840" s="86"/>
      <c r="AO840" s="86"/>
      <c r="BN840" s="85"/>
    </row>
    <row r="841">
      <c r="A841" s="18"/>
      <c r="X841" s="86"/>
      <c r="AO841" s="86"/>
      <c r="BN841" s="85"/>
    </row>
    <row r="842">
      <c r="A842" s="18"/>
      <c r="X842" s="86"/>
      <c r="AO842" s="86"/>
      <c r="BN842" s="85"/>
    </row>
    <row r="843">
      <c r="A843" s="18"/>
      <c r="X843" s="86"/>
      <c r="AO843" s="86"/>
      <c r="BN843" s="85"/>
    </row>
    <row r="844">
      <c r="A844" s="18"/>
      <c r="X844" s="86"/>
      <c r="AO844" s="86"/>
      <c r="BN844" s="85"/>
    </row>
    <row r="845">
      <c r="A845" s="18"/>
      <c r="X845" s="86"/>
      <c r="AO845" s="86"/>
      <c r="BN845" s="85"/>
    </row>
    <row r="846">
      <c r="A846" s="18"/>
      <c r="X846" s="86"/>
      <c r="AO846" s="86"/>
      <c r="BN846" s="85"/>
    </row>
    <row r="847">
      <c r="A847" s="18"/>
      <c r="X847" s="86"/>
      <c r="AO847" s="86"/>
      <c r="BN847" s="85"/>
    </row>
    <row r="848">
      <c r="A848" s="18"/>
      <c r="X848" s="86"/>
      <c r="AO848" s="86"/>
      <c r="BN848" s="85"/>
    </row>
    <row r="849">
      <c r="A849" s="18"/>
      <c r="X849" s="86"/>
      <c r="AO849" s="86"/>
      <c r="BN849" s="85"/>
    </row>
    <row r="850">
      <c r="A850" s="18"/>
      <c r="X850" s="86"/>
      <c r="AO850" s="86"/>
      <c r="BN850" s="85"/>
    </row>
    <row r="851">
      <c r="A851" s="18"/>
      <c r="X851" s="86"/>
      <c r="AO851" s="86"/>
      <c r="BN851" s="85"/>
    </row>
    <row r="852">
      <c r="A852" s="18"/>
      <c r="X852" s="86"/>
      <c r="AO852" s="86"/>
      <c r="BN852" s="85"/>
    </row>
    <row r="853">
      <c r="A853" s="18"/>
      <c r="X853" s="86"/>
      <c r="AO853" s="86"/>
      <c r="BN853" s="85"/>
    </row>
    <row r="854">
      <c r="A854" s="18"/>
      <c r="X854" s="86"/>
      <c r="AO854" s="86"/>
      <c r="BN854" s="85"/>
    </row>
    <row r="855">
      <c r="A855" s="18"/>
      <c r="X855" s="86"/>
      <c r="AO855" s="86"/>
      <c r="BN855" s="85"/>
    </row>
    <row r="856">
      <c r="A856" s="18"/>
      <c r="X856" s="86"/>
      <c r="AO856" s="86"/>
      <c r="BN856" s="85"/>
    </row>
    <row r="857">
      <c r="A857" s="18"/>
      <c r="X857" s="86"/>
      <c r="AO857" s="86"/>
      <c r="BN857" s="85"/>
    </row>
    <row r="858">
      <c r="A858" s="18"/>
      <c r="X858" s="86"/>
      <c r="AO858" s="86"/>
      <c r="BN858" s="85"/>
    </row>
    <row r="859">
      <c r="A859" s="18"/>
      <c r="X859" s="86"/>
      <c r="AO859" s="86"/>
      <c r="BN859" s="85"/>
    </row>
    <row r="860">
      <c r="A860" s="18"/>
      <c r="X860" s="86"/>
      <c r="AO860" s="86"/>
      <c r="BN860" s="85"/>
    </row>
    <row r="861">
      <c r="A861" s="18"/>
      <c r="X861" s="86"/>
      <c r="AO861" s="86"/>
      <c r="BN861" s="85"/>
    </row>
    <row r="862">
      <c r="A862" s="18"/>
      <c r="X862" s="86"/>
      <c r="AO862" s="86"/>
      <c r="BN862" s="85"/>
    </row>
    <row r="863">
      <c r="A863" s="18"/>
      <c r="X863" s="86"/>
      <c r="AO863" s="86"/>
      <c r="BN863" s="85"/>
    </row>
    <row r="864">
      <c r="A864" s="18"/>
      <c r="X864" s="86"/>
      <c r="AO864" s="86"/>
      <c r="BN864" s="85"/>
    </row>
    <row r="865">
      <c r="A865" s="18"/>
      <c r="X865" s="86"/>
      <c r="AO865" s="86"/>
      <c r="BN865" s="85"/>
    </row>
    <row r="866">
      <c r="A866" s="18"/>
      <c r="X866" s="86"/>
      <c r="AO866" s="86"/>
      <c r="BN866" s="85"/>
    </row>
    <row r="867">
      <c r="A867" s="18"/>
      <c r="X867" s="86"/>
      <c r="AO867" s="86"/>
      <c r="BN867" s="85"/>
    </row>
    <row r="868">
      <c r="A868" s="18"/>
      <c r="X868" s="86"/>
      <c r="AO868" s="86"/>
      <c r="BN868" s="85"/>
    </row>
    <row r="869">
      <c r="A869" s="18"/>
      <c r="X869" s="86"/>
      <c r="AO869" s="86"/>
      <c r="BN869" s="85"/>
    </row>
    <row r="870">
      <c r="A870" s="18"/>
      <c r="X870" s="86"/>
      <c r="AO870" s="86"/>
      <c r="BN870" s="85"/>
    </row>
    <row r="871">
      <c r="A871" s="18"/>
      <c r="X871" s="86"/>
      <c r="AO871" s="86"/>
      <c r="BN871" s="85"/>
    </row>
    <row r="872">
      <c r="A872" s="18"/>
      <c r="X872" s="86"/>
      <c r="AO872" s="86"/>
      <c r="BN872" s="85"/>
    </row>
    <row r="873">
      <c r="A873" s="18"/>
      <c r="X873" s="86"/>
      <c r="AO873" s="86"/>
      <c r="BN873" s="85"/>
    </row>
    <row r="874">
      <c r="A874" s="18"/>
      <c r="X874" s="86"/>
      <c r="AO874" s="86"/>
      <c r="BN874" s="85"/>
    </row>
    <row r="875">
      <c r="A875" s="18"/>
      <c r="X875" s="86"/>
      <c r="AO875" s="86"/>
      <c r="BN875" s="85"/>
    </row>
    <row r="876">
      <c r="A876" s="18"/>
      <c r="X876" s="86"/>
      <c r="AO876" s="86"/>
      <c r="BN876" s="85"/>
    </row>
    <row r="877">
      <c r="A877" s="18"/>
      <c r="X877" s="86"/>
      <c r="AO877" s="86"/>
      <c r="BN877" s="85"/>
    </row>
    <row r="878">
      <c r="A878" s="18"/>
      <c r="X878" s="86"/>
      <c r="AO878" s="86"/>
      <c r="BN878" s="85"/>
    </row>
    <row r="879">
      <c r="A879" s="18"/>
      <c r="X879" s="86"/>
      <c r="AO879" s="86"/>
      <c r="BN879" s="85"/>
    </row>
    <row r="880">
      <c r="A880" s="18"/>
      <c r="X880" s="86"/>
      <c r="AO880" s="86"/>
      <c r="BN880" s="85"/>
    </row>
    <row r="881">
      <c r="A881" s="18"/>
      <c r="X881" s="86"/>
      <c r="AO881" s="86"/>
      <c r="BN881" s="85"/>
    </row>
    <row r="882">
      <c r="A882" s="18"/>
      <c r="X882" s="86"/>
      <c r="AO882" s="86"/>
      <c r="BN882" s="85"/>
    </row>
    <row r="883">
      <c r="A883" s="18"/>
      <c r="X883" s="86"/>
      <c r="AO883" s="86"/>
      <c r="BN883" s="85"/>
    </row>
    <row r="884">
      <c r="A884" s="18"/>
      <c r="X884" s="86"/>
      <c r="AO884" s="86"/>
      <c r="BN884" s="85"/>
    </row>
    <row r="885">
      <c r="A885" s="18"/>
      <c r="X885" s="86"/>
      <c r="AO885" s="86"/>
      <c r="BN885" s="85"/>
    </row>
    <row r="886">
      <c r="A886" s="18"/>
      <c r="X886" s="86"/>
      <c r="AO886" s="86"/>
      <c r="BN886" s="85"/>
    </row>
    <row r="887">
      <c r="A887" s="18"/>
      <c r="X887" s="86"/>
      <c r="AO887" s="86"/>
      <c r="BN887" s="85"/>
    </row>
    <row r="888">
      <c r="A888" s="18"/>
      <c r="X888" s="86"/>
      <c r="AO888" s="86"/>
      <c r="BN888" s="85"/>
    </row>
    <row r="889">
      <c r="A889" s="18"/>
      <c r="X889" s="86"/>
      <c r="AO889" s="86"/>
      <c r="BN889" s="85"/>
    </row>
    <row r="890">
      <c r="A890" s="18"/>
      <c r="X890" s="86"/>
      <c r="AO890" s="86"/>
      <c r="BN890" s="85"/>
    </row>
    <row r="891">
      <c r="A891" s="18"/>
      <c r="X891" s="86"/>
      <c r="AO891" s="86"/>
      <c r="BN891" s="85"/>
    </row>
    <row r="892">
      <c r="A892" s="18"/>
      <c r="X892" s="86"/>
      <c r="AO892" s="86"/>
      <c r="BN892" s="85"/>
    </row>
    <row r="893">
      <c r="A893" s="18"/>
      <c r="X893" s="86"/>
      <c r="AO893" s="86"/>
      <c r="BN893" s="85"/>
    </row>
    <row r="894">
      <c r="A894" s="18"/>
      <c r="X894" s="86"/>
      <c r="AO894" s="86"/>
      <c r="BN894" s="85"/>
    </row>
    <row r="895">
      <c r="A895" s="18"/>
      <c r="X895" s="86"/>
      <c r="AO895" s="86"/>
      <c r="BN895" s="85"/>
    </row>
    <row r="896">
      <c r="A896" s="18"/>
      <c r="X896" s="86"/>
      <c r="AO896" s="86"/>
      <c r="BN896" s="85"/>
    </row>
    <row r="897">
      <c r="A897" s="18"/>
      <c r="X897" s="86"/>
      <c r="AO897" s="86"/>
      <c r="BN897" s="85"/>
    </row>
    <row r="898">
      <c r="A898" s="18"/>
      <c r="X898" s="86"/>
      <c r="AO898" s="86"/>
      <c r="BN898" s="85"/>
    </row>
    <row r="899">
      <c r="A899" s="18"/>
      <c r="X899" s="86"/>
      <c r="AO899" s="86"/>
      <c r="BN899" s="85"/>
    </row>
    <row r="900">
      <c r="A900" s="18"/>
      <c r="X900" s="86"/>
      <c r="AO900" s="86"/>
      <c r="BN900" s="85"/>
    </row>
    <row r="901">
      <c r="A901" s="18"/>
      <c r="X901" s="86"/>
      <c r="AO901" s="86"/>
      <c r="BN901" s="85"/>
    </row>
    <row r="902">
      <c r="A902" s="18"/>
      <c r="X902" s="86"/>
      <c r="AO902" s="86"/>
      <c r="BN902" s="85"/>
    </row>
    <row r="903">
      <c r="A903" s="18"/>
      <c r="X903" s="86"/>
      <c r="AO903" s="86"/>
      <c r="BN903" s="85"/>
    </row>
    <row r="904">
      <c r="A904" s="18"/>
      <c r="X904" s="86"/>
      <c r="AO904" s="86"/>
      <c r="BN904" s="85"/>
    </row>
    <row r="905">
      <c r="A905" s="18"/>
      <c r="X905" s="86"/>
      <c r="AO905" s="86"/>
      <c r="BN905" s="85"/>
    </row>
    <row r="906">
      <c r="A906" s="18"/>
      <c r="X906" s="86"/>
      <c r="AO906" s="86"/>
      <c r="BN906" s="85"/>
    </row>
    <row r="907">
      <c r="A907" s="18"/>
      <c r="X907" s="86"/>
      <c r="AO907" s="86"/>
      <c r="BN907" s="85"/>
    </row>
    <row r="908">
      <c r="A908" s="18"/>
      <c r="X908" s="86"/>
      <c r="AO908" s="86"/>
      <c r="BN908" s="85"/>
    </row>
    <row r="909">
      <c r="A909" s="18"/>
      <c r="X909" s="86"/>
      <c r="AO909" s="86"/>
      <c r="BN909" s="85"/>
    </row>
    <row r="910">
      <c r="A910" s="18"/>
      <c r="X910" s="86"/>
      <c r="AO910" s="86"/>
      <c r="BN910" s="85"/>
    </row>
    <row r="911">
      <c r="A911" s="18"/>
      <c r="X911" s="86"/>
      <c r="AO911" s="86"/>
      <c r="BN911" s="85"/>
    </row>
    <row r="912">
      <c r="A912" s="18"/>
      <c r="X912" s="86"/>
      <c r="AO912" s="86"/>
      <c r="BN912" s="85"/>
    </row>
    <row r="913">
      <c r="A913" s="18"/>
      <c r="X913" s="86"/>
      <c r="AO913" s="86"/>
      <c r="BN913" s="85"/>
    </row>
    <row r="914">
      <c r="A914" s="18"/>
      <c r="X914" s="86"/>
      <c r="AO914" s="86"/>
      <c r="BN914" s="85"/>
    </row>
    <row r="915">
      <c r="A915" s="18"/>
      <c r="X915" s="86"/>
      <c r="AO915" s="86"/>
      <c r="BN915" s="85"/>
    </row>
    <row r="916">
      <c r="A916" s="18"/>
      <c r="X916" s="86"/>
      <c r="AO916" s="86"/>
      <c r="BN916" s="85"/>
    </row>
    <row r="917">
      <c r="A917" s="18"/>
      <c r="X917" s="86"/>
      <c r="AO917" s="86"/>
      <c r="BN917" s="85"/>
    </row>
    <row r="918">
      <c r="A918" s="18"/>
      <c r="X918" s="86"/>
      <c r="AO918" s="86"/>
      <c r="BN918" s="85"/>
    </row>
    <row r="919">
      <c r="A919" s="18"/>
      <c r="X919" s="86"/>
      <c r="AO919" s="86"/>
      <c r="BN919" s="85"/>
    </row>
    <row r="920">
      <c r="A920" s="18"/>
      <c r="X920" s="86"/>
      <c r="AO920" s="86"/>
      <c r="BN920" s="85"/>
    </row>
    <row r="921">
      <c r="A921" s="18"/>
      <c r="X921" s="86"/>
      <c r="AO921" s="86"/>
      <c r="BN921" s="85"/>
    </row>
    <row r="922">
      <c r="A922" s="18"/>
      <c r="X922" s="86"/>
      <c r="AO922" s="86"/>
      <c r="BN922" s="85"/>
    </row>
    <row r="923">
      <c r="A923" s="18"/>
      <c r="X923" s="86"/>
      <c r="AO923" s="86"/>
      <c r="BN923" s="85"/>
    </row>
    <row r="924">
      <c r="A924" s="18"/>
      <c r="X924" s="86"/>
      <c r="AO924" s="86"/>
      <c r="BN924" s="85"/>
    </row>
    <row r="925">
      <c r="A925" s="18"/>
      <c r="X925" s="86"/>
      <c r="AO925" s="86"/>
      <c r="BN925" s="85"/>
    </row>
    <row r="926">
      <c r="A926" s="18"/>
      <c r="X926" s="86"/>
      <c r="AO926" s="86"/>
      <c r="BN926" s="85"/>
    </row>
    <row r="927">
      <c r="A927" s="18"/>
      <c r="X927" s="86"/>
      <c r="AO927" s="86"/>
      <c r="BN927" s="85"/>
    </row>
    <row r="928">
      <c r="A928" s="18"/>
      <c r="X928" s="86"/>
      <c r="AO928" s="86"/>
      <c r="BN928" s="85"/>
    </row>
    <row r="929">
      <c r="A929" s="18"/>
      <c r="X929" s="86"/>
      <c r="AO929" s="86"/>
      <c r="BN929" s="85"/>
    </row>
    <row r="930">
      <c r="A930" s="18"/>
      <c r="X930" s="86"/>
      <c r="AO930" s="86"/>
      <c r="BN930" s="85"/>
    </row>
    <row r="931">
      <c r="A931" s="18"/>
      <c r="X931" s="86"/>
      <c r="AO931" s="86"/>
      <c r="BN931" s="85"/>
    </row>
    <row r="932">
      <c r="A932" s="18"/>
      <c r="X932" s="86"/>
      <c r="AO932" s="86"/>
      <c r="BN932" s="85"/>
    </row>
    <row r="933">
      <c r="A933" s="18"/>
      <c r="X933" s="86"/>
      <c r="AO933" s="86"/>
      <c r="BN933" s="85"/>
    </row>
    <row r="934">
      <c r="A934" s="18"/>
      <c r="X934" s="86"/>
      <c r="AO934" s="86"/>
      <c r="BN934" s="85"/>
    </row>
    <row r="935">
      <c r="A935" s="18"/>
      <c r="X935" s="86"/>
      <c r="AO935" s="86"/>
      <c r="BN935" s="85"/>
    </row>
    <row r="936">
      <c r="A936" s="18"/>
      <c r="X936" s="86"/>
      <c r="AO936" s="86"/>
      <c r="BN936" s="85"/>
    </row>
    <row r="937">
      <c r="A937" s="18"/>
      <c r="X937" s="86"/>
      <c r="AO937" s="86"/>
      <c r="BN937" s="85"/>
    </row>
    <row r="938">
      <c r="A938" s="18"/>
      <c r="X938" s="86"/>
      <c r="AO938" s="86"/>
      <c r="BN938" s="85"/>
    </row>
    <row r="939">
      <c r="A939" s="18"/>
      <c r="X939" s="86"/>
      <c r="AO939" s="86"/>
      <c r="BN939" s="85"/>
    </row>
    <row r="940">
      <c r="A940" s="18"/>
      <c r="X940" s="86"/>
      <c r="AO940" s="86"/>
      <c r="BN940" s="85"/>
    </row>
    <row r="941">
      <c r="A941" s="18"/>
      <c r="X941" s="86"/>
      <c r="AO941" s="86"/>
      <c r="BN941" s="85"/>
    </row>
    <row r="942">
      <c r="A942" s="18"/>
      <c r="X942" s="86"/>
      <c r="AO942" s="86"/>
      <c r="BN942" s="85"/>
    </row>
    <row r="943">
      <c r="A943" s="18"/>
      <c r="X943" s="86"/>
      <c r="AO943" s="86"/>
      <c r="BN943" s="85"/>
    </row>
    <row r="944">
      <c r="A944" s="18"/>
      <c r="X944" s="86"/>
      <c r="AO944" s="86"/>
      <c r="BN944" s="85"/>
    </row>
    <row r="945">
      <c r="A945" s="18"/>
      <c r="X945" s="86"/>
      <c r="AO945" s="86"/>
      <c r="BN945" s="85"/>
    </row>
    <row r="946">
      <c r="A946" s="18"/>
      <c r="X946" s="86"/>
      <c r="AO946" s="86"/>
      <c r="BN946" s="85"/>
    </row>
    <row r="947">
      <c r="A947" s="18"/>
      <c r="X947" s="86"/>
      <c r="AO947" s="86"/>
      <c r="BN947" s="85"/>
    </row>
    <row r="948">
      <c r="A948" s="18"/>
      <c r="X948" s="86"/>
      <c r="AO948" s="86"/>
      <c r="BN948" s="85"/>
    </row>
    <row r="949">
      <c r="A949" s="18"/>
      <c r="X949" s="86"/>
      <c r="AO949" s="86"/>
      <c r="BN949" s="85"/>
    </row>
    <row r="950">
      <c r="A950" s="18"/>
      <c r="X950" s="86"/>
      <c r="AO950" s="86"/>
      <c r="BN950" s="85"/>
    </row>
    <row r="951">
      <c r="A951" s="18"/>
      <c r="X951" s="86"/>
      <c r="AO951" s="86"/>
      <c r="BN951" s="85"/>
    </row>
    <row r="952">
      <c r="A952" s="18"/>
      <c r="X952" s="86"/>
      <c r="AO952" s="86"/>
      <c r="BN952" s="85"/>
    </row>
    <row r="953">
      <c r="A953" s="18"/>
      <c r="X953" s="86"/>
      <c r="AO953" s="86"/>
      <c r="BN953" s="85"/>
    </row>
    <row r="954">
      <c r="A954" s="18"/>
      <c r="X954" s="86"/>
      <c r="AO954" s="86"/>
      <c r="BN954" s="85"/>
    </row>
    <row r="955">
      <c r="A955" s="18"/>
      <c r="X955" s="86"/>
      <c r="AO955" s="86"/>
      <c r="BN955" s="85"/>
    </row>
    <row r="956">
      <c r="A956" s="18"/>
      <c r="X956" s="86"/>
      <c r="AO956" s="86"/>
      <c r="BN956" s="85"/>
    </row>
    <row r="957">
      <c r="A957" s="18"/>
      <c r="X957" s="86"/>
      <c r="AO957" s="86"/>
      <c r="BN957" s="85"/>
    </row>
    <row r="958">
      <c r="A958" s="18"/>
      <c r="X958" s="86"/>
      <c r="AO958" s="86"/>
      <c r="BN958" s="85"/>
    </row>
    <row r="959">
      <c r="A959" s="18"/>
      <c r="X959" s="86"/>
      <c r="AO959" s="86"/>
      <c r="BN959" s="85"/>
    </row>
    <row r="960">
      <c r="A960" s="18"/>
      <c r="X960" s="86"/>
      <c r="AO960" s="86"/>
      <c r="BN960" s="85"/>
    </row>
    <row r="961">
      <c r="A961" s="18"/>
      <c r="X961" s="86"/>
      <c r="AO961" s="86"/>
      <c r="BN961" s="85"/>
    </row>
    <row r="962">
      <c r="A962" s="18"/>
      <c r="X962" s="86"/>
      <c r="AO962" s="86"/>
      <c r="BN962" s="85"/>
    </row>
    <row r="963">
      <c r="A963" s="18"/>
      <c r="X963" s="86"/>
      <c r="AO963" s="86"/>
      <c r="BN963" s="85"/>
    </row>
    <row r="964">
      <c r="A964" s="18"/>
      <c r="X964" s="86"/>
      <c r="AO964" s="86"/>
      <c r="BN964" s="85"/>
    </row>
    <row r="965">
      <c r="A965" s="18"/>
      <c r="X965" s="86"/>
      <c r="AO965" s="86"/>
      <c r="BN965" s="85"/>
    </row>
    <row r="966">
      <c r="A966" s="18"/>
      <c r="X966" s="86"/>
      <c r="AO966" s="86"/>
      <c r="BN966" s="85"/>
    </row>
    <row r="967">
      <c r="A967" s="18"/>
      <c r="X967" s="86"/>
      <c r="AO967" s="86"/>
      <c r="BN967" s="85"/>
    </row>
    <row r="968">
      <c r="A968" s="18"/>
      <c r="X968" s="86"/>
      <c r="AO968" s="86"/>
      <c r="BN968" s="85"/>
    </row>
    <row r="969">
      <c r="A969" s="18"/>
      <c r="X969" s="86"/>
      <c r="AO969" s="86"/>
      <c r="BN969" s="85"/>
    </row>
    <row r="970">
      <c r="A970" s="18"/>
      <c r="X970" s="86"/>
      <c r="AO970" s="86"/>
      <c r="BN970" s="85"/>
    </row>
    <row r="971">
      <c r="A971" s="18"/>
      <c r="X971" s="86"/>
      <c r="AO971" s="86"/>
      <c r="BN971" s="85"/>
    </row>
    <row r="972">
      <c r="A972" s="18"/>
      <c r="X972" s="86"/>
      <c r="AO972" s="86"/>
      <c r="BN972" s="85"/>
    </row>
    <row r="973">
      <c r="A973" s="18"/>
      <c r="X973" s="86"/>
      <c r="AO973" s="86"/>
      <c r="BN973" s="85"/>
    </row>
    <row r="974">
      <c r="A974" s="18"/>
      <c r="X974" s="86"/>
      <c r="AO974" s="86"/>
      <c r="BN974" s="85"/>
    </row>
    <row r="975">
      <c r="A975" s="18"/>
      <c r="X975" s="86"/>
      <c r="AO975" s="86"/>
      <c r="BN975" s="85"/>
    </row>
    <row r="976">
      <c r="A976" s="18"/>
      <c r="X976" s="86"/>
      <c r="AO976" s="86"/>
      <c r="BN976" s="85"/>
    </row>
    <row r="977">
      <c r="A977" s="18"/>
      <c r="X977" s="86"/>
      <c r="AO977" s="86"/>
      <c r="BN977" s="85"/>
    </row>
    <row r="978">
      <c r="A978" s="18"/>
      <c r="X978" s="86"/>
      <c r="AO978" s="86"/>
      <c r="BN978" s="85"/>
    </row>
    <row r="979">
      <c r="A979" s="18"/>
      <c r="X979" s="86"/>
      <c r="AO979" s="86"/>
      <c r="BN979" s="85"/>
    </row>
    <row r="980">
      <c r="A980" s="18"/>
      <c r="X980" s="86"/>
      <c r="AO980" s="86"/>
      <c r="BN980" s="85"/>
    </row>
    <row r="981">
      <c r="A981" s="18"/>
      <c r="X981" s="86"/>
      <c r="AO981" s="86"/>
      <c r="BN981" s="85"/>
    </row>
    <row r="982">
      <c r="A982" s="18"/>
      <c r="X982" s="86"/>
      <c r="AO982" s="86"/>
      <c r="BN982" s="85"/>
    </row>
    <row r="983">
      <c r="A983" s="18"/>
      <c r="X983" s="86"/>
      <c r="AO983" s="86"/>
      <c r="BN983" s="85"/>
    </row>
    <row r="984">
      <c r="A984" s="18"/>
      <c r="X984" s="86"/>
      <c r="AO984" s="86"/>
      <c r="BN984" s="85"/>
    </row>
    <row r="985">
      <c r="A985" s="18"/>
      <c r="X985" s="86"/>
      <c r="AO985" s="86"/>
      <c r="BN985" s="85"/>
    </row>
    <row r="986">
      <c r="A986" s="18"/>
      <c r="X986" s="86"/>
      <c r="AO986" s="86"/>
      <c r="BN986" s="85"/>
    </row>
    <row r="987">
      <c r="A987" s="18"/>
      <c r="X987" s="86"/>
      <c r="AO987" s="86"/>
      <c r="BN987" s="85"/>
    </row>
    <row r="988">
      <c r="A988" s="18"/>
      <c r="X988" s="86"/>
      <c r="AO988" s="86"/>
      <c r="BN988" s="85"/>
    </row>
    <row r="989">
      <c r="A989" s="18"/>
      <c r="X989" s="86"/>
      <c r="AO989" s="86"/>
      <c r="BN989" s="85"/>
    </row>
    <row r="990">
      <c r="A990" s="18"/>
      <c r="X990" s="86"/>
      <c r="AO990" s="86"/>
      <c r="BN990" s="85"/>
    </row>
    <row r="991">
      <c r="A991" s="18"/>
      <c r="X991" s="86"/>
      <c r="AO991" s="86"/>
      <c r="BN991" s="85"/>
    </row>
    <row r="992">
      <c r="X992" s="86"/>
      <c r="AO992" s="86"/>
      <c r="BN992" s="85"/>
    </row>
    <row r="993">
      <c r="X993" s="86"/>
      <c r="AO993" s="86"/>
      <c r="BN993" s="85"/>
    </row>
    <row r="994">
      <c r="X994" s="86"/>
      <c r="AO994" s="86"/>
      <c r="BN994" s="85"/>
    </row>
    <row r="995">
      <c r="X995" s="86"/>
      <c r="AO995" s="86"/>
      <c r="BN995" s="85"/>
    </row>
    <row r="996">
      <c r="X996" s="86"/>
      <c r="AO996" s="86"/>
      <c r="BN996" s="85"/>
    </row>
    <row r="997">
      <c r="X997" s="86"/>
      <c r="AO997" s="86"/>
      <c r="BN997" s="85"/>
    </row>
    <row r="998">
      <c r="X998" s="86"/>
      <c r="AO998" s="86"/>
      <c r="BN998" s="85"/>
    </row>
    <row r="999">
      <c r="X999" s="86"/>
      <c r="AO999" s="86"/>
      <c r="BN999" s="85"/>
    </row>
  </sheetData>
  <mergeCells count="3">
    <mergeCell ref="C1:X1"/>
    <mergeCell ref="Y1:AO1"/>
    <mergeCell ref="AP1:BN1"/>
  </mergeCells>
  <conditionalFormatting sqref="B3:B29">
    <cfRule type="cellIs" dxfId="2" priority="1" operator="greaterThanOrEqual">
      <formula>10</formula>
    </cfRule>
  </conditionalFormatting>
  <conditionalFormatting sqref="B3:B29">
    <cfRule type="cellIs" dxfId="3" priority="2" operator="between">
      <formula>10</formula>
      <formula>5</formula>
    </cfRule>
  </conditionalFormatting>
  <conditionalFormatting sqref="B3:B29">
    <cfRule type="cellIs" dxfId="4" priority="3" operator="lessThan">
      <formula>5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75"/>
    <col customWidth="1" min="3" max="3" width="4.0"/>
    <col customWidth="1" min="4" max="9" width="1.88"/>
    <col customWidth="1" min="10" max="10" width="2.88"/>
    <col customWidth="1" min="11" max="11" width="2.75"/>
    <col customWidth="1" min="12" max="23" width="2.88"/>
    <col customWidth="1" min="24" max="24" width="3.0"/>
    <col customWidth="1" min="25" max="25" width="4.75"/>
    <col customWidth="1" min="26" max="33" width="1.88"/>
    <col customWidth="1" min="34" max="34" width="2.88"/>
    <col customWidth="1" min="35" max="35" width="2.75"/>
    <col customWidth="1" min="36" max="40" width="2.88"/>
    <col customWidth="1" min="41" max="41" width="3.0"/>
    <col customWidth="1" min="42" max="42" width="4.63"/>
    <col customWidth="1" min="43" max="50" width="1.88"/>
    <col customWidth="1" min="51" max="51" width="2.88"/>
    <col customWidth="1" min="52" max="52" width="2.75"/>
    <col customWidth="1" min="53" max="65" width="2.88"/>
    <col customWidth="1" min="66" max="97" width="3.0"/>
    <col customWidth="1" min="98" max="98" width="3.88"/>
    <col customWidth="1" min="99" max="99" width="6.13"/>
    <col customWidth="1" min="100" max="100" width="6.0"/>
    <col customWidth="1" min="101" max="103" width="6.13"/>
    <col customWidth="1" min="104" max="106" width="3.0"/>
    <col customWidth="1" min="107" max="107" width="4.63"/>
    <col customWidth="1" min="108" max="112" width="6.13"/>
    <col customWidth="1" min="113" max="115" width="3.0"/>
    <col customWidth="1" min="116" max="116" width="4.5"/>
    <col customWidth="1" min="117" max="118" width="6.13"/>
    <col customWidth="1" min="119" max="119" width="4.5"/>
    <col customWidth="1" min="120" max="121" width="6.13"/>
    <col customWidth="1" min="122" max="126" width="3.0"/>
  </cols>
  <sheetData>
    <row r="1">
      <c r="A1" s="18"/>
      <c r="B1" s="76"/>
      <c r="C1" s="77" t="s">
        <v>165</v>
      </c>
      <c r="X1" s="78"/>
      <c r="Y1" s="79" t="s">
        <v>8</v>
      </c>
      <c r="AO1" s="78"/>
      <c r="AP1" s="80" t="s">
        <v>166</v>
      </c>
      <c r="BN1" s="78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101" t="s">
        <v>165</v>
      </c>
      <c r="CZ1" s="80"/>
      <c r="DA1" s="80"/>
      <c r="DB1" s="80"/>
      <c r="DC1" s="101" t="s">
        <v>8</v>
      </c>
      <c r="DI1" s="80"/>
      <c r="DJ1" s="80"/>
      <c r="DK1" s="80"/>
      <c r="DL1" s="101" t="s">
        <v>166</v>
      </c>
      <c r="DR1" s="80"/>
      <c r="DS1" s="80"/>
      <c r="DT1" s="80"/>
      <c r="DU1" s="80"/>
      <c r="DV1" s="80"/>
    </row>
    <row r="2">
      <c r="A2" s="81" t="s">
        <v>167</v>
      </c>
      <c r="B2" s="82" t="s">
        <v>168</v>
      </c>
      <c r="C2" s="83">
        <v>3.0</v>
      </c>
      <c r="D2" s="83">
        <v>4.0</v>
      </c>
      <c r="E2" s="83">
        <v>5.0</v>
      </c>
      <c r="F2" s="83">
        <v>6.0</v>
      </c>
      <c r="G2" s="83">
        <v>7.0</v>
      </c>
      <c r="H2" s="83">
        <v>8.0</v>
      </c>
      <c r="I2" s="83">
        <v>9.0</v>
      </c>
      <c r="J2" s="83">
        <v>10.0</v>
      </c>
      <c r="K2" s="83">
        <v>11.0</v>
      </c>
      <c r="L2" s="83">
        <v>12.0</v>
      </c>
      <c r="M2" s="83">
        <v>13.0</v>
      </c>
      <c r="N2" s="83">
        <v>14.0</v>
      </c>
      <c r="O2" s="83">
        <v>15.0</v>
      </c>
      <c r="P2" s="83">
        <v>16.0</v>
      </c>
      <c r="Q2" s="83">
        <v>17.0</v>
      </c>
      <c r="R2" s="83">
        <v>18.0</v>
      </c>
      <c r="S2" s="83">
        <v>19.0</v>
      </c>
      <c r="T2" s="83">
        <v>20.0</v>
      </c>
      <c r="U2" s="83">
        <v>21.0</v>
      </c>
      <c r="V2" s="83">
        <v>22.0</v>
      </c>
      <c r="W2" s="83">
        <v>23.0</v>
      </c>
      <c r="X2" s="84">
        <v>24.0</v>
      </c>
      <c r="Y2" s="83">
        <v>1.0</v>
      </c>
      <c r="Z2" s="83">
        <v>2.0</v>
      </c>
      <c r="AA2" s="83">
        <v>3.0</v>
      </c>
      <c r="AB2" s="83">
        <v>4.0</v>
      </c>
      <c r="AC2" s="83">
        <v>5.0</v>
      </c>
      <c r="AD2" s="83">
        <v>6.0</v>
      </c>
      <c r="AE2" s="83">
        <v>7.0</v>
      </c>
      <c r="AF2" s="83">
        <v>8.0</v>
      </c>
      <c r="AG2" s="83">
        <v>9.0</v>
      </c>
      <c r="AH2" s="83">
        <v>10.0</v>
      </c>
      <c r="AI2" s="83">
        <v>11.0</v>
      </c>
      <c r="AJ2" s="83">
        <v>13.0</v>
      </c>
      <c r="AK2" s="83">
        <v>14.0</v>
      </c>
      <c r="AL2" s="83">
        <v>15.0</v>
      </c>
      <c r="AM2" s="83">
        <v>16.0</v>
      </c>
      <c r="AN2" s="83">
        <v>17.0</v>
      </c>
      <c r="AO2" s="84">
        <v>18.0</v>
      </c>
      <c r="AP2" s="83">
        <v>1.0</v>
      </c>
      <c r="AQ2" s="83">
        <v>2.0</v>
      </c>
      <c r="AR2" s="83">
        <v>3.0</v>
      </c>
      <c r="AS2" s="83">
        <v>4.0</v>
      </c>
      <c r="AT2" s="83">
        <v>5.0</v>
      </c>
      <c r="AU2" s="83">
        <v>6.0</v>
      </c>
      <c r="AV2" s="83">
        <v>7.0</v>
      </c>
      <c r="AW2" s="83">
        <v>8.0</v>
      </c>
      <c r="AX2" s="83">
        <v>9.0</v>
      </c>
      <c r="AY2" s="83">
        <v>10.0</v>
      </c>
      <c r="AZ2" s="83">
        <v>11.0</v>
      </c>
      <c r="BA2" s="83">
        <v>12.0</v>
      </c>
      <c r="BB2" s="83">
        <v>13.0</v>
      </c>
      <c r="BC2" s="83">
        <v>14.0</v>
      </c>
      <c r="BD2" s="83">
        <v>15.0</v>
      </c>
      <c r="BE2" s="83">
        <v>16.0</v>
      </c>
      <c r="BF2" s="83">
        <v>17.0</v>
      </c>
      <c r="BG2" s="83">
        <v>18.0</v>
      </c>
      <c r="BH2" s="83">
        <v>19.0</v>
      </c>
      <c r="BI2" s="83">
        <v>20.0</v>
      </c>
      <c r="BJ2" s="83">
        <v>21.0</v>
      </c>
      <c r="BK2" s="83">
        <v>22.0</v>
      </c>
      <c r="BL2" s="83">
        <v>23.0</v>
      </c>
      <c r="BM2" s="83">
        <v>24.0</v>
      </c>
      <c r="BN2" s="84">
        <v>25.0</v>
      </c>
      <c r="BO2" s="83"/>
      <c r="BP2" s="83"/>
      <c r="BQ2" s="83"/>
      <c r="BR2" s="83"/>
      <c r="BS2" s="83"/>
      <c r="BT2" s="83" t="s">
        <v>165</v>
      </c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102" t="s">
        <v>167</v>
      </c>
      <c r="CU2" s="102" t="s">
        <v>169</v>
      </c>
      <c r="CV2" s="102" t="s">
        <v>170</v>
      </c>
      <c r="CW2" s="102" t="s">
        <v>171</v>
      </c>
      <c r="CX2" s="102" t="s">
        <v>172</v>
      </c>
      <c r="CY2" s="102" t="s">
        <v>173</v>
      </c>
      <c r="CZ2" s="103"/>
      <c r="DA2" s="103"/>
      <c r="DB2" s="103"/>
      <c r="DC2" s="102" t="s">
        <v>167</v>
      </c>
      <c r="DD2" s="102" t="s">
        <v>169</v>
      </c>
      <c r="DE2" s="102" t="s">
        <v>170</v>
      </c>
      <c r="DF2" s="102" t="s">
        <v>171</v>
      </c>
      <c r="DG2" s="102" t="s">
        <v>172</v>
      </c>
      <c r="DH2" s="102" t="s">
        <v>173</v>
      </c>
      <c r="DI2" s="103"/>
      <c r="DJ2" s="103"/>
      <c r="DK2" s="103"/>
      <c r="DL2" s="102" t="s">
        <v>167</v>
      </c>
      <c r="DM2" s="102" t="s">
        <v>169</v>
      </c>
      <c r="DN2" s="102" t="s">
        <v>170</v>
      </c>
      <c r="DO2" s="102" t="s">
        <v>171</v>
      </c>
      <c r="DP2" s="102" t="s">
        <v>172</v>
      </c>
      <c r="DQ2" s="102" t="s">
        <v>173</v>
      </c>
      <c r="DR2" s="83"/>
      <c r="DS2" s="83"/>
      <c r="DT2" s="83"/>
      <c r="DU2" s="83"/>
      <c r="DV2" s="83"/>
    </row>
    <row r="3">
      <c r="A3" s="20" t="s">
        <v>67</v>
      </c>
      <c r="B3" s="85">
        <f t="shared" ref="B3:B8" si="1">sum(C3:BN3)</f>
        <v>12</v>
      </c>
      <c r="N3" s="42">
        <v>1.0</v>
      </c>
      <c r="P3" s="42">
        <v>1.0</v>
      </c>
      <c r="X3" s="86"/>
      <c r="AB3" s="42">
        <v>1.0</v>
      </c>
      <c r="AO3" s="86"/>
      <c r="AP3" s="42">
        <v>1.0</v>
      </c>
      <c r="AQ3" s="42">
        <v>1.0</v>
      </c>
      <c r="AT3" s="42">
        <v>1.0</v>
      </c>
      <c r="AU3" s="42">
        <v>1.0</v>
      </c>
      <c r="AX3" s="42">
        <v>1.0</v>
      </c>
      <c r="BA3" s="42">
        <v>1.0</v>
      </c>
      <c r="BE3" s="42">
        <v>1.0</v>
      </c>
      <c r="BI3" s="42">
        <v>1.0</v>
      </c>
      <c r="BJ3" s="42">
        <v>1.0</v>
      </c>
      <c r="BN3" s="86"/>
      <c r="BS3" s="104" t="s">
        <v>167</v>
      </c>
      <c r="BT3" s="105">
        <v>3.0</v>
      </c>
      <c r="BU3" s="105">
        <v>4.0</v>
      </c>
      <c r="BV3" s="105">
        <v>5.0</v>
      </c>
      <c r="BW3" s="105">
        <v>6.0</v>
      </c>
      <c r="BX3" s="105">
        <v>7.0</v>
      </c>
      <c r="BY3" s="105">
        <v>8.0</v>
      </c>
      <c r="BZ3" s="105">
        <v>9.0</v>
      </c>
      <c r="CA3" s="105">
        <v>10.0</v>
      </c>
      <c r="CB3" s="105">
        <v>11.0</v>
      </c>
      <c r="CC3" s="105">
        <v>12.0</v>
      </c>
      <c r="CD3" s="105">
        <v>13.0</v>
      </c>
      <c r="CE3" s="105">
        <v>14.0</v>
      </c>
      <c r="CF3" s="105">
        <v>15.0</v>
      </c>
      <c r="CG3" s="105">
        <v>16.0</v>
      </c>
      <c r="CH3" s="105">
        <v>17.0</v>
      </c>
      <c r="CI3" s="105">
        <v>18.0</v>
      </c>
      <c r="CJ3" s="105">
        <v>19.0</v>
      </c>
      <c r="CK3" s="105">
        <v>20.0</v>
      </c>
      <c r="CL3" s="105">
        <v>21.0</v>
      </c>
      <c r="CM3" s="105">
        <v>22.0</v>
      </c>
      <c r="CN3" s="105">
        <v>23.0</v>
      </c>
      <c r="CO3" s="105">
        <v>24.0</v>
      </c>
      <c r="CT3" s="105">
        <v>3.0</v>
      </c>
      <c r="CU3" s="106">
        <v>0.0</v>
      </c>
      <c r="CV3" s="107">
        <v>1.0</v>
      </c>
      <c r="CW3" s="107">
        <v>0.0</v>
      </c>
      <c r="CX3" s="107">
        <v>0.0</v>
      </c>
      <c r="CY3" s="107">
        <v>0.0</v>
      </c>
      <c r="DC3" s="105">
        <v>1.0</v>
      </c>
      <c r="DD3" s="106">
        <v>1.0</v>
      </c>
      <c r="DE3" s="107">
        <v>0.0</v>
      </c>
      <c r="DF3" s="107">
        <v>0.0</v>
      </c>
      <c r="DG3" s="107">
        <v>0.0</v>
      </c>
      <c r="DH3" s="107">
        <v>0.0</v>
      </c>
      <c r="DL3" s="107">
        <v>1.0</v>
      </c>
      <c r="DM3" s="108">
        <v>1.0</v>
      </c>
      <c r="DN3" s="107">
        <v>0.0</v>
      </c>
      <c r="DO3" s="107">
        <v>0.0</v>
      </c>
      <c r="DP3" s="107">
        <v>0.0</v>
      </c>
      <c r="DQ3" s="107">
        <v>0.0</v>
      </c>
      <c r="DR3" s="88">
        <f>sum(DM3:DQ3)</f>
        <v>1</v>
      </c>
    </row>
    <row r="4">
      <c r="A4" s="20" t="s">
        <v>70</v>
      </c>
      <c r="B4" s="85">
        <f t="shared" si="1"/>
        <v>16</v>
      </c>
      <c r="S4" s="42">
        <v>1.0</v>
      </c>
      <c r="V4" s="42">
        <v>1.0</v>
      </c>
      <c r="X4" s="87">
        <v>1.0</v>
      </c>
      <c r="Y4" s="42">
        <v>1.0</v>
      </c>
      <c r="Z4" s="42">
        <v>1.0</v>
      </c>
      <c r="AC4" s="42">
        <v>1.0</v>
      </c>
      <c r="AO4" s="86"/>
      <c r="AP4" s="42">
        <v>1.0</v>
      </c>
      <c r="AR4" s="42">
        <v>1.0</v>
      </c>
      <c r="AS4" s="42">
        <v>1.0</v>
      </c>
      <c r="AY4" s="42">
        <v>1.0</v>
      </c>
      <c r="AZ4" s="42">
        <v>1.0</v>
      </c>
      <c r="BE4" s="42">
        <v>1.0</v>
      </c>
      <c r="BF4" s="42">
        <v>1.0</v>
      </c>
      <c r="BG4" s="42">
        <v>1.0</v>
      </c>
      <c r="BJ4" s="42">
        <v>1.0</v>
      </c>
      <c r="BK4" s="42">
        <v>1.0</v>
      </c>
      <c r="BN4" s="86"/>
      <c r="BS4" s="104" t="s">
        <v>169</v>
      </c>
      <c r="BT4" s="109">
        <v>0.0</v>
      </c>
      <c r="BU4" s="109">
        <v>0.0</v>
      </c>
      <c r="BV4" s="109">
        <v>0.0</v>
      </c>
      <c r="BW4" s="109">
        <v>1.0</v>
      </c>
      <c r="BX4" s="109">
        <v>0.0</v>
      </c>
      <c r="BY4" s="109">
        <v>0.0</v>
      </c>
      <c r="BZ4" s="109">
        <v>0.0</v>
      </c>
      <c r="CA4" s="109">
        <v>0.0</v>
      </c>
      <c r="CB4" s="109">
        <v>0.0</v>
      </c>
      <c r="CC4" s="109">
        <v>0.0</v>
      </c>
      <c r="CD4" s="109">
        <v>0.0</v>
      </c>
      <c r="CE4" s="109">
        <v>1.0</v>
      </c>
      <c r="CF4" s="109">
        <v>0.0</v>
      </c>
      <c r="CG4" s="109">
        <v>1.0</v>
      </c>
      <c r="CH4" s="109">
        <v>0.0</v>
      </c>
      <c r="CI4" s="109">
        <v>0.0</v>
      </c>
      <c r="CJ4" s="109">
        <v>1.0</v>
      </c>
      <c r="CK4" s="109">
        <v>0.0</v>
      </c>
      <c r="CL4" s="109">
        <v>0.0</v>
      </c>
      <c r="CM4" s="109">
        <v>1.0</v>
      </c>
      <c r="CN4" s="109">
        <v>0.0</v>
      </c>
      <c r="CO4" s="109">
        <v>1.0</v>
      </c>
      <c r="CP4" s="88">
        <f t="shared" ref="CP4:CP8" si="2">SUM(BT4:CO4)</f>
        <v>6</v>
      </c>
      <c r="CT4" s="105">
        <v>4.0</v>
      </c>
      <c r="CU4" s="106">
        <v>0.0</v>
      </c>
      <c r="CV4" s="107">
        <v>0.0</v>
      </c>
      <c r="CW4" s="107">
        <v>1.0</v>
      </c>
      <c r="CX4" s="107">
        <v>0.0</v>
      </c>
      <c r="CY4" s="107">
        <v>0.0</v>
      </c>
      <c r="DC4" s="105">
        <v>2.0</v>
      </c>
      <c r="DD4" s="106">
        <v>1.0</v>
      </c>
      <c r="DE4" s="107">
        <v>0.0</v>
      </c>
      <c r="DF4" s="107">
        <v>0.0</v>
      </c>
      <c r="DG4" s="107">
        <v>0.0</v>
      </c>
      <c r="DH4" s="107">
        <v>0.0</v>
      </c>
      <c r="DL4" s="107">
        <v>2.0</v>
      </c>
      <c r="DM4" s="106">
        <v>1.0</v>
      </c>
      <c r="DN4" s="107">
        <v>0.0</v>
      </c>
      <c r="DO4" s="107">
        <v>0.0</v>
      </c>
      <c r="DP4" s="107">
        <v>0.0</v>
      </c>
      <c r="DQ4" s="107">
        <v>0.0</v>
      </c>
    </row>
    <row r="5">
      <c r="A5" s="20" t="s">
        <v>73</v>
      </c>
      <c r="B5" s="85">
        <f t="shared" si="1"/>
        <v>1</v>
      </c>
      <c r="X5" s="86"/>
      <c r="AA5" s="42">
        <v>1.0</v>
      </c>
      <c r="AO5" s="86"/>
      <c r="BN5" s="86"/>
      <c r="BS5" s="104" t="s">
        <v>170</v>
      </c>
      <c r="BT5" s="105">
        <v>1.0</v>
      </c>
      <c r="BU5" s="105">
        <v>0.0</v>
      </c>
      <c r="BV5" s="105">
        <v>0.0</v>
      </c>
      <c r="BW5" s="105">
        <v>0.0</v>
      </c>
      <c r="BX5" s="105">
        <v>0.0</v>
      </c>
      <c r="BY5" s="105">
        <v>1.0</v>
      </c>
      <c r="BZ5" s="105">
        <v>0.0</v>
      </c>
      <c r="CA5" s="105">
        <v>0.0</v>
      </c>
      <c r="CB5" s="105">
        <v>0.0</v>
      </c>
      <c r="CC5" s="105">
        <v>0.0</v>
      </c>
      <c r="CD5" s="105">
        <v>0.0</v>
      </c>
      <c r="CE5" s="105">
        <v>0.0</v>
      </c>
      <c r="CF5" s="105">
        <v>0.0</v>
      </c>
      <c r="CG5" s="105">
        <v>0.0</v>
      </c>
      <c r="CH5" s="105">
        <v>0.0</v>
      </c>
      <c r="CI5" s="105">
        <v>0.0</v>
      </c>
      <c r="CJ5" s="105">
        <v>0.0</v>
      </c>
      <c r="CK5" s="105">
        <v>1.0</v>
      </c>
      <c r="CL5" s="105">
        <v>0.0</v>
      </c>
      <c r="CM5" s="105">
        <v>0.0</v>
      </c>
      <c r="CN5" s="105">
        <v>0.0</v>
      </c>
      <c r="CO5" s="105">
        <v>0.0</v>
      </c>
      <c r="CP5" s="88">
        <f t="shared" si="2"/>
        <v>3</v>
      </c>
      <c r="CT5" s="105">
        <v>5.0</v>
      </c>
      <c r="CU5" s="106">
        <v>0.0</v>
      </c>
      <c r="CV5" s="107">
        <v>0.0</v>
      </c>
      <c r="CW5" s="107">
        <v>1.0</v>
      </c>
      <c r="CX5" s="107">
        <v>0.0</v>
      </c>
      <c r="CY5" s="107">
        <v>0.0</v>
      </c>
      <c r="DC5" s="105">
        <v>3.0</v>
      </c>
      <c r="DD5" s="106">
        <v>1.0</v>
      </c>
      <c r="DE5" s="107">
        <v>0.0</v>
      </c>
      <c r="DF5" s="107">
        <v>0.0</v>
      </c>
      <c r="DG5" s="107">
        <v>0.0</v>
      </c>
      <c r="DH5" s="107">
        <v>0.0</v>
      </c>
      <c r="DL5" s="107">
        <v>3.0</v>
      </c>
      <c r="DM5" s="106">
        <v>1.0</v>
      </c>
      <c r="DN5" s="107">
        <v>0.0</v>
      </c>
      <c r="DO5" s="107">
        <v>0.0</v>
      </c>
      <c r="DP5" s="107">
        <v>0.0</v>
      </c>
      <c r="DQ5" s="107">
        <v>0.0</v>
      </c>
    </row>
    <row r="6">
      <c r="A6" s="20" t="s">
        <v>76</v>
      </c>
      <c r="B6" s="85">
        <f t="shared" si="1"/>
        <v>4</v>
      </c>
      <c r="X6" s="86"/>
      <c r="AO6" s="86"/>
      <c r="AY6" s="42">
        <v>1.0</v>
      </c>
      <c r="BB6" s="42">
        <v>1.0</v>
      </c>
      <c r="BC6" s="42">
        <v>1.0</v>
      </c>
      <c r="BL6" s="42">
        <v>1.0</v>
      </c>
      <c r="BN6" s="86"/>
      <c r="BS6" s="104" t="s">
        <v>171</v>
      </c>
      <c r="BT6" s="105">
        <v>0.0</v>
      </c>
      <c r="BU6" s="105">
        <v>1.0</v>
      </c>
      <c r="BV6" s="105">
        <v>1.0</v>
      </c>
      <c r="BW6" s="105">
        <v>0.0</v>
      </c>
      <c r="BX6" s="105">
        <v>1.0</v>
      </c>
      <c r="BY6" s="105">
        <v>0.0</v>
      </c>
      <c r="BZ6" s="105">
        <v>1.0</v>
      </c>
      <c r="CA6" s="105">
        <v>0.0</v>
      </c>
      <c r="CB6" s="105">
        <v>0.0</v>
      </c>
      <c r="CC6" s="105">
        <v>0.0</v>
      </c>
      <c r="CD6" s="105">
        <v>0.0</v>
      </c>
      <c r="CE6" s="105">
        <v>0.0</v>
      </c>
      <c r="CF6" s="105">
        <v>0.0</v>
      </c>
      <c r="CG6" s="105">
        <v>0.0</v>
      </c>
      <c r="CH6" s="105">
        <v>1.0</v>
      </c>
      <c r="CI6" s="105">
        <v>0.0</v>
      </c>
      <c r="CJ6" s="105">
        <v>0.0</v>
      </c>
      <c r="CK6" s="105">
        <v>0.0</v>
      </c>
      <c r="CL6" s="105">
        <v>1.0</v>
      </c>
      <c r="CM6" s="105">
        <v>0.0</v>
      </c>
      <c r="CN6" s="105">
        <v>0.0</v>
      </c>
      <c r="CO6" s="105">
        <v>0.0</v>
      </c>
      <c r="CP6" s="88">
        <f t="shared" si="2"/>
        <v>6</v>
      </c>
      <c r="CT6" s="105">
        <v>6.0</v>
      </c>
      <c r="CU6" s="106">
        <v>1.0</v>
      </c>
      <c r="CV6" s="107">
        <v>0.0</v>
      </c>
      <c r="CW6" s="107">
        <v>0.0</v>
      </c>
      <c r="CX6" s="107">
        <v>0.0</v>
      </c>
      <c r="CY6" s="107">
        <v>0.0</v>
      </c>
      <c r="DC6" s="105">
        <v>4.0</v>
      </c>
      <c r="DD6" s="106">
        <v>1.0</v>
      </c>
      <c r="DE6" s="107">
        <v>0.0</v>
      </c>
      <c r="DF6" s="107">
        <v>0.0</v>
      </c>
      <c r="DG6" s="107">
        <v>0.0</v>
      </c>
      <c r="DH6" s="107">
        <v>0.0</v>
      </c>
      <c r="DL6" s="107">
        <v>4.0</v>
      </c>
      <c r="DM6" s="106">
        <v>1.0</v>
      </c>
      <c r="DN6" s="107">
        <v>0.0</v>
      </c>
      <c r="DO6" s="107">
        <v>0.0</v>
      </c>
      <c r="DP6" s="107">
        <v>0.0</v>
      </c>
      <c r="DQ6" s="107">
        <v>0.0</v>
      </c>
    </row>
    <row r="7">
      <c r="A7" s="20" t="s">
        <v>79</v>
      </c>
      <c r="B7" s="88">
        <f t="shared" si="1"/>
        <v>5</v>
      </c>
      <c r="F7" s="42">
        <v>1.0</v>
      </c>
      <c r="X7" s="86"/>
      <c r="AD7" s="89">
        <v>1.0</v>
      </c>
      <c r="AE7" s="42">
        <v>1.0</v>
      </c>
      <c r="AV7" s="42">
        <v>1.0</v>
      </c>
      <c r="BC7" s="42">
        <v>1.0</v>
      </c>
      <c r="BN7" s="86"/>
      <c r="BS7" s="104" t="s">
        <v>172</v>
      </c>
      <c r="BT7" s="105">
        <v>0.0</v>
      </c>
      <c r="BU7" s="105">
        <v>0.0</v>
      </c>
      <c r="BV7" s="105">
        <v>0.0</v>
      </c>
      <c r="BW7" s="105">
        <v>0.0</v>
      </c>
      <c r="BX7" s="105">
        <v>0.0</v>
      </c>
      <c r="BY7" s="105">
        <v>0.0</v>
      </c>
      <c r="BZ7" s="105">
        <v>0.0</v>
      </c>
      <c r="CA7" s="105">
        <v>1.0</v>
      </c>
      <c r="CB7" s="105">
        <v>1.0</v>
      </c>
      <c r="CC7" s="105">
        <v>1.0</v>
      </c>
      <c r="CD7" s="105">
        <v>1.0</v>
      </c>
      <c r="CE7" s="105">
        <v>0.0</v>
      </c>
      <c r="CF7" s="105">
        <v>1.0</v>
      </c>
      <c r="CG7" s="105">
        <v>0.0</v>
      </c>
      <c r="CH7" s="105">
        <v>0.0</v>
      </c>
      <c r="CI7" s="105">
        <v>0.0</v>
      </c>
      <c r="CJ7" s="105">
        <v>0.0</v>
      </c>
      <c r="CK7" s="105">
        <v>0.0</v>
      </c>
      <c r="CL7" s="105">
        <v>0.0</v>
      </c>
      <c r="CM7" s="105">
        <v>0.0</v>
      </c>
      <c r="CN7" s="105">
        <v>1.0</v>
      </c>
      <c r="CO7" s="105">
        <v>0.0</v>
      </c>
      <c r="CP7" s="88">
        <f t="shared" si="2"/>
        <v>6</v>
      </c>
      <c r="CT7" s="105">
        <v>7.0</v>
      </c>
      <c r="CU7" s="106">
        <v>0.0</v>
      </c>
      <c r="CV7" s="107">
        <v>0.0</v>
      </c>
      <c r="CW7" s="107">
        <v>1.0</v>
      </c>
      <c r="CX7" s="107">
        <v>0.0</v>
      </c>
      <c r="CY7" s="107">
        <v>0.0</v>
      </c>
      <c r="DC7" s="105">
        <v>5.0</v>
      </c>
      <c r="DD7" s="106">
        <v>1.0</v>
      </c>
      <c r="DE7" s="107">
        <v>0.0</v>
      </c>
      <c r="DF7" s="107">
        <v>0.0</v>
      </c>
      <c r="DG7" s="107">
        <v>0.0</v>
      </c>
      <c r="DH7" s="107">
        <v>0.0</v>
      </c>
      <c r="DL7" s="107">
        <v>5.0</v>
      </c>
      <c r="DM7" s="106">
        <v>1.0</v>
      </c>
      <c r="DN7" s="107">
        <v>0.0</v>
      </c>
      <c r="DO7" s="107">
        <v>0.0</v>
      </c>
      <c r="DP7" s="107">
        <v>0.0</v>
      </c>
      <c r="DQ7" s="107">
        <v>0.0</v>
      </c>
    </row>
    <row r="8">
      <c r="A8" s="90" t="s">
        <v>82</v>
      </c>
      <c r="B8" s="91">
        <f t="shared" si="1"/>
        <v>0</v>
      </c>
      <c r="C8" s="91"/>
      <c r="D8" s="91"/>
      <c r="E8" s="91"/>
      <c r="F8" s="92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3"/>
      <c r="Y8" s="91"/>
      <c r="Z8" s="91"/>
      <c r="AA8" s="91"/>
      <c r="AB8" s="91"/>
      <c r="AC8" s="91"/>
      <c r="AD8" s="94"/>
      <c r="AE8" s="92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2"/>
      <c r="AW8" s="91"/>
      <c r="AX8" s="91"/>
      <c r="AY8" s="91"/>
      <c r="AZ8" s="91"/>
      <c r="BA8" s="91"/>
      <c r="BB8" s="91"/>
      <c r="BC8" s="92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3"/>
      <c r="BS8" s="104" t="s">
        <v>173</v>
      </c>
      <c r="BT8" s="105">
        <v>0.0</v>
      </c>
      <c r="BU8" s="105">
        <v>0.0</v>
      </c>
      <c r="BV8" s="105">
        <v>0.0</v>
      </c>
      <c r="BW8" s="105">
        <v>0.0</v>
      </c>
      <c r="BX8" s="105">
        <v>0.0</v>
      </c>
      <c r="BY8" s="105">
        <v>0.0</v>
      </c>
      <c r="BZ8" s="105">
        <v>0.0</v>
      </c>
      <c r="CA8" s="105">
        <v>0.0</v>
      </c>
      <c r="CB8" s="105">
        <v>0.0</v>
      </c>
      <c r="CC8" s="105">
        <v>0.0</v>
      </c>
      <c r="CD8" s="105">
        <v>0.0</v>
      </c>
      <c r="CE8" s="105">
        <v>0.0</v>
      </c>
      <c r="CF8" s="105">
        <v>0.0</v>
      </c>
      <c r="CG8" s="105">
        <v>0.0</v>
      </c>
      <c r="CH8" s="105">
        <v>0.0</v>
      </c>
      <c r="CI8" s="105">
        <v>1.0</v>
      </c>
      <c r="CJ8" s="105">
        <v>0.0</v>
      </c>
      <c r="CK8" s="105">
        <v>0.0</v>
      </c>
      <c r="CL8" s="105">
        <v>0.0</v>
      </c>
      <c r="CM8" s="105">
        <v>0.0</v>
      </c>
      <c r="CN8" s="105">
        <v>0.0</v>
      </c>
      <c r="CO8" s="105">
        <v>0.0</v>
      </c>
      <c r="CP8" s="88">
        <f t="shared" si="2"/>
        <v>1</v>
      </c>
      <c r="CT8" s="105">
        <v>8.0</v>
      </c>
      <c r="CU8" s="106">
        <v>0.0</v>
      </c>
      <c r="CV8" s="107">
        <v>1.0</v>
      </c>
      <c r="CW8" s="107">
        <v>0.0</v>
      </c>
      <c r="CX8" s="107">
        <v>0.0</v>
      </c>
      <c r="CY8" s="107">
        <v>0.0</v>
      </c>
      <c r="DC8" s="105">
        <v>6.0</v>
      </c>
      <c r="DD8" s="106">
        <v>1.0</v>
      </c>
      <c r="DE8" s="107">
        <v>0.0</v>
      </c>
      <c r="DF8" s="107">
        <v>0.0</v>
      </c>
      <c r="DG8" s="107">
        <v>1.0</v>
      </c>
      <c r="DH8" s="107">
        <v>0.0</v>
      </c>
      <c r="DL8" s="107">
        <v>6.0</v>
      </c>
      <c r="DM8" s="106">
        <v>1.0</v>
      </c>
      <c r="DN8" s="107">
        <v>0.0</v>
      </c>
      <c r="DO8" s="107">
        <v>0.0</v>
      </c>
      <c r="DP8" s="107">
        <v>0.0</v>
      </c>
      <c r="DQ8" s="107">
        <v>0.0</v>
      </c>
    </row>
    <row r="9">
      <c r="C9" s="57">
        <f t="shared" ref="C9:BN9" si="3">sum(C3:C8)</f>
        <v>0</v>
      </c>
      <c r="D9" s="57">
        <f t="shared" si="3"/>
        <v>0</v>
      </c>
      <c r="E9" s="57">
        <f t="shared" si="3"/>
        <v>0</v>
      </c>
      <c r="F9" s="57">
        <f t="shared" si="3"/>
        <v>1</v>
      </c>
      <c r="G9" s="57">
        <f t="shared" si="3"/>
        <v>0</v>
      </c>
      <c r="H9" s="57">
        <f t="shared" si="3"/>
        <v>0</v>
      </c>
      <c r="I9" s="57">
        <f t="shared" si="3"/>
        <v>0</v>
      </c>
      <c r="J9" s="57">
        <f t="shared" si="3"/>
        <v>0</v>
      </c>
      <c r="K9" s="57">
        <f t="shared" si="3"/>
        <v>0</v>
      </c>
      <c r="L9" s="57">
        <f t="shared" si="3"/>
        <v>0</v>
      </c>
      <c r="M9" s="57">
        <f t="shared" si="3"/>
        <v>0</v>
      </c>
      <c r="N9" s="57">
        <f t="shared" si="3"/>
        <v>1</v>
      </c>
      <c r="O9" s="57">
        <f t="shared" si="3"/>
        <v>0</v>
      </c>
      <c r="P9" s="57">
        <f t="shared" si="3"/>
        <v>1</v>
      </c>
      <c r="Q9" s="57">
        <f t="shared" si="3"/>
        <v>0</v>
      </c>
      <c r="R9" s="57">
        <f t="shared" si="3"/>
        <v>0</v>
      </c>
      <c r="S9" s="57">
        <f t="shared" si="3"/>
        <v>1</v>
      </c>
      <c r="T9" s="57">
        <f t="shared" si="3"/>
        <v>0</v>
      </c>
      <c r="U9" s="57">
        <f t="shared" si="3"/>
        <v>0</v>
      </c>
      <c r="V9" s="57">
        <f t="shared" si="3"/>
        <v>1</v>
      </c>
      <c r="W9" s="57">
        <f t="shared" si="3"/>
        <v>0</v>
      </c>
      <c r="X9" s="57">
        <f t="shared" si="3"/>
        <v>1</v>
      </c>
      <c r="Y9" s="57">
        <f t="shared" si="3"/>
        <v>1</v>
      </c>
      <c r="Z9" s="57">
        <f t="shared" si="3"/>
        <v>1</v>
      </c>
      <c r="AA9" s="57">
        <f t="shared" si="3"/>
        <v>1</v>
      </c>
      <c r="AB9" s="57">
        <f t="shared" si="3"/>
        <v>1</v>
      </c>
      <c r="AC9" s="57">
        <f t="shared" si="3"/>
        <v>1</v>
      </c>
      <c r="AD9" s="57">
        <f t="shared" si="3"/>
        <v>1</v>
      </c>
      <c r="AE9" s="57">
        <f t="shared" si="3"/>
        <v>1</v>
      </c>
      <c r="AF9" s="57">
        <f t="shared" si="3"/>
        <v>0</v>
      </c>
      <c r="AG9" s="57">
        <f t="shared" si="3"/>
        <v>0</v>
      </c>
      <c r="AH9" s="57">
        <f t="shared" si="3"/>
        <v>0</v>
      </c>
      <c r="AI9" s="57">
        <f t="shared" si="3"/>
        <v>0</v>
      </c>
      <c r="AJ9" s="57">
        <f t="shared" si="3"/>
        <v>0</v>
      </c>
      <c r="AK9" s="57">
        <f t="shared" si="3"/>
        <v>0</v>
      </c>
      <c r="AL9" s="57">
        <f t="shared" si="3"/>
        <v>0</v>
      </c>
      <c r="AM9" s="57">
        <f t="shared" si="3"/>
        <v>0</v>
      </c>
      <c r="AN9" s="57">
        <f t="shared" si="3"/>
        <v>0</v>
      </c>
      <c r="AO9" s="57">
        <f t="shared" si="3"/>
        <v>0</v>
      </c>
      <c r="AP9" s="57">
        <f t="shared" si="3"/>
        <v>2</v>
      </c>
      <c r="AQ9" s="57">
        <f t="shared" si="3"/>
        <v>1</v>
      </c>
      <c r="AR9" s="57">
        <f t="shared" si="3"/>
        <v>1</v>
      </c>
      <c r="AS9" s="57">
        <f t="shared" si="3"/>
        <v>1</v>
      </c>
      <c r="AT9" s="57">
        <f t="shared" si="3"/>
        <v>1</v>
      </c>
      <c r="AU9" s="57">
        <f t="shared" si="3"/>
        <v>1</v>
      </c>
      <c r="AV9" s="57">
        <f t="shared" si="3"/>
        <v>1</v>
      </c>
      <c r="AW9" s="57">
        <f t="shared" si="3"/>
        <v>0</v>
      </c>
      <c r="AX9" s="57">
        <f t="shared" si="3"/>
        <v>1</v>
      </c>
      <c r="AY9" s="57">
        <f t="shared" si="3"/>
        <v>2</v>
      </c>
      <c r="AZ9" s="57">
        <f t="shared" si="3"/>
        <v>1</v>
      </c>
      <c r="BA9" s="57">
        <f t="shared" si="3"/>
        <v>1</v>
      </c>
      <c r="BB9" s="57">
        <f t="shared" si="3"/>
        <v>1</v>
      </c>
      <c r="BC9" s="57">
        <f t="shared" si="3"/>
        <v>2</v>
      </c>
      <c r="BD9" s="57">
        <f t="shared" si="3"/>
        <v>0</v>
      </c>
      <c r="BE9" s="57">
        <f t="shared" si="3"/>
        <v>2</v>
      </c>
      <c r="BF9" s="57">
        <f t="shared" si="3"/>
        <v>1</v>
      </c>
      <c r="BG9" s="57">
        <f t="shared" si="3"/>
        <v>1</v>
      </c>
      <c r="BH9" s="57">
        <f t="shared" si="3"/>
        <v>0</v>
      </c>
      <c r="BI9" s="57">
        <f t="shared" si="3"/>
        <v>1</v>
      </c>
      <c r="BJ9" s="57">
        <f t="shared" si="3"/>
        <v>2</v>
      </c>
      <c r="BK9" s="57">
        <f t="shared" si="3"/>
        <v>1</v>
      </c>
      <c r="BL9" s="57">
        <f t="shared" si="3"/>
        <v>1</v>
      </c>
      <c r="BM9" s="57">
        <f t="shared" si="3"/>
        <v>0</v>
      </c>
      <c r="BN9" s="57">
        <f t="shared" si="3"/>
        <v>0</v>
      </c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105">
        <v>9.0</v>
      </c>
      <c r="CU9" s="106">
        <v>0.0</v>
      </c>
      <c r="CV9" s="107">
        <v>0.0</v>
      </c>
      <c r="CW9" s="107">
        <v>1.0</v>
      </c>
      <c r="CX9" s="107">
        <v>0.0</v>
      </c>
      <c r="CY9" s="107">
        <v>0.0</v>
      </c>
      <c r="DB9" s="57"/>
      <c r="DC9" s="105">
        <v>7.0</v>
      </c>
      <c r="DD9" s="106">
        <v>1.0</v>
      </c>
      <c r="DE9" s="107">
        <v>0.0</v>
      </c>
      <c r="DF9" s="107">
        <v>0.0</v>
      </c>
      <c r="DG9" s="107">
        <v>0.0</v>
      </c>
      <c r="DH9" s="107">
        <v>0.0</v>
      </c>
      <c r="DI9" s="57"/>
      <c r="DJ9" s="57"/>
      <c r="DK9" s="57"/>
      <c r="DL9" s="107">
        <v>7.0</v>
      </c>
      <c r="DM9" s="106">
        <v>1.0</v>
      </c>
      <c r="DN9" s="107">
        <v>0.0</v>
      </c>
      <c r="DO9" s="107">
        <v>0.0</v>
      </c>
      <c r="DP9" s="107">
        <v>0.0</v>
      </c>
      <c r="DQ9" s="107">
        <v>0.0</v>
      </c>
      <c r="DR9" s="57"/>
      <c r="DS9" s="57"/>
      <c r="DT9" s="57"/>
      <c r="DU9" s="57"/>
      <c r="DV9" s="57"/>
    </row>
    <row r="10">
      <c r="A10" s="27" t="s">
        <v>88</v>
      </c>
      <c r="B10" s="85">
        <f t="shared" ref="B10:B12" si="4">sum(C10:BN10)</f>
        <v>9</v>
      </c>
      <c r="C10" s="42">
        <v>1.0</v>
      </c>
      <c r="H10" s="42">
        <v>1.0</v>
      </c>
      <c r="T10" s="42">
        <v>1.0</v>
      </c>
      <c r="X10" s="86"/>
      <c r="AF10" s="42">
        <v>1.0</v>
      </c>
      <c r="AG10" s="42">
        <v>1.0</v>
      </c>
      <c r="AH10" s="42">
        <v>1.0</v>
      </c>
      <c r="AI10" s="42">
        <v>1.0</v>
      </c>
      <c r="AO10" s="86"/>
      <c r="AZ10" s="42">
        <v>1.0</v>
      </c>
      <c r="BM10" s="42">
        <v>1.0</v>
      </c>
      <c r="BN10" s="86"/>
      <c r="BS10" s="83"/>
      <c r="BT10" s="110" t="s">
        <v>8</v>
      </c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T10" s="105">
        <v>10.0</v>
      </c>
      <c r="CU10" s="106">
        <v>0.0</v>
      </c>
      <c r="CV10" s="107">
        <v>0.0</v>
      </c>
      <c r="CW10" s="107">
        <v>0.0</v>
      </c>
      <c r="CX10" s="107">
        <v>1.0</v>
      </c>
      <c r="CY10" s="107">
        <v>0.0</v>
      </c>
      <c r="DC10" s="105">
        <v>8.0</v>
      </c>
      <c r="DD10" s="106">
        <v>0.0</v>
      </c>
      <c r="DE10" s="107">
        <v>1.0</v>
      </c>
      <c r="DF10" s="107">
        <v>0.0</v>
      </c>
      <c r="DG10" s="107">
        <v>0.0</v>
      </c>
      <c r="DH10" s="107">
        <v>0.0</v>
      </c>
      <c r="DL10" s="107">
        <v>8.0</v>
      </c>
      <c r="DM10" s="106">
        <v>0.0</v>
      </c>
      <c r="DN10" s="107">
        <v>0.0</v>
      </c>
      <c r="DO10" s="107">
        <v>0.0</v>
      </c>
      <c r="DP10" s="107">
        <v>0.0</v>
      </c>
      <c r="DQ10" s="107">
        <v>1.0</v>
      </c>
    </row>
    <row r="11">
      <c r="A11" s="27" t="s">
        <v>91</v>
      </c>
      <c r="B11" s="85">
        <f t="shared" si="4"/>
        <v>1</v>
      </c>
      <c r="X11" s="86"/>
      <c r="AO11" s="86"/>
      <c r="BN11" s="87">
        <v>1.0</v>
      </c>
      <c r="BO11" s="42"/>
      <c r="BP11" s="42"/>
      <c r="BQ11" s="42"/>
      <c r="BR11" s="42"/>
      <c r="BS11" s="104" t="s">
        <v>167</v>
      </c>
      <c r="BT11" s="105">
        <v>1.0</v>
      </c>
      <c r="BU11" s="105">
        <v>2.0</v>
      </c>
      <c r="BV11" s="105">
        <v>3.0</v>
      </c>
      <c r="BW11" s="105">
        <v>4.0</v>
      </c>
      <c r="BX11" s="105">
        <v>5.0</v>
      </c>
      <c r="BY11" s="105">
        <v>6.0</v>
      </c>
      <c r="BZ11" s="105">
        <v>7.0</v>
      </c>
      <c r="CA11" s="105">
        <v>8.0</v>
      </c>
      <c r="CB11" s="105">
        <v>9.0</v>
      </c>
      <c r="CC11" s="105">
        <v>10.0</v>
      </c>
      <c r="CD11" s="105">
        <v>11.0</v>
      </c>
      <c r="CE11" s="105">
        <v>13.0</v>
      </c>
      <c r="CF11" s="105">
        <v>14.0</v>
      </c>
      <c r="CG11" s="105">
        <v>15.0</v>
      </c>
      <c r="CH11" s="105">
        <v>16.0</v>
      </c>
      <c r="CI11" s="105">
        <v>17.0</v>
      </c>
      <c r="CJ11" s="105">
        <v>18.0</v>
      </c>
      <c r="CP11" s="42"/>
      <c r="CQ11" s="42"/>
      <c r="CR11" s="42"/>
      <c r="CS11" s="42"/>
      <c r="CT11" s="105">
        <v>11.0</v>
      </c>
      <c r="CU11" s="106">
        <v>0.0</v>
      </c>
      <c r="CV11" s="107">
        <v>0.0</v>
      </c>
      <c r="CW11" s="107">
        <v>0.0</v>
      </c>
      <c r="CX11" s="107">
        <v>1.0</v>
      </c>
      <c r="CY11" s="107">
        <v>0.0</v>
      </c>
      <c r="DB11" s="42"/>
      <c r="DC11" s="105">
        <v>9.0</v>
      </c>
      <c r="DD11" s="106">
        <v>0.0</v>
      </c>
      <c r="DE11" s="107">
        <v>1.0</v>
      </c>
      <c r="DF11" s="107">
        <v>0.0</v>
      </c>
      <c r="DG11" s="107">
        <v>0.0</v>
      </c>
      <c r="DH11" s="107">
        <v>0.0</v>
      </c>
      <c r="DI11" s="42"/>
      <c r="DJ11" s="42"/>
      <c r="DK11" s="42"/>
      <c r="DL11" s="107">
        <v>9.0</v>
      </c>
      <c r="DM11" s="106">
        <v>1.0</v>
      </c>
      <c r="DN11" s="107">
        <v>0.0</v>
      </c>
      <c r="DO11" s="107">
        <v>0.0</v>
      </c>
      <c r="DP11" s="107">
        <v>0.0</v>
      </c>
      <c r="DQ11" s="107">
        <v>0.0</v>
      </c>
      <c r="DR11" s="42"/>
      <c r="DS11" s="42"/>
      <c r="DT11" s="42"/>
      <c r="DU11" s="42"/>
      <c r="DV11" s="42"/>
    </row>
    <row r="12">
      <c r="A12" s="95" t="s">
        <v>94</v>
      </c>
      <c r="B12" s="96">
        <f t="shared" si="4"/>
        <v>0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3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3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3"/>
      <c r="BS12" s="104" t="s">
        <v>169</v>
      </c>
      <c r="BT12" s="109">
        <v>1.0</v>
      </c>
      <c r="BU12" s="109">
        <v>1.0</v>
      </c>
      <c r="BV12" s="109">
        <v>1.0</v>
      </c>
      <c r="BW12" s="109">
        <v>1.0</v>
      </c>
      <c r="BX12" s="109">
        <v>1.0</v>
      </c>
      <c r="BY12" s="109">
        <v>1.0</v>
      </c>
      <c r="BZ12" s="109">
        <v>1.0</v>
      </c>
      <c r="CA12" s="109">
        <v>0.0</v>
      </c>
      <c r="CB12" s="109">
        <v>0.0</v>
      </c>
      <c r="CC12" s="109">
        <v>0.0</v>
      </c>
      <c r="CD12" s="109">
        <v>0.0</v>
      </c>
      <c r="CE12" s="109">
        <v>0.0</v>
      </c>
      <c r="CF12" s="109">
        <v>0.0</v>
      </c>
      <c r="CG12" s="109">
        <v>0.0</v>
      </c>
      <c r="CH12" s="109">
        <v>0.0</v>
      </c>
      <c r="CI12" s="109">
        <v>0.0</v>
      </c>
      <c r="CJ12" s="109">
        <v>0.0</v>
      </c>
      <c r="CK12" s="88">
        <f t="shared" ref="CK12:CK16" si="6">SUM(BT12:CJ12)</f>
        <v>7</v>
      </c>
      <c r="CT12" s="105">
        <v>12.0</v>
      </c>
      <c r="CU12" s="106">
        <v>0.0</v>
      </c>
      <c r="CV12" s="107">
        <v>0.0</v>
      </c>
      <c r="CW12" s="107">
        <v>0.0</v>
      </c>
      <c r="CX12" s="107">
        <v>1.0</v>
      </c>
      <c r="CY12" s="107">
        <v>0.0</v>
      </c>
      <c r="DC12" s="105">
        <v>10.0</v>
      </c>
      <c r="DD12" s="106">
        <v>0.0</v>
      </c>
      <c r="DE12" s="107">
        <v>1.0</v>
      </c>
      <c r="DF12" s="107">
        <v>0.0</v>
      </c>
      <c r="DG12" s="107">
        <v>0.0</v>
      </c>
      <c r="DH12" s="107">
        <v>0.0</v>
      </c>
      <c r="DL12" s="107">
        <v>10.0</v>
      </c>
      <c r="DM12" s="108">
        <v>1.0</v>
      </c>
      <c r="DN12" s="107">
        <v>0.0</v>
      </c>
      <c r="DO12" s="107">
        <v>0.0</v>
      </c>
      <c r="DP12" s="107">
        <v>0.0</v>
      </c>
      <c r="DQ12" s="107">
        <v>0.0</v>
      </c>
    </row>
    <row r="13">
      <c r="C13" s="88">
        <f t="shared" ref="C13:BN13" si="5">SUM(C10:C12)</f>
        <v>1</v>
      </c>
      <c r="D13" s="88">
        <f t="shared" si="5"/>
        <v>0</v>
      </c>
      <c r="E13" s="88">
        <f t="shared" si="5"/>
        <v>0</v>
      </c>
      <c r="F13" s="88">
        <f t="shared" si="5"/>
        <v>0</v>
      </c>
      <c r="G13" s="88">
        <f t="shared" si="5"/>
        <v>0</v>
      </c>
      <c r="H13" s="88">
        <f t="shared" si="5"/>
        <v>1</v>
      </c>
      <c r="I13" s="88">
        <f t="shared" si="5"/>
        <v>0</v>
      </c>
      <c r="J13" s="88">
        <f t="shared" si="5"/>
        <v>0</v>
      </c>
      <c r="K13" s="88">
        <f t="shared" si="5"/>
        <v>0</v>
      </c>
      <c r="L13" s="88">
        <f t="shared" si="5"/>
        <v>0</v>
      </c>
      <c r="M13" s="88">
        <f t="shared" si="5"/>
        <v>0</v>
      </c>
      <c r="N13" s="88">
        <f t="shared" si="5"/>
        <v>0</v>
      </c>
      <c r="O13" s="88">
        <f t="shared" si="5"/>
        <v>0</v>
      </c>
      <c r="P13" s="88">
        <f t="shared" si="5"/>
        <v>0</v>
      </c>
      <c r="Q13" s="88">
        <f t="shared" si="5"/>
        <v>0</v>
      </c>
      <c r="R13" s="88">
        <f t="shared" si="5"/>
        <v>0</v>
      </c>
      <c r="S13" s="88">
        <f t="shared" si="5"/>
        <v>0</v>
      </c>
      <c r="T13" s="88">
        <f t="shared" si="5"/>
        <v>1</v>
      </c>
      <c r="U13" s="88">
        <f t="shared" si="5"/>
        <v>0</v>
      </c>
      <c r="V13" s="88">
        <f t="shared" si="5"/>
        <v>0</v>
      </c>
      <c r="W13" s="88">
        <f t="shared" si="5"/>
        <v>0</v>
      </c>
      <c r="X13" s="88">
        <f t="shared" si="5"/>
        <v>0</v>
      </c>
      <c r="Y13" s="88">
        <f t="shared" si="5"/>
        <v>0</v>
      </c>
      <c r="Z13" s="88">
        <f t="shared" si="5"/>
        <v>0</v>
      </c>
      <c r="AA13" s="88">
        <f t="shared" si="5"/>
        <v>0</v>
      </c>
      <c r="AB13" s="88">
        <f t="shared" si="5"/>
        <v>0</v>
      </c>
      <c r="AC13" s="88">
        <f t="shared" si="5"/>
        <v>0</v>
      </c>
      <c r="AD13" s="88">
        <f t="shared" si="5"/>
        <v>0</v>
      </c>
      <c r="AE13" s="88">
        <f t="shared" si="5"/>
        <v>0</v>
      </c>
      <c r="AF13" s="88">
        <f t="shared" si="5"/>
        <v>1</v>
      </c>
      <c r="AG13" s="88">
        <f t="shared" si="5"/>
        <v>1</v>
      </c>
      <c r="AH13" s="88">
        <f t="shared" si="5"/>
        <v>1</v>
      </c>
      <c r="AI13" s="88">
        <f t="shared" si="5"/>
        <v>1</v>
      </c>
      <c r="AJ13" s="88">
        <f t="shared" si="5"/>
        <v>0</v>
      </c>
      <c r="AK13" s="88">
        <f t="shared" si="5"/>
        <v>0</v>
      </c>
      <c r="AL13" s="88">
        <f t="shared" si="5"/>
        <v>0</v>
      </c>
      <c r="AM13" s="88">
        <f t="shared" si="5"/>
        <v>0</v>
      </c>
      <c r="AN13" s="88">
        <f t="shared" si="5"/>
        <v>0</v>
      </c>
      <c r="AO13" s="88">
        <f t="shared" si="5"/>
        <v>0</v>
      </c>
      <c r="AP13" s="88">
        <f t="shared" si="5"/>
        <v>0</v>
      </c>
      <c r="AQ13" s="88">
        <f t="shared" si="5"/>
        <v>0</v>
      </c>
      <c r="AR13" s="88">
        <f t="shared" si="5"/>
        <v>0</v>
      </c>
      <c r="AS13" s="88">
        <f t="shared" si="5"/>
        <v>0</v>
      </c>
      <c r="AT13" s="88">
        <f t="shared" si="5"/>
        <v>0</v>
      </c>
      <c r="AU13" s="88">
        <f t="shared" si="5"/>
        <v>0</v>
      </c>
      <c r="AV13" s="88">
        <f t="shared" si="5"/>
        <v>0</v>
      </c>
      <c r="AW13" s="88">
        <f t="shared" si="5"/>
        <v>0</v>
      </c>
      <c r="AX13" s="88">
        <f t="shared" si="5"/>
        <v>0</v>
      </c>
      <c r="AY13" s="88">
        <f t="shared" si="5"/>
        <v>0</v>
      </c>
      <c r="AZ13" s="88">
        <f t="shared" si="5"/>
        <v>1</v>
      </c>
      <c r="BA13" s="88">
        <f t="shared" si="5"/>
        <v>0</v>
      </c>
      <c r="BB13" s="88">
        <f t="shared" si="5"/>
        <v>0</v>
      </c>
      <c r="BC13" s="88">
        <f t="shared" si="5"/>
        <v>0</v>
      </c>
      <c r="BD13" s="88">
        <f t="shared" si="5"/>
        <v>0</v>
      </c>
      <c r="BE13" s="88">
        <f t="shared" si="5"/>
        <v>0</v>
      </c>
      <c r="BF13" s="88">
        <f t="shared" si="5"/>
        <v>0</v>
      </c>
      <c r="BG13" s="88">
        <f t="shared" si="5"/>
        <v>0</v>
      </c>
      <c r="BH13" s="88">
        <f t="shared" si="5"/>
        <v>0</v>
      </c>
      <c r="BI13" s="88">
        <f t="shared" si="5"/>
        <v>0</v>
      </c>
      <c r="BJ13" s="88">
        <f t="shared" si="5"/>
        <v>0</v>
      </c>
      <c r="BK13" s="88">
        <f t="shared" si="5"/>
        <v>0</v>
      </c>
      <c r="BL13" s="88">
        <f t="shared" si="5"/>
        <v>0</v>
      </c>
      <c r="BM13" s="88">
        <f t="shared" si="5"/>
        <v>1</v>
      </c>
      <c r="BN13" s="88">
        <f t="shared" si="5"/>
        <v>1</v>
      </c>
      <c r="BS13" s="104" t="s">
        <v>170</v>
      </c>
      <c r="BT13" s="105">
        <v>0.0</v>
      </c>
      <c r="BU13" s="105">
        <v>0.0</v>
      </c>
      <c r="BV13" s="105">
        <v>0.0</v>
      </c>
      <c r="BW13" s="105">
        <v>0.0</v>
      </c>
      <c r="BX13" s="105">
        <v>0.0</v>
      </c>
      <c r="BY13" s="105">
        <v>0.0</v>
      </c>
      <c r="BZ13" s="105">
        <v>0.0</v>
      </c>
      <c r="CA13" s="105">
        <v>1.0</v>
      </c>
      <c r="CB13" s="105">
        <v>1.0</v>
      </c>
      <c r="CC13" s="105">
        <v>1.0</v>
      </c>
      <c r="CD13" s="105">
        <v>1.0</v>
      </c>
      <c r="CE13" s="105">
        <v>0.0</v>
      </c>
      <c r="CF13" s="105">
        <v>0.0</v>
      </c>
      <c r="CG13" s="105">
        <v>0.0</v>
      </c>
      <c r="CH13" s="105">
        <v>0.0</v>
      </c>
      <c r="CI13" s="105">
        <v>0.0</v>
      </c>
      <c r="CJ13" s="105">
        <v>0.0</v>
      </c>
      <c r="CK13" s="88">
        <f t="shared" si="6"/>
        <v>4</v>
      </c>
      <c r="CT13" s="105">
        <v>13.0</v>
      </c>
      <c r="CU13" s="106">
        <v>0.0</v>
      </c>
      <c r="CV13" s="107">
        <v>0.0</v>
      </c>
      <c r="CW13" s="107">
        <v>0.0</v>
      </c>
      <c r="CX13" s="107">
        <v>1.0</v>
      </c>
      <c r="CY13" s="107">
        <v>0.0</v>
      </c>
      <c r="DC13" s="105">
        <v>11.0</v>
      </c>
      <c r="DD13" s="106">
        <v>0.0</v>
      </c>
      <c r="DE13" s="107">
        <v>1.0</v>
      </c>
      <c r="DF13" s="107">
        <v>0.0</v>
      </c>
      <c r="DG13" s="107">
        <v>0.0</v>
      </c>
      <c r="DH13" s="107">
        <v>0.0</v>
      </c>
      <c r="DL13" s="107">
        <v>11.0</v>
      </c>
      <c r="DM13" s="106">
        <v>1.0</v>
      </c>
      <c r="DN13" s="107">
        <v>1.0</v>
      </c>
      <c r="DO13" s="107">
        <v>0.0</v>
      </c>
      <c r="DP13" s="107">
        <v>0.0</v>
      </c>
      <c r="DQ13" s="107">
        <v>0.0</v>
      </c>
    </row>
    <row r="14">
      <c r="A14" s="30" t="s">
        <v>98</v>
      </c>
      <c r="B14" s="85">
        <f t="shared" ref="B14:B19" si="7">sum(C14:BN14)</f>
        <v>4</v>
      </c>
      <c r="G14" s="42">
        <v>1.0</v>
      </c>
      <c r="Q14" s="42">
        <v>1.0</v>
      </c>
      <c r="S14" s="97"/>
      <c r="X14" s="86"/>
      <c r="AJ14" s="42">
        <v>1.0</v>
      </c>
      <c r="AL14" s="42">
        <v>1.0</v>
      </c>
      <c r="AO14" s="86"/>
      <c r="BN14" s="86"/>
      <c r="BS14" s="104" t="s">
        <v>171</v>
      </c>
      <c r="BT14" s="105">
        <v>0.0</v>
      </c>
      <c r="BU14" s="105">
        <v>0.0</v>
      </c>
      <c r="BV14" s="105">
        <v>0.0</v>
      </c>
      <c r="BW14" s="105">
        <v>0.0</v>
      </c>
      <c r="BX14" s="105">
        <v>0.0</v>
      </c>
      <c r="BY14" s="105">
        <v>0.0</v>
      </c>
      <c r="BZ14" s="105">
        <v>0.0</v>
      </c>
      <c r="CA14" s="105">
        <v>0.0</v>
      </c>
      <c r="CB14" s="105">
        <v>0.0</v>
      </c>
      <c r="CC14" s="105">
        <v>0.0</v>
      </c>
      <c r="CD14" s="105">
        <v>0.0</v>
      </c>
      <c r="CE14" s="105">
        <v>1.0</v>
      </c>
      <c r="CF14" s="105">
        <v>0.0</v>
      </c>
      <c r="CG14" s="105">
        <v>1.0</v>
      </c>
      <c r="CH14" s="105">
        <v>1.0</v>
      </c>
      <c r="CI14" s="105">
        <v>0.0</v>
      </c>
      <c r="CJ14" s="105">
        <v>0.0</v>
      </c>
      <c r="CK14" s="88">
        <f t="shared" si="6"/>
        <v>3</v>
      </c>
      <c r="CT14" s="105">
        <v>14.0</v>
      </c>
      <c r="CU14" s="106">
        <v>1.0</v>
      </c>
      <c r="CV14" s="107">
        <v>0.0</v>
      </c>
      <c r="CW14" s="107">
        <v>0.0</v>
      </c>
      <c r="CX14" s="107">
        <v>0.0</v>
      </c>
      <c r="CY14" s="107">
        <v>0.0</v>
      </c>
      <c r="DC14" s="105">
        <v>13.0</v>
      </c>
      <c r="DD14" s="106">
        <v>0.0</v>
      </c>
      <c r="DE14" s="107">
        <v>0.0</v>
      </c>
      <c r="DF14" s="107">
        <v>1.0</v>
      </c>
      <c r="DG14" s="107">
        <v>0.0</v>
      </c>
      <c r="DH14" s="107">
        <v>0.0</v>
      </c>
      <c r="DL14" s="107">
        <v>12.0</v>
      </c>
      <c r="DM14" s="106">
        <v>1.0</v>
      </c>
      <c r="DN14" s="107">
        <v>0.0</v>
      </c>
      <c r="DO14" s="107">
        <v>0.0</v>
      </c>
      <c r="DP14" s="107">
        <v>0.0</v>
      </c>
      <c r="DQ14" s="107">
        <v>0.0</v>
      </c>
    </row>
    <row r="15">
      <c r="A15" s="30" t="s">
        <v>101</v>
      </c>
      <c r="B15" s="85">
        <f t="shared" si="7"/>
        <v>5</v>
      </c>
      <c r="D15" s="42">
        <v>1.0</v>
      </c>
      <c r="E15" s="42">
        <v>1.0</v>
      </c>
      <c r="I15" s="42">
        <v>1.0</v>
      </c>
      <c r="U15" s="42">
        <v>1.0</v>
      </c>
      <c r="X15" s="86"/>
      <c r="AM15" s="42">
        <v>1.0</v>
      </c>
      <c r="AO15" s="86"/>
      <c r="BN15" s="86"/>
      <c r="BS15" s="104" t="s">
        <v>172</v>
      </c>
      <c r="BT15" s="105">
        <v>0.0</v>
      </c>
      <c r="BU15" s="105">
        <v>0.0</v>
      </c>
      <c r="BV15" s="105">
        <v>0.0</v>
      </c>
      <c r="BW15" s="105">
        <v>0.0</v>
      </c>
      <c r="BX15" s="105">
        <v>0.0</v>
      </c>
      <c r="BY15" s="105">
        <v>1.0</v>
      </c>
      <c r="BZ15" s="105">
        <v>0.0</v>
      </c>
      <c r="CA15" s="105">
        <v>0.0</v>
      </c>
      <c r="CB15" s="105">
        <v>0.0</v>
      </c>
      <c r="CC15" s="105">
        <v>0.0</v>
      </c>
      <c r="CD15" s="105">
        <v>0.0</v>
      </c>
      <c r="CE15" s="105">
        <v>0.0</v>
      </c>
      <c r="CF15" s="105">
        <v>1.0</v>
      </c>
      <c r="CG15" s="105">
        <v>0.0</v>
      </c>
      <c r="CH15" s="105">
        <v>0.0</v>
      </c>
      <c r="CI15" s="105">
        <v>0.0</v>
      </c>
      <c r="CJ15" s="105">
        <v>0.0</v>
      </c>
      <c r="CK15" s="88">
        <f t="shared" si="6"/>
        <v>2</v>
      </c>
      <c r="CT15" s="105">
        <v>15.0</v>
      </c>
      <c r="CU15" s="106">
        <v>0.0</v>
      </c>
      <c r="CV15" s="107">
        <v>0.0</v>
      </c>
      <c r="CW15" s="107">
        <v>0.0</v>
      </c>
      <c r="CX15" s="107">
        <v>1.0</v>
      </c>
      <c r="CY15" s="107">
        <v>0.0</v>
      </c>
      <c r="DC15" s="105">
        <v>14.0</v>
      </c>
      <c r="DD15" s="106">
        <v>0.0</v>
      </c>
      <c r="DE15" s="107">
        <v>0.0</v>
      </c>
      <c r="DF15" s="107">
        <v>0.0</v>
      </c>
      <c r="DG15" s="107">
        <v>1.0</v>
      </c>
      <c r="DH15" s="107">
        <v>0.0</v>
      </c>
      <c r="DL15" s="107">
        <v>13.0</v>
      </c>
      <c r="DM15" s="106">
        <v>1.0</v>
      </c>
      <c r="DN15" s="107">
        <v>0.0</v>
      </c>
      <c r="DO15" s="107">
        <v>0.0</v>
      </c>
      <c r="DP15" s="107">
        <v>0.0</v>
      </c>
      <c r="DQ15" s="107">
        <v>0.0</v>
      </c>
    </row>
    <row r="16">
      <c r="A16" s="30" t="s">
        <v>104</v>
      </c>
      <c r="B16" s="85">
        <f t="shared" si="7"/>
        <v>0</v>
      </c>
      <c r="X16" s="86"/>
      <c r="AO16" s="86"/>
      <c r="BN16" s="86"/>
      <c r="BS16" s="104" t="s">
        <v>173</v>
      </c>
      <c r="BT16" s="105">
        <v>0.0</v>
      </c>
      <c r="BU16" s="105">
        <v>0.0</v>
      </c>
      <c r="BV16" s="105">
        <v>0.0</v>
      </c>
      <c r="BW16" s="105">
        <v>0.0</v>
      </c>
      <c r="BX16" s="105">
        <v>0.0</v>
      </c>
      <c r="BY16" s="105">
        <v>0.0</v>
      </c>
      <c r="BZ16" s="105">
        <v>0.0</v>
      </c>
      <c r="CA16" s="105">
        <v>0.0</v>
      </c>
      <c r="CB16" s="105">
        <v>0.0</v>
      </c>
      <c r="CC16" s="105">
        <v>0.0</v>
      </c>
      <c r="CD16" s="105">
        <v>0.0</v>
      </c>
      <c r="CE16" s="105">
        <v>0.0</v>
      </c>
      <c r="CF16" s="105">
        <v>0.0</v>
      </c>
      <c r="CG16" s="105">
        <v>0.0</v>
      </c>
      <c r="CH16" s="105">
        <v>0.0</v>
      </c>
      <c r="CI16" s="105">
        <v>1.0</v>
      </c>
      <c r="CJ16" s="105">
        <v>1.0</v>
      </c>
      <c r="CK16" s="88">
        <f t="shared" si="6"/>
        <v>2</v>
      </c>
      <c r="CT16" s="105">
        <v>16.0</v>
      </c>
      <c r="CU16" s="106">
        <v>1.0</v>
      </c>
      <c r="CV16" s="107">
        <v>0.0</v>
      </c>
      <c r="CW16" s="107">
        <v>0.0</v>
      </c>
      <c r="CX16" s="107">
        <v>0.0</v>
      </c>
      <c r="CY16" s="107">
        <v>0.0</v>
      </c>
      <c r="DC16" s="105">
        <v>15.0</v>
      </c>
      <c r="DD16" s="106">
        <v>0.0</v>
      </c>
      <c r="DE16" s="107">
        <v>0.0</v>
      </c>
      <c r="DF16" s="107">
        <v>1.0</v>
      </c>
      <c r="DG16" s="107">
        <v>0.0</v>
      </c>
      <c r="DH16" s="107">
        <v>0.0</v>
      </c>
      <c r="DL16" s="107">
        <v>14.0</v>
      </c>
      <c r="DM16" s="108">
        <v>1.0</v>
      </c>
      <c r="DN16" s="107">
        <v>0.0</v>
      </c>
      <c r="DO16" s="107">
        <v>0.0</v>
      </c>
      <c r="DP16" s="107">
        <v>0.0</v>
      </c>
      <c r="DQ16" s="107">
        <v>0.0</v>
      </c>
    </row>
    <row r="17">
      <c r="A17" s="30" t="s">
        <v>107</v>
      </c>
      <c r="B17" s="85">
        <f t="shared" si="7"/>
        <v>0</v>
      </c>
      <c r="X17" s="86"/>
      <c r="AO17" s="86"/>
      <c r="BN17" s="86"/>
      <c r="CT17" s="105">
        <v>17.0</v>
      </c>
      <c r="CU17" s="106">
        <v>0.0</v>
      </c>
      <c r="CV17" s="107">
        <v>0.0</v>
      </c>
      <c r="CW17" s="107">
        <v>1.0</v>
      </c>
      <c r="CX17" s="107">
        <v>0.0</v>
      </c>
      <c r="CY17" s="107">
        <v>0.0</v>
      </c>
      <c r="DC17" s="105">
        <v>16.0</v>
      </c>
      <c r="DD17" s="106">
        <v>0.0</v>
      </c>
      <c r="DE17" s="107">
        <v>0.0</v>
      </c>
      <c r="DF17" s="107">
        <v>1.0</v>
      </c>
      <c r="DG17" s="107">
        <v>0.0</v>
      </c>
      <c r="DH17" s="107">
        <v>0.0</v>
      </c>
      <c r="DL17" s="107">
        <v>15.0</v>
      </c>
      <c r="DM17" s="106">
        <v>0.0</v>
      </c>
      <c r="DN17" s="107">
        <v>0.0</v>
      </c>
      <c r="DO17" s="107">
        <v>0.0</v>
      </c>
      <c r="DP17" s="107">
        <v>1.0</v>
      </c>
      <c r="DQ17" s="107">
        <v>0.0</v>
      </c>
    </row>
    <row r="18">
      <c r="A18" s="30" t="s">
        <v>110</v>
      </c>
      <c r="B18" s="85">
        <f t="shared" si="7"/>
        <v>0</v>
      </c>
      <c r="X18" s="86"/>
      <c r="AO18" s="86"/>
      <c r="BN18" s="86"/>
      <c r="CT18" s="105">
        <v>18.0</v>
      </c>
      <c r="CU18" s="106">
        <v>0.0</v>
      </c>
      <c r="CV18" s="107">
        <v>0.0</v>
      </c>
      <c r="CW18" s="107">
        <v>0.0</v>
      </c>
      <c r="CX18" s="107">
        <v>0.0</v>
      </c>
      <c r="CY18" s="107">
        <v>1.0</v>
      </c>
      <c r="DC18" s="105">
        <v>17.0</v>
      </c>
      <c r="DD18" s="106">
        <v>0.0</v>
      </c>
      <c r="DE18" s="107">
        <v>0.0</v>
      </c>
      <c r="DF18" s="107">
        <v>0.0</v>
      </c>
      <c r="DG18" s="107">
        <v>0.0</v>
      </c>
      <c r="DH18" s="107">
        <v>1.0</v>
      </c>
      <c r="DL18" s="107">
        <v>16.0</v>
      </c>
      <c r="DM18" s="108">
        <v>1.0</v>
      </c>
      <c r="DN18" s="107">
        <v>0.0</v>
      </c>
      <c r="DO18" s="107">
        <v>0.0</v>
      </c>
      <c r="DP18" s="107">
        <v>0.0</v>
      </c>
      <c r="DQ18" s="107">
        <v>0.0</v>
      </c>
    </row>
    <row r="19">
      <c r="A19" s="98" t="s">
        <v>113</v>
      </c>
      <c r="B19" s="96">
        <f t="shared" si="7"/>
        <v>0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3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3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3"/>
      <c r="BS19" s="88" t="s">
        <v>166</v>
      </c>
      <c r="CT19" s="105">
        <v>19.0</v>
      </c>
      <c r="CU19" s="106">
        <v>1.0</v>
      </c>
      <c r="CV19" s="107">
        <v>0.0</v>
      </c>
      <c r="CW19" s="107">
        <v>0.0</v>
      </c>
      <c r="CX19" s="107">
        <v>0.0</v>
      </c>
      <c r="CY19" s="107">
        <v>0.0</v>
      </c>
      <c r="DC19" s="105">
        <v>18.0</v>
      </c>
      <c r="DD19" s="106">
        <v>0.0</v>
      </c>
      <c r="DE19" s="107">
        <v>0.0</v>
      </c>
      <c r="DF19" s="107">
        <v>0.0</v>
      </c>
      <c r="DG19" s="107">
        <v>0.0</v>
      </c>
      <c r="DH19" s="107">
        <v>1.0</v>
      </c>
      <c r="DL19" s="107">
        <v>17.0</v>
      </c>
      <c r="DM19" s="106">
        <v>1.0</v>
      </c>
      <c r="DN19" s="107">
        <v>0.0</v>
      </c>
      <c r="DO19" s="107">
        <v>0.0</v>
      </c>
      <c r="DP19" s="107">
        <v>0.0</v>
      </c>
      <c r="DQ19" s="107">
        <v>0.0</v>
      </c>
    </row>
    <row r="20">
      <c r="C20" s="88">
        <f t="shared" ref="C20:BN20" si="8">sum(C14:C19)</f>
        <v>0</v>
      </c>
      <c r="D20" s="88">
        <f t="shared" si="8"/>
        <v>1</v>
      </c>
      <c r="E20" s="88">
        <f t="shared" si="8"/>
        <v>1</v>
      </c>
      <c r="F20" s="88">
        <f t="shared" si="8"/>
        <v>0</v>
      </c>
      <c r="G20" s="88">
        <f t="shared" si="8"/>
        <v>1</v>
      </c>
      <c r="H20" s="88">
        <f t="shared" si="8"/>
        <v>0</v>
      </c>
      <c r="I20" s="88">
        <f t="shared" si="8"/>
        <v>1</v>
      </c>
      <c r="J20" s="88">
        <f t="shared" si="8"/>
        <v>0</v>
      </c>
      <c r="K20" s="88">
        <f t="shared" si="8"/>
        <v>0</v>
      </c>
      <c r="L20" s="88">
        <f t="shared" si="8"/>
        <v>0</v>
      </c>
      <c r="M20" s="88">
        <f t="shared" si="8"/>
        <v>0</v>
      </c>
      <c r="N20" s="88">
        <f t="shared" si="8"/>
        <v>0</v>
      </c>
      <c r="O20" s="88">
        <f t="shared" si="8"/>
        <v>0</v>
      </c>
      <c r="P20" s="88">
        <f t="shared" si="8"/>
        <v>0</v>
      </c>
      <c r="Q20" s="88">
        <f t="shared" si="8"/>
        <v>1</v>
      </c>
      <c r="R20" s="88">
        <f t="shared" si="8"/>
        <v>0</v>
      </c>
      <c r="S20" s="88">
        <f t="shared" si="8"/>
        <v>0</v>
      </c>
      <c r="T20" s="88">
        <f t="shared" si="8"/>
        <v>0</v>
      </c>
      <c r="U20" s="88">
        <f t="shared" si="8"/>
        <v>1</v>
      </c>
      <c r="V20" s="88">
        <f t="shared" si="8"/>
        <v>0</v>
      </c>
      <c r="W20" s="88">
        <f t="shared" si="8"/>
        <v>0</v>
      </c>
      <c r="X20" s="88">
        <f t="shared" si="8"/>
        <v>0</v>
      </c>
      <c r="Y20" s="88">
        <f t="shared" si="8"/>
        <v>0</v>
      </c>
      <c r="Z20" s="88">
        <f t="shared" si="8"/>
        <v>0</v>
      </c>
      <c r="AA20" s="88">
        <f t="shared" si="8"/>
        <v>0</v>
      </c>
      <c r="AB20" s="88">
        <f t="shared" si="8"/>
        <v>0</v>
      </c>
      <c r="AC20" s="88">
        <f t="shared" si="8"/>
        <v>0</v>
      </c>
      <c r="AD20" s="88">
        <f t="shared" si="8"/>
        <v>0</v>
      </c>
      <c r="AE20" s="88">
        <f t="shared" si="8"/>
        <v>0</v>
      </c>
      <c r="AF20" s="88">
        <f t="shared" si="8"/>
        <v>0</v>
      </c>
      <c r="AG20" s="88">
        <f t="shared" si="8"/>
        <v>0</v>
      </c>
      <c r="AH20" s="88">
        <f t="shared" si="8"/>
        <v>0</v>
      </c>
      <c r="AI20" s="88">
        <f t="shared" si="8"/>
        <v>0</v>
      </c>
      <c r="AJ20" s="88">
        <f t="shared" si="8"/>
        <v>1</v>
      </c>
      <c r="AK20" s="88">
        <f t="shared" si="8"/>
        <v>0</v>
      </c>
      <c r="AL20" s="88">
        <f t="shared" si="8"/>
        <v>1</v>
      </c>
      <c r="AM20" s="88">
        <f t="shared" si="8"/>
        <v>1</v>
      </c>
      <c r="AN20" s="88">
        <f t="shared" si="8"/>
        <v>0</v>
      </c>
      <c r="AO20" s="88">
        <f t="shared" si="8"/>
        <v>0</v>
      </c>
      <c r="AP20" s="88">
        <f t="shared" si="8"/>
        <v>0</v>
      </c>
      <c r="AQ20" s="88">
        <f t="shared" si="8"/>
        <v>0</v>
      </c>
      <c r="AR20" s="88">
        <f t="shared" si="8"/>
        <v>0</v>
      </c>
      <c r="AS20" s="88">
        <f t="shared" si="8"/>
        <v>0</v>
      </c>
      <c r="AT20" s="88">
        <f t="shared" si="8"/>
        <v>0</v>
      </c>
      <c r="AU20" s="88">
        <f t="shared" si="8"/>
        <v>0</v>
      </c>
      <c r="AV20" s="88">
        <f t="shared" si="8"/>
        <v>0</v>
      </c>
      <c r="AW20" s="88">
        <f t="shared" si="8"/>
        <v>0</v>
      </c>
      <c r="AX20" s="88">
        <f t="shared" si="8"/>
        <v>0</v>
      </c>
      <c r="AY20" s="88">
        <f t="shared" si="8"/>
        <v>0</v>
      </c>
      <c r="AZ20" s="88">
        <f t="shared" si="8"/>
        <v>0</v>
      </c>
      <c r="BA20" s="88">
        <f t="shared" si="8"/>
        <v>0</v>
      </c>
      <c r="BB20" s="88">
        <f t="shared" si="8"/>
        <v>0</v>
      </c>
      <c r="BC20" s="88">
        <f t="shared" si="8"/>
        <v>0</v>
      </c>
      <c r="BD20" s="88">
        <f t="shared" si="8"/>
        <v>0</v>
      </c>
      <c r="BE20" s="88">
        <f t="shared" si="8"/>
        <v>0</v>
      </c>
      <c r="BF20" s="88">
        <f t="shared" si="8"/>
        <v>0</v>
      </c>
      <c r="BG20" s="88">
        <f t="shared" si="8"/>
        <v>0</v>
      </c>
      <c r="BH20" s="88">
        <f t="shared" si="8"/>
        <v>0</v>
      </c>
      <c r="BI20" s="88">
        <f t="shared" si="8"/>
        <v>0</v>
      </c>
      <c r="BJ20" s="88">
        <f t="shared" si="8"/>
        <v>0</v>
      </c>
      <c r="BK20" s="88">
        <f t="shared" si="8"/>
        <v>0</v>
      </c>
      <c r="BL20" s="88">
        <f t="shared" si="8"/>
        <v>0</v>
      </c>
      <c r="BM20" s="88">
        <f t="shared" si="8"/>
        <v>0</v>
      </c>
      <c r="BN20" s="88">
        <f t="shared" si="8"/>
        <v>0</v>
      </c>
      <c r="BR20" s="104" t="s">
        <v>167</v>
      </c>
      <c r="BS20" s="105">
        <v>1.0</v>
      </c>
      <c r="BT20" s="105">
        <v>2.0</v>
      </c>
      <c r="BU20" s="105">
        <v>3.0</v>
      </c>
      <c r="BV20" s="105">
        <v>4.0</v>
      </c>
      <c r="BW20" s="105">
        <v>5.0</v>
      </c>
      <c r="BX20" s="105">
        <v>6.0</v>
      </c>
      <c r="BY20" s="105">
        <v>7.0</v>
      </c>
      <c r="BZ20" s="105">
        <v>8.0</v>
      </c>
      <c r="CA20" s="105">
        <v>9.0</v>
      </c>
      <c r="CB20" s="105">
        <v>10.0</v>
      </c>
      <c r="CC20" s="105">
        <v>11.0</v>
      </c>
      <c r="CD20" s="105">
        <v>12.0</v>
      </c>
      <c r="CE20" s="105">
        <v>13.0</v>
      </c>
      <c r="CF20" s="105">
        <v>14.0</v>
      </c>
      <c r="CG20" s="105">
        <v>15.0</v>
      </c>
      <c r="CH20" s="105">
        <v>16.0</v>
      </c>
      <c r="CI20" s="105">
        <v>17.0</v>
      </c>
      <c r="CJ20" s="105">
        <v>18.0</v>
      </c>
      <c r="CK20" s="105">
        <v>19.0</v>
      </c>
      <c r="CL20" s="105">
        <v>20.0</v>
      </c>
      <c r="CM20" s="105">
        <v>21.0</v>
      </c>
      <c r="CN20" s="105">
        <v>22.0</v>
      </c>
      <c r="CO20" s="105">
        <v>23.0</v>
      </c>
      <c r="CP20" s="105">
        <v>24.0</v>
      </c>
      <c r="CQ20" s="105">
        <v>25.0</v>
      </c>
      <c r="CT20" s="105">
        <v>20.0</v>
      </c>
      <c r="CU20" s="106">
        <v>0.0</v>
      </c>
      <c r="CV20" s="107">
        <v>1.0</v>
      </c>
      <c r="CW20" s="107">
        <v>0.0</v>
      </c>
      <c r="CX20" s="107">
        <v>0.0</v>
      </c>
      <c r="CY20" s="107">
        <v>0.0</v>
      </c>
      <c r="DC20" s="111"/>
      <c r="DD20" s="112">
        <v>0.9027</v>
      </c>
      <c r="DE20" s="112">
        <v>0.8982</v>
      </c>
      <c r="DF20" s="112">
        <v>0.8819</v>
      </c>
      <c r="DG20" s="112">
        <v>0.7751</v>
      </c>
      <c r="DH20" s="112">
        <v>0.8733</v>
      </c>
      <c r="DL20" s="107">
        <v>18.0</v>
      </c>
      <c r="DM20" s="106">
        <v>1.0</v>
      </c>
      <c r="DN20" s="107">
        <v>0.0</v>
      </c>
      <c r="DO20" s="107">
        <v>0.0</v>
      </c>
      <c r="DP20" s="107">
        <v>1.0</v>
      </c>
      <c r="DQ20" s="107">
        <v>0.0</v>
      </c>
    </row>
    <row r="21">
      <c r="A21" s="34" t="s">
        <v>117</v>
      </c>
      <c r="B21" s="85">
        <f t="shared" ref="B21:B27" si="9">sum(C21:BN21)</f>
        <v>1</v>
      </c>
      <c r="M21" s="42">
        <v>1.0</v>
      </c>
      <c r="X21" s="86"/>
      <c r="AO21" s="86"/>
      <c r="BN21" s="86"/>
      <c r="BR21" s="104" t="s">
        <v>169</v>
      </c>
      <c r="BS21" s="104">
        <v>1.0</v>
      </c>
      <c r="BT21" s="109">
        <v>1.0</v>
      </c>
      <c r="BU21" s="109">
        <v>1.0</v>
      </c>
      <c r="BV21" s="109">
        <v>1.0</v>
      </c>
      <c r="BW21" s="109">
        <v>1.0</v>
      </c>
      <c r="BX21" s="109">
        <v>1.0</v>
      </c>
      <c r="BY21" s="109">
        <v>1.0</v>
      </c>
      <c r="BZ21" s="109">
        <v>0.0</v>
      </c>
      <c r="CA21" s="109">
        <v>1.0</v>
      </c>
      <c r="CB21" s="104">
        <v>1.0</v>
      </c>
      <c r="CC21" s="109">
        <v>1.0</v>
      </c>
      <c r="CD21" s="109">
        <v>1.0</v>
      </c>
      <c r="CE21" s="109">
        <v>1.0</v>
      </c>
      <c r="CF21" s="104">
        <v>1.0</v>
      </c>
      <c r="CG21" s="109">
        <v>0.0</v>
      </c>
      <c r="CH21" s="104">
        <v>1.0</v>
      </c>
      <c r="CI21" s="109">
        <v>1.0</v>
      </c>
      <c r="CJ21" s="109">
        <v>1.0</v>
      </c>
      <c r="CK21" s="109">
        <v>0.0</v>
      </c>
      <c r="CL21" s="109">
        <v>1.0</v>
      </c>
      <c r="CM21" s="104">
        <v>1.0</v>
      </c>
      <c r="CN21" s="109">
        <v>1.0</v>
      </c>
      <c r="CO21" s="109">
        <v>1.0</v>
      </c>
      <c r="CP21" s="109">
        <v>0.0</v>
      </c>
      <c r="CQ21" s="109">
        <v>0.0</v>
      </c>
      <c r="CR21" s="88">
        <f t="shared" ref="CR21:CR25" si="10">sum(BS21:CQ21)</f>
        <v>20</v>
      </c>
      <c r="CT21" s="105">
        <v>21.0</v>
      </c>
      <c r="CU21" s="106">
        <v>0.0</v>
      </c>
      <c r="CV21" s="107">
        <v>0.0</v>
      </c>
      <c r="CW21" s="107">
        <v>1.0</v>
      </c>
      <c r="CX21" s="107">
        <v>0.0</v>
      </c>
      <c r="CY21" s="107">
        <v>0.0</v>
      </c>
      <c r="DC21" s="102" t="s">
        <v>167</v>
      </c>
      <c r="DD21" s="102" t="s">
        <v>169</v>
      </c>
      <c r="DE21" s="102" t="s">
        <v>170</v>
      </c>
      <c r="DF21" s="102" t="s">
        <v>171</v>
      </c>
      <c r="DG21" s="102" t="s">
        <v>172</v>
      </c>
      <c r="DH21" s="102" t="s">
        <v>173</v>
      </c>
      <c r="DL21" s="107">
        <v>19.0</v>
      </c>
      <c r="DM21" s="106">
        <v>0.0</v>
      </c>
      <c r="DN21" s="107">
        <v>0.0</v>
      </c>
      <c r="DO21" s="107">
        <v>0.0</v>
      </c>
      <c r="DP21" s="107">
        <v>1.0</v>
      </c>
      <c r="DQ21" s="107">
        <v>0.0</v>
      </c>
    </row>
    <row r="22">
      <c r="A22" s="34" t="s">
        <v>120</v>
      </c>
      <c r="B22" s="85">
        <f t="shared" si="9"/>
        <v>1</v>
      </c>
      <c r="O22" s="42">
        <v>1.0</v>
      </c>
      <c r="X22" s="86"/>
      <c r="AO22" s="86"/>
      <c r="BN22" s="86"/>
      <c r="BR22" s="104" t="s">
        <v>170</v>
      </c>
      <c r="BS22" s="105">
        <v>0.0</v>
      </c>
      <c r="BT22" s="105">
        <v>0.0</v>
      </c>
      <c r="BU22" s="105">
        <v>0.0</v>
      </c>
      <c r="BV22" s="105">
        <v>0.0</v>
      </c>
      <c r="BW22" s="105">
        <v>0.0</v>
      </c>
      <c r="BX22" s="105">
        <v>0.0</v>
      </c>
      <c r="BY22" s="105">
        <v>0.0</v>
      </c>
      <c r="BZ22" s="105">
        <v>0.0</v>
      </c>
      <c r="CA22" s="105">
        <v>0.0</v>
      </c>
      <c r="CB22" s="105">
        <v>0.0</v>
      </c>
      <c r="CC22" s="105">
        <v>1.0</v>
      </c>
      <c r="CD22" s="105">
        <v>0.0</v>
      </c>
      <c r="CE22" s="105">
        <v>0.0</v>
      </c>
      <c r="CF22" s="105">
        <v>0.0</v>
      </c>
      <c r="CG22" s="105">
        <v>0.0</v>
      </c>
      <c r="CH22" s="105">
        <v>0.0</v>
      </c>
      <c r="CI22" s="105">
        <v>0.0</v>
      </c>
      <c r="CJ22" s="105">
        <v>0.0</v>
      </c>
      <c r="CK22" s="105">
        <v>0.0</v>
      </c>
      <c r="CL22" s="105">
        <v>0.0</v>
      </c>
      <c r="CM22" s="105">
        <v>0.0</v>
      </c>
      <c r="CN22" s="105">
        <v>0.0</v>
      </c>
      <c r="CO22" s="105">
        <v>0.0</v>
      </c>
      <c r="CP22" s="105">
        <v>1.0</v>
      </c>
      <c r="CQ22" s="105">
        <v>1.0</v>
      </c>
      <c r="CR22" s="88">
        <f t="shared" si="10"/>
        <v>3</v>
      </c>
      <c r="CT22" s="105">
        <v>22.0</v>
      </c>
      <c r="CU22" s="106">
        <v>1.0</v>
      </c>
      <c r="CV22" s="107">
        <v>0.0</v>
      </c>
      <c r="CW22" s="107">
        <v>0.0</v>
      </c>
      <c r="CX22" s="107">
        <v>0.0</v>
      </c>
      <c r="CY22" s="107">
        <v>0.0</v>
      </c>
      <c r="DC22" s="105">
        <v>1.0</v>
      </c>
      <c r="DD22" s="107">
        <v>1.0</v>
      </c>
      <c r="DE22" s="107">
        <v>0.0</v>
      </c>
      <c r="DF22" s="107">
        <v>0.0</v>
      </c>
      <c r="DG22" s="107">
        <v>0.0</v>
      </c>
      <c r="DH22" s="107">
        <v>0.0</v>
      </c>
      <c r="DL22" s="107">
        <v>20.0</v>
      </c>
      <c r="DM22" s="106">
        <v>1.0</v>
      </c>
      <c r="DN22" s="107">
        <v>0.0</v>
      </c>
      <c r="DO22" s="107">
        <v>0.0</v>
      </c>
      <c r="DP22" s="107">
        <v>0.0</v>
      </c>
      <c r="DQ22" s="107">
        <v>0.0</v>
      </c>
    </row>
    <row r="23">
      <c r="A23" s="34" t="s">
        <v>123</v>
      </c>
      <c r="B23" s="85">
        <f t="shared" si="9"/>
        <v>1</v>
      </c>
      <c r="W23" s="42">
        <v>1.0</v>
      </c>
      <c r="X23" s="86"/>
      <c r="AO23" s="86"/>
      <c r="BN23" s="86"/>
      <c r="BR23" s="104" t="s">
        <v>171</v>
      </c>
      <c r="BS23" s="105">
        <v>0.0</v>
      </c>
      <c r="BT23" s="105">
        <v>0.0</v>
      </c>
      <c r="BU23" s="105">
        <v>0.0</v>
      </c>
      <c r="BV23" s="105">
        <v>0.0</v>
      </c>
      <c r="BW23" s="105">
        <v>0.0</v>
      </c>
      <c r="BX23" s="105">
        <v>0.0</v>
      </c>
      <c r="BY23" s="105">
        <v>0.0</v>
      </c>
      <c r="BZ23" s="105">
        <v>0.0</v>
      </c>
      <c r="CA23" s="105">
        <v>0.0</v>
      </c>
      <c r="CB23" s="105">
        <v>0.0</v>
      </c>
      <c r="CC23" s="105">
        <v>0.0</v>
      </c>
      <c r="CD23" s="105">
        <v>0.0</v>
      </c>
      <c r="CE23" s="105">
        <v>0.0</v>
      </c>
      <c r="CF23" s="105">
        <v>0.0</v>
      </c>
      <c r="CG23" s="105">
        <v>0.0</v>
      </c>
      <c r="CH23" s="105">
        <v>0.0</v>
      </c>
      <c r="CI23" s="105">
        <v>0.0</v>
      </c>
      <c r="CJ23" s="105">
        <v>0.0</v>
      </c>
      <c r="CK23" s="105">
        <v>0.0</v>
      </c>
      <c r="CL23" s="105">
        <v>0.0</v>
      </c>
      <c r="CM23" s="105">
        <v>0.0</v>
      </c>
      <c r="CN23" s="105">
        <v>0.0</v>
      </c>
      <c r="CO23" s="105">
        <v>0.0</v>
      </c>
      <c r="CP23" s="105">
        <v>0.0</v>
      </c>
      <c r="CQ23" s="105">
        <v>0.0</v>
      </c>
      <c r="CR23" s="88">
        <f t="shared" si="10"/>
        <v>0</v>
      </c>
      <c r="CT23" s="105">
        <v>23.0</v>
      </c>
      <c r="CU23" s="106">
        <v>0.0</v>
      </c>
      <c r="CV23" s="107">
        <v>0.0</v>
      </c>
      <c r="CW23" s="107">
        <v>0.0</v>
      </c>
      <c r="CX23" s="107">
        <v>1.0</v>
      </c>
      <c r="CY23" s="107">
        <v>0.0</v>
      </c>
      <c r="DC23" s="105">
        <v>2.0</v>
      </c>
      <c r="DD23" s="107">
        <v>1.0</v>
      </c>
      <c r="DE23" s="107">
        <v>0.0</v>
      </c>
      <c r="DF23" s="107">
        <v>0.0</v>
      </c>
      <c r="DG23" s="107">
        <v>0.0</v>
      </c>
      <c r="DH23" s="107">
        <v>0.0</v>
      </c>
      <c r="DL23" s="107">
        <v>21.0</v>
      </c>
      <c r="DM23" s="108">
        <v>1.0</v>
      </c>
      <c r="DN23" s="107">
        <v>0.0</v>
      </c>
      <c r="DO23" s="107">
        <v>0.0</v>
      </c>
      <c r="DP23" s="107">
        <v>0.0</v>
      </c>
      <c r="DQ23" s="107">
        <v>0.0</v>
      </c>
    </row>
    <row r="24">
      <c r="A24" s="34" t="s">
        <v>126</v>
      </c>
      <c r="B24" s="85">
        <f t="shared" si="9"/>
        <v>6</v>
      </c>
      <c r="J24" s="42">
        <v>1.0</v>
      </c>
      <c r="K24" s="42">
        <v>1.0</v>
      </c>
      <c r="L24" s="42">
        <v>1.0</v>
      </c>
      <c r="X24" s="86"/>
      <c r="AK24" s="42">
        <v>1.0</v>
      </c>
      <c r="AO24" s="86"/>
      <c r="BD24" s="42">
        <v>1.0</v>
      </c>
      <c r="BH24" s="42">
        <v>1.0</v>
      </c>
      <c r="BN24" s="86"/>
      <c r="BR24" s="104" t="s">
        <v>172</v>
      </c>
      <c r="BS24" s="105">
        <v>0.0</v>
      </c>
      <c r="BT24" s="105">
        <v>0.0</v>
      </c>
      <c r="BU24" s="105">
        <v>0.0</v>
      </c>
      <c r="BV24" s="105">
        <v>0.0</v>
      </c>
      <c r="BW24" s="105">
        <v>0.0</v>
      </c>
      <c r="BX24" s="105">
        <v>0.0</v>
      </c>
      <c r="BY24" s="105">
        <v>0.0</v>
      </c>
      <c r="BZ24" s="105">
        <v>0.0</v>
      </c>
      <c r="CA24" s="105">
        <v>0.0</v>
      </c>
      <c r="CB24" s="105">
        <v>0.0</v>
      </c>
      <c r="CC24" s="105">
        <v>0.0</v>
      </c>
      <c r="CD24" s="105">
        <v>0.0</v>
      </c>
      <c r="CE24" s="105">
        <v>0.0</v>
      </c>
      <c r="CF24" s="105">
        <v>0.0</v>
      </c>
      <c r="CG24" s="105">
        <v>1.0</v>
      </c>
      <c r="CH24" s="105">
        <v>0.0</v>
      </c>
      <c r="CI24" s="105">
        <v>0.0</v>
      </c>
      <c r="CJ24" s="105">
        <v>1.0</v>
      </c>
      <c r="CK24" s="105">
        <v>1.0</v>
      </c>
      <c r="CL24" s="105">
        <v>0.0</v>
      </c>
      <c r="CM24" s="105">
        <v>0.0</v>
      </c>
      <c r="CN24" s="105">
        <v>0.0</v>
      </c>
      <c r="CO24" s="105">
        <v>0.0</v>
      </c>
      <c r="CP24" s="105">
        <v>1.0</v>
      </c>
      <c r="CQ24" s="105">
        <v>1.0</v>
      </c>
      <c r="CR24" s="88">
        <f t="shared" si="10"/>
        <v>5</v>
      </c>
      <c r="CT24" s="105">
        <v>24.0</v>
      </c>
      <c r="CU24" s="106">
        <v>1.0</v>
      </c>
      <c r="CV24" s="107">
        <v>0.0</v>
      </c>
      <c r="CW24" s="107">
        <v>0.0</v>
      </c>
      <c r="CX24" s="107">
        <v>0.0</v>
      </c>
      <c r="CY24" s="107">
        <v>0.0</v>
      </c>
      <c r="DC24" s="105">
        <v>3.0</v>
      </c>
      <c r="DD24" s="107">
        <v>1.0</v>
      </c>
      <c r="DE24" s="107">
        <v>0.0</v>
      </c>
      <c r="DF24" s="107">
        <v>0.0</v>
      </c>
      <c r="DG24" s="107">
        <v>0.0</v>
      </c>
      <c r="DH24" s="107">
        <v>0.0</v>
      </c>
      <c r="DL24" s="107">
        <v>22.0</v>
      </c>
      <c r="DM24" s="106">
        <v>1.0</v>
      </c>
      <c r="DN24" s="107">
        <v>0.0</v>
      </c>
      <c r="DO24" s="107">
        <v>0.0</v>
      </c>
      <c r="DP24" s="107">
        <v>0.0</v>
      </c>
      <c r="DQ24" s="107">
        <v>0.0</v>
      </c>
    </row>
    <row r="25">
      <c r="A25" s="34" t="s">
        <v>129</v>
      </c>
      <c r="B25" s="85">
        <f t="shared" si="9"/>
        <v>3</v>
      </c>
      <c r="X25" s="86"/>
      <c r="AC25" s="97"/>
      <c r="AO25" s="86"/>
      <c r="BG25" s="42">
        <v>1.0</v>
      </c>
      <c r="BM25" s="42">
        <v>1.0</v>
      </c>
      <c r="BN25" s="87">
        <v>1.0</v>
      </c>
      <c r="BO25" s="42"/>
      <c r="BP25" s="42"/>
      <c r="BQ25" s="42"/>
      <c r="BR25" s="104" t="s">
        <v>173</v>
      </c>
      <c r="BS25" s="105">
        <v>0.0</v>
      </c>
      <c r="BT25" s="105">
        <v>0.0</v>
      </c>
      <c r="BU25" s="105">
        <v>0.0</v>
      </c>
      <c r="BV25" s="105">
        <v>0.0</v>
      </c>
      <c r="BW25" s="105">
        <v>0.0</v>
      </c>
      <c r="BX25" s="105">
        <v>0.0</v>
      </c>
      <c r="BY25" s="105">
        <v>0.0</v>
      </c>
      <c r="BZ25" s="105">
        <v>1.0</v>
      </c>
      <c r="CA25" s="105">
        <v>0.0</v>
      </c>
      <c r="CB25" s="105">
        <v>0.0</v>
      </c>
      <c r="CC25" s="105">
        <v>0.0</v>
      </c>
      <c r="CD25" s="105">
        <v>0.0</v>
      </c>
      <c r="CE25" s="105">
        <v>0.0</v>
      </c>
      <c r="CF25" s="105">
        <v>0.0</v>
      </c>
      <c r="CG25" s="105">
        <v>0.0</v>
      </c>
      <c r="CH25" s="105">
        <v>0.0</v>
      </c>
      <c r="CI25" s="105">
        <v>0.0</v>
      </c>
      <c r="CJ25" s="105">
        <v>0.0</v>
      </c>
      <c r="CK25" s="105">
        <v>0.0</v>
      </c>
      <c r="CL25" s="105">
        <v>0.0</v>
      </c>
      <c r="CM25" s="105">
        <v>0.0</v>
      </c>
      <c r="CN25" s="105">
        <v>0.0</v>
      </c>
      <c r="CO25" s="105">
        <v>0.0</v>
      </c>
      <c r="CP25" s="105">
        <v>0.0</v>
      </c>
      <c r="CQ25" s="105">
        <v>0.0</v>
      </c>
      <c r="CR25" s="88">
        <f t="shared" si="10"/>
        <v>1</v>
      </c>
      <c r="CS25" s="42"/>
      <c r="CT25" s="113"/>
      <c r="CU25" s="112">
        <v>0.9364</v>
      </c>
      <c r="CV25" s="112">
        <v>0.9113</v>
      </c>
      <c r="CW25" s="112">
        <v>0.9386</v>
      </c>
      <c r="CX25" s="112">
        <v>0.9486</v>
      </c>
      <c r="CY25" s="112">
        <v>0.9753</v>
      </c>
      <c r="DA25" s="42"/>
      <c r="DB25" s="42"/>
      <c r="DC25" s="105">
        <v>4.0</v>
      </c>
      <c r="DD25" s="107">
        <v>1.0</v>
      </c>
      <c r="DE25" s="107">
        <v>0.0</v>
      </c>
      <c r="DF25" s="107">
        <v>0.0</v>
      </c>
      <c r="DG25" s="107">
        <v>0.0</v>
      </c>
      <c r="DH25" s="107">
        <v>0.0</v>
      </c>
      <c r="DI25" s="42"/>
      <c r="DJ25" s="42"/>
      <c r="DK25" s="42"/>
      <c r="DL25" s="107">
        <v>23.0</v>
      </c>
      <c r="DM25" s="106">
        <v>1.0</v>
      </c>
      <c r="DN25" s="107">
        <v>0.0</v>
      </c>
      <c r="DO25" s="107">
        <v>0.0</v>
      </c>
      <c r="DP25" s="107">
        <v>0.0</v>
      </c>
      <c r="DQ25" s="107">
        <v>0.0</v>
      </c>
      <c r="DR25" s="42"/>
      <c r="DS25" s="42"/>
      <c r="DT25" s="42"/>
      <c r="DU25" s="42"/>
      <c r="DV25" s="42"/>
    </row>
    <row r="26">
      <c r="A26" s="34" t="s">
        <v>132</v>
      </c>
      <c r="B26" s="85">
        <f t="shared" si="9"/>
        <v>1</v>
      </c>
      <c r="H26" s="97"/>
      <c r="X26" s="86"/>
      <c r="AD26" s="42">
        <v>1.0</v>
      </c>
      <c r="AO26" s="86"/>
      <c r="BN26" s="86"/>
      <c r="CT26" s="102" t="s">
        <v>167</v>
      </c>
      <c r="CU26" s="102" t="s">
        <v>169</v>
      </c>
      <c r="CV26" s="102" t="s">
        <v>170</v>
      </c>
      <c r="CW26" s="102" t="s">
        <v>171</v>
      </c>
      <c r="CX26" s="102" t="s">
        <v>172</v>
      </c>
      <c r="CY26" s="102" t="s">
        <v>173</v>
      </c>
      <c r="DC26" s="105">
        <v>5.0</v>
      </c>
      <c r="DD26" s="107">
        <v>1.0</v>
      </c>
      <c r="DE26" s="107">
        <v>0.0</v>
      </c>
      <c r="DF26" s="107">
        <v>0.0</v>
      </c>
      <c r="DG26" s="107">
        <v>0.0</v>
      </c>
      <c r="DH26" s="107">
        <v>0.0</v>
      </c>
      <c r="DL26" s="107">
        <v>24.0</v>
      </c>
      <c r="DM26" s="106">
        <v>0.0</v>
      </c>
      <c r="DN26" s="107">
        <v>1.0</v>
      </c>
      <c r="DO26" s="107">
        <v>0.0</v>
      </c>
      <c r="DP26" s="107">
        <v>1.0</v>
      </c>
      <c r="DQ26" s="107">
        <v>0.0</v>
      </c>
    </row>
    <row r="27">
      <c r="A27" s="99" t="s">
        <v>135</v>
      </c>
      <c r="B27" s="96">
        <f t="shared" si="9"/>
        <v>0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3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3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3"/>
      <c r="BT27" s="114"/>
      <c r="CT27" s="105">
        <v>3.0</v>
      </c>
      <c r="CU27" s="107">
        <v>0.0</v>
      </c>
      <c r="CV27" s="107">
        <v>1.0</v>
      </c>
      <c r="CW27" s="107">
        <v>0.0</v>
      </c>
      <c r="CX27" s="107">
        <v>0.0</v>
      </c>
      <c r="CY27" s="107">
        <v>0.0</v>
      </c>
      <c r="DC27" s="105">
        <v>6.0</v>
      </c>
      <c r="DD27" s="107">
        <v>1.0</v>
      </c>
      <c r="DE27" s="107">
        <v>0.0</v>
      </c>
      <c r="DF27" s="107">
        <v>0.0</v>
      </c>
      <c r="DG27" s="107">
        <v>1.0</v>
      </c>
      <c r="DH27" s="107">
        <v>0.0</v>
      </c>
      <c r="DL27" s="107">
        <v>25.0</v>
      </c>
      <c r="DM27" s="106">
        <v>0.0</v>
      </c>
      <c r="DN27" s="107">
        <v>1.0</v>
      </c>
      <c r="DO27" s="107">
        <v>0.0</v>
      </c>
      <c r="DP27" s="107">
        <v>1.0</v>
      </c>
      <c r="DQ27" s="107">
        <v>0.0</v>
      </c>
    </row>
    <row r="28">
      <c r="C28" s="88">
        <f t="shared" ref="C28:BN28" si="11">sum(C21:C27)</f>
        <v>0</v>
      </c>
      <c r="D28" s="88">
        <f t="shared" si="11"/>
        <v>0</v>
      </c>
      <c r="E28" s="88">
        <f t="shared" si="11"/>
        <v>0</v>
      </c>
      <c r="F28" s="88">
        <f t="shared" si="11"/>
        <v>0</v>
      </c>
      <c r="G28" s="88">
        <f t="shared" si="11"/>
        <v>0</v>
      </c>
      <c r="H28" s="88">
        <f t="shared" si="11"/>
        <v>0</v>
      </c>
      <c r="I28" s="88">
        <f t="shared" si="11"/>
        <v>0</v>
      </c>
      <c r="J28" s="88">
        <f t="shared" si="11"/>
        <v>1</v>
      </c>
      <c r="K28" s="88">
        <f t="shared" si="11"/>
        <v>1</v>
      </c>
      <c r="L28" s="88">
        <f t="shared" si="11"/>
        <v>1</v>
      </c>
      <c r="M28" s="88">
        <f t="shared" si="11"/>
        <v>1</v>
      </c>
      <c r="N28" s="88">
        <f t="shared" si="11"/>
        <v>0</v>
      </c>
      <c r="O28" s="88">
        <f t="shared" si="11"/>
        <v>1</v>
      </c>
      <c r="P28" s="88">
        <f t="shared" si="11"/>
        <v>0</v>
      </c>
      <c r="Q28" s="88">
        <f t="shared" si="11"/>
        <v>0</v>
      </c>
      <c r="R28" s="88">
        <f t="shared" si="11"/>
        <v>0</v>
      </c>
      <c r="S28" s="88">
        <f t="shared" si="11"/>
        <v>0</v>
      </c>
      <c r="T28" s="88">
        <f t="shared" si="11"/>
        <v>0</v>
      </c>
      <c r="U28" s="88">
        <f t="shared" si="11"/>
        <v>0</v>
      </c>
      <c r="V28" s="88">
        <f t="shared" si="11"/>
        <v>0</v>
      </c>
      <c r="W28" s="88">
        <f t="shared" si="11"/>
        <v>1</v>
      </c>
      <c r="X28" s="88">
        <f t="shared" si="11"/>
        <v>0</v>
      </c>
      <c r="Y28" s="88">
        <f t="shared" si="11"/>
        <v>0</v>
      </c>
      <c r="Z28" s="88">
        <f t="shared" si="11"/>
        <v>0</v>
      </c>
      <c r="AA28" s="88">
        <f t="shared" si="11"/>
        <v>0</v>
      </c>
      <c r="AB28" s="88">
        <f t="shared" si="11"/>
        <v>0</v>
      </c>
      <c r="AC28" s="88">
        <f t="shared" si="11"/>
        <v>0</v>
      </c>
      <c r="AD28" s="88">
        <f t="shared" si="11"/>
        <v>1</v>
      </c>
      <c r="AE28" s="88">
        <f t="shared" si="11"/>
        <v>0</v>
      </c>
      <c r="AF28" s="88">
        <f t="shared" si="11"/>
        <v>0</v>
      </c>
      <c r="AG28" s="88">
        <f t="shared" si="11"/>
        <v>0</v>
      </c>
      <c r="AH28" s="88">
        <f t="shared" si="11"/>
        <v>0</v>
      </c>
      <c r="AI28" s="88">
        <f t="shared" si="11"/>
        <v>0</v>
      </c>
      <c r="AJ28" s="88">
        <f t="shared" si="11"/>
        <v>0</v>
      </c>
      <c r="AK28" s="88">
        <f t="shared" si="11"/>
        <v>1</v>
      </c>
      <c r="AL28" s="88">
        <f t="shared" si="11"/>
        <v>0</v>
      </c>
      <c r="AM28" s="88">
        <f t="shared" si="11"/>
        <v>0</v>
      </c>
      <c r="AN28" s="88">
        <f t="shared" si="11"/>
        <v>0</v>
      </c>
      <c r="AO28" s="88">
        <f t="shared" si="11"/>
        <v>0</v>
      </c>
      <c r="AP28" s="88">
        <f t="shared" si="11"/>
        <v>0</v>
      </c>
      <c r="AQ28" s="88">
        <f t="shared" si="11"/>
        <v>0</v>
      </c>
      <c r="AR28" s="88">
        <f t="shared" si="11"/>
        <v>0</v>
      </c>
      <c r="AS28" s="88">
        <f t="shared" si="11"/>
        <v>0</v>
      </c>
      <c r="AT28" s="88">
        <f t="shared" si="11"/>
        <v>0</v>
      </c>
      <c r="AU28" s="88">
        <f t="shared" si="11"/>
        <v>0</v>
      </c>
      <c r="AV28" s="88">
        <f t="shared" si="11"/>
        <v>0</v>
      </c>
      <c r="AW28" s="88">
        <f t="shared" si="11"/>
        <v>0</v>
      </c>
      <c r="AX28" s="88">
        <f t="shared" si="11"/>
        <v>0</v>
      </c>
      <c r="AY28" s="88">
        <f t="shared" si="11"/>
        <v>0</v>
      </c>
      <c r="AZ28" s="88">
        <f t="shared" si="11"/>
        <v>0</v>
      </c>
      <c r="BA28" s="88">
        <f t="shared" si="11"/>
        <v>0</v>
      </c>
      <c r="BB28" s="88">
        <f t="shared" si="11"/>
        <v>0</v>
      </c>
      <c r="BC28" s="88">
        <f t="shared" si="11"/>
        <v>0</v>
      </c>
      <c r="BD28" s="88">
        <f t="shared" si="11"/>
        <v>1</v>
      </c>
      <c r="BE28" s="88">
        <f t="shared" si="11"/>
        <v>0</v>
      </c>
      <c r="BF28" s="88">
        <f t="shared" si="11"/>
        <v>0</v>
      </c>
      <c r="BG28" s="88">
        <f t="shared" si="11"/>
        <v>1</v>
      </c>
      <c r="BH28" s="88">
        <f t="shared" si="11"/>
        <v>1</v>
      </c>
      <c r="BI28" s="88">
        <f t="shared" si="11"/>
        <v>0</v>
      </c>
      <c r="BJ28" s="88">
        <f t="shared" si="11"/>
        <v>0</v>
      </c>
      <c r="BK28" s="88">
        <f t="shared" si="11"/>
        <v>0</v>
      </c>
      <c r="BL28" s="88">
        <f t="shared" si="11"/>
        <v>0</v>
      </c>
      <c r="BM28" s="88">
        <f t="shared" si="11"/>
        <v>1</v>
      </c>
      <c r="BN28" s="88">
        <f t="shared" si="11"/>
        <v>1</v>
      </c>
      <c r="BU28" s="114"/>
      <c r="CT28" s="105">
        <v>4.0</v>
      </c>
      <c r="CU28" s="107">
        <v>0.0</v>
      </c>
      <c r="CV28" s="107">
        <v>0.0</v>
      </c>
      <c r="CW28" s="107">
        <v>1.0</v>
      </c>
      <c r="CX28" s="107">
        <v>0.0</v>
      </c>
      <c r="CY28" s="107">
        <v>0.0</v>
      </c>
      <c r="DC28" s="105">
        <v>7.0</v>
      </c>
      <c r="DD28" s="107">
        <v>1.0</v>
      </c>
      <c r="DE28" s="107">
        <v>0.0</v>
      </c>
      <c r="DF28" s="107">
        <v>0.0</v>
      </c>
      <c r="DG28" s="107">
        <v>0.0</v>
      </c>
      <c r="DH28" s="107">
        <v>0.0</v>
      </c>
      <c r="DL28" s="115"/>
      <c r="DM28" s="112">
        <v>0.9388</v>
      </c>
      <c r="DN28" s="112">
        <v>0.6807</v>
      </c>
      <c r="DO28" s="115"/>
      <c r="DP28" s="112">
        <v>0.8717</v>
      </c>
      <c r="DQ28" s="112">
        <v>0.9126</v>
      </c>
    </row>
    <row r="29">
      <c r="A29" s="38" t="s">
        <v>139</v>
      </c>
      <c r="B29" s="85">
        <f t="shared" ref="B29:B33" si="12">sum(C29:BN29)</f>
        <v>0</v>
      </c>
      <c r="X29" s="86"/>
      <c r="AO29" s="86"/>
      <c r="BN29" s="86"/>
      <c r="BT29" s="114"/>
      <c r="CT29" s="105">
        <v>5.0</v>
      </c>
      <c r="CU29" s="107">
        <v>0.0</v>
      </c>
      <c r="CV29" s="107">
        <v>0.0</v>
      </c>
      <c r="CW29" s="107">
        <v>1.0</v>
      </c>
      <c r="CX29" s="107">
        <v>0.0</v>
      </c>
      <c r="CY29" s="107">
        <v>0.0</v>
      </c>
      <c r="DC29" s="105">
        <v>8.0</v>
      </c>
      <c r="DD29" s="107">
        <v>0.0</v>
      </c>
      <c r="DE29" s="107">
        <v>1.0</v>
      </c>
      <c r="DF29" s="107">
        <v>0.0</v>
      </c>
      <c r="DG29" s="107">
        <v>0.0</v>
      </c>
      <c r="DH29" s="107">
        <v>0.0</v>
      </c>
      <c r="DL29" s="102" t="s">
        <v>167</v>
      </c>
      <c r="DM29" s="102" t="s">
        <v>169</v>
      </c>
      <c r="DN29" s="102" t="s">
        <v>170</v>
      </c>
      <c r="DO29" s="102" t="s">
        <v>171</v>
      </c>
      <c r="DP29" s="102" t="s">
        <v>172</v>
      </c>
      <c r="DQ29" s="102" t="s">
        <v>173</v>
      </c>
    </row>
    <row r="30">
      <c r="A30" s="38" t="s">
        <v>142</v>
      </c>
      <c r="B30" s="85">
        <f t="shared" si="12"/>
        <v>2</v>
      </c>
      <c r="X30" s="86"/>
      <c r="AO30" s="87">
        <v>1.0</v>
      </c>
      <c r="AW30" s="42">
        <v>1.0</v>
      </c>
      <c r="BN30" s="86"/>
      <c r="BT30" s="114"/>
      <c r="CT30" s="105">
        <v>6.0</v>
      </c>
      <c r="CU30" s="107">
        <v>1.0</v>
      </c>
      <c r="CV30" s="107">
        <v>0.0</v>
      </c>
      <c r="CW30" s="107">
        <v>0.0</v>
      </c>
      <c r="CX30" s="107">
        <v>0.0</v>
      </c>
      <c r="CY30" s="107">
        <v>0.0</v>
      </c>
      <c r="DC30" s="105">
        <v>9.0</v>
      </c>
      <c r="DD30" s="107">
        <v>0.0</v>
      </c>
      <c r="DE30" s="107">
        <v>1.0</v>
      </c>
      <c r="DF30" s="107">
        <v>0.0</v>
      </c>
      <c r="DG30" s="107">
        <v>0.0</v>
      </c>
      <c r="DH30" s="107">
        <v>0.0</v>
      </c>
      <c r="DL30" s="116">
        <v>1.0</v>
      </c>
      <c r="DM30" s="107">
        <v>1.0</v>
      </c>
      <c r="DN30" s="107">
        <v>0.0</v>
      </c>
      <c r="DO30" s="107"/>
      <c r="DP30" s="107">
        <v>0.0</v>
      </c>
      <c r="DQ30" s="107">
        <v>0.0</v>
      </c>
    </row>
    <row r="31">
      <c r="A31" s="38" t="s">
        <v>145</v>
      </c>
      <c r="B31" s="85">
        <f t="shared" si="12"/>
        <v>1</v>
      </c>
      <c r="R31" s="42">
        <v>1.0</v>
      </c>
      <c r="X31" s="86"/>
      <c r="AO31" s="86"/>
      <c r="BN31" s="86"/>
      <c r="BT31" s="114"/>
      <c r="CT31" s="105">
        <v>7.0</v>
      </c>
      <c r="CU31" s="117" t="s">
        <v>174</v>
      </c>
      <c r="CV31" s="107">
        <v>0.0</v>
      </c>
      <c r="CW31" s="107">
        <v>1.0</v>
      </c>
      <c r="CX31" s="107">
        <v>0.0</v>
      </c>
      <c r="CY31" s="117" t="s">
        <v>174</v>
      </c>
      <c r="DC31" s="105">
        <v>10.0</v>
      </c>
      <c r="DD31" s="107">
        <v>0.0</v>
      </c>
      <c r="DE31" s="107">
        <v>1.0</v>
      </c>
      <c r="DF31" s="107">
        <v>0.0</v>
      </c>
      <c r="DG31" s="107">
        <v>0.0</v>
      </c>
      <c r="DH31" s="107">
        <v>0.0</v>
      </c>
      <c r="DL31" s="116">
        <v>2.0</v>
      </c>
      <c r="DM31" s="107">
        <v>1.0</v>
      </c>
      <c r="DN31" s="107">
        <v>0.0</v>
      </c>
      <c r="DO31" s="107"/>
      <c r="DP31" s="107">
        <v>0.0</v>
      </c>
      <c r="DQ31" s="107">
        <v>0.0</v>
      </c>
    </row>
    <row r="32">
      <c r="A32" s="38" t="s">
        <v>148</v>
      </c>
      <c r="B32" s="85">
        <f t="shared" si="12"/>
        <v>1</v>
      </c>
      <c r="X32" s="86"/>
      <c r="AN32" s="42">
        <v>1.0</v>
      </c>
      <c r="AO32" s="86"/>
      <c r="BN32" s="86"/>
      <c r="BT32" s="114"/>
      <c r="CT32" s="105">
        <v>8.0</v>
      </c>
      <c r="CU32" s="107">
        <v>0.0</v>
      </c>
      <c r="CV32" s="107">
        <v>1.0</v>
      </c>
      <c r="CW32" s="107">
        <v>0.0</v>
      </c>
      <c r="CX32" s="107">
        <v>0.0</v>
      </c>
      <c r="CY32" s="107">
        <v>0.0</v>
      </c>
      <c r="DC32" s="105">
        <v>11.0</v>
      </c>
      <c r="DD32" s="107">
        <v>0.0</v>
      </c>
      <c r="DE32" s="107">
        <v>1.0</v>
      </c>
      <c r="DF32" s="107">
        <v>0.0</v>
      </c>
      <c r="DG32" s="107">
        <v>0.0</v>
      </c>
      <c r="DH32" s="107">
        <v>0.0</v>
      </c>
      <c r="DL32" s="116">
        <v>3.0</v>
      </c>
      <c r="DM32" s="107">
        <v>1.0</v>
      </c>
      <c r="DN32" s="107">
        <v>0.0</v>
      </c>
      <c r="DO32" s="107"/>
      <c r="DP32" s="117" t="s">
        <v>174</v>
      </c>
      <c r="DQ32" s="107">
        <v>0.0</v>
      </c>
    </row>
    <row r="33">
      <c r="A33" s="100" t="s">
        <v>151</v>
      </c>
      <c r="B33" s="96">
        <f t="shared" si="12"/>
        <v>0</v>
      </c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3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3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3"/>
      <c r="BT33" s="114"/>
      <c r="CT33" s="105">
        <v>9.0</v>
      </c>
      <c r="CU33" s="107">
        <v>0.0</v>
      </c>
      <c r="CV33" s="107">
        <v>0.0</v>
      </c>
      <c r="CW33" s="107">
        <v>1.0</v>
      </c>
      <c r="CX33" s="107">
        <v>0.0</v>
      </c>
      <c r="CY33" s="107">
        <v>0.0</v>
      </c>
      <c r="DC33" s="105">
        <v>13.0</v>
      </c>
      <c r="DD33" s="117" t="s">
        <v>174</v>
      </c>
      <c r="DE33" s="107">
        <v>0.0</v>
      </c>
      <c r="DF33" s="107">
        <v>1.0</v>
      </c>
      <c r="DG33" s="107">
        <v>0.0</v>
      </c>
      <c r="DH33" s="107">
        <v>0.0</v>
      </c>
      <c r="DL33" s="116">
        <v>4.0</v>
      </c>
      <c r="DM33" s="107">
        <v>1.0</v>
      </c>
      <c r="DN33" s="107">
        <v>0.0</v>
      </c>
      <c r="DO33" s="107"/>
      <c r="DP33" s="107">
        <v>0.0</v>
      </c>
      <c r="DQ33" s="117" t="s">
        <v>174</v>
      </c>
    </row>
    <row r="34">
      <c r="C34" s="88">
        <f t="shared" ref="C34:BN34" si="13">sum(C29:C33)</f>
        <v>0</v>
      </c>
      <c r="D34" s="88">
        <f t="shared" si="13"/>
        <v>0</v>
      </c>
      <c r="E34" s="88">
        <f t="shared" si="13"/>
        <v>0</v>
      </c>
      <c r="F34" s="88">
        <f t="shared" si="13"/>
        <v>0</v>
      </c>
      <c r="G34" s="88">
        <f t="shared" si="13"/>
        <v>0</v>
      </c>
      <c r="H34" s="88">
        <f t="shared" si="13"/>
        <v>0</v>
      </c>
      <c r="I34" s="88">
        <f t="shared" si="13"/>
        <v>0</v>
      </c>
      <c r="J34" s="88">
        <f t="shared" si="13"/>
        <v>0</v>
      </c>
      <c r="K34" s="88">
        <f t="shared" si="13"/>
        <v>0</v>
      </c>
      <c r="L34" s="88">
        <f t="shared" si="13"/>
        <v>0</v>
      </c>
      <c r="M34" s="88">
        <f t="shared" si="13"/>
        <v>0</v>
      </c>
      <c r="N34" s="88">
        <f t="shared" si="13"/>
        <v>0</v>
      </c>
      <c r="O34" s="88">
        <f t="shared" si="13"/>
        <v>0</v>
      </c>
      <c r="P34" s="88">
        <f t="shared" si="13"/>
        <v>0</v>
      </c>
      <c r="Q34" s="88">
        <f t="shared" si="13"/>
        <v>0</v>
      </c>
      <c r="R34" s="88">
        <f t="shared" si="13"/>
        <v>1</v>
      </c>
      <c r="S34" s="88">
        <f t="shared" si="13"/>
        <v>0</v>
      </c>
      <c r="T34" s="88">
        <f t="shared" si="13"/>
        <v>0</v>
      </c>
      <c r="U34" s="88">
        <f t="shared" si="13"/>
        <v>0</v>
      </c>
      <c r="V34" s="88">
        <f t="shared" si="13"/>
        <v>0</v>
      </c>
      <c r="W34" s="88">
        <f t="shared" si="13"/>
        <v>0</v>
      </c>
      <c r="X34" s="88">
        <f t="shared" si="13"/>
        <v>0</v>
      </c>
      <c r="Y34" s="88">
        <f t="shared" si="13"/>
        <v>0</v>
      </c>
      <c r="Z34" s="88">
        <f t="shared" si="13"/>
        <v>0</v>
      </c>
      <c r="AA34" s="88">
        <f t="shared" si="13"/>
        <v>0</v>
      </c>
      <c r="AB34" s="88">
        <f t="shared" si="13"/>
        <v>0</v>
      </c>
      <c r="AC34" s="88">
        <f t="shared" si="13"/>
        <v>0</v>
      </c>
      <c r="AD34" s="88">
        <f t="shared" si="13"/>
        <v>0</v>
      </c>
      <c r="AE34" s="88">
        <f t="shared" si="13"/>
        <v>0</v>
      </c>
      <c r="AF34" s="88">
        <f t="shared" si="13"/>
        <v>0</v>
      </c>
      <c r="AG34" s="88">
        <f t="shared" si="13"/>
        <v>0</v>
      </c>
      <c r="AH34" s="88">
        <f t="shared" si="13"/>
        <v>0</v>
      </c>
      <c r="AI34" s="88">
        <f t="shared" si="13"/>
        <v>0</v>
      </c>
      <c r="AJ34" s="88">
        <f t="shared" si="13"/>
        <v>0</v>
      </c>
      <c r="AK34" s="88">
        <f t="shared" si="13"/>
        <v>0</v>
      </c>
      <c r="AL34" s="88">
        <f t="shared" si="13"/>
        <v>0</v>
      </c>
      <c r="AM34" s="88">
        <f t="shared" si="13"/>
        <v>0</v>
      </c>
      <c r="AN34" s="88">
        <f t="shared" si="13"/>
        <v>1</v>
      </c>
      <c r="AO34" s="88">
        <f t="shared" si="13"/>
        <v>1</v>
      </c>
      <c r="AP34" s="88">
        <f t="shared" si="13"/>
        <v>0</v>
      </c>
      <c r="AQ34" s="88">
        <f t="shared" si="13"/>
        <v>0</v>
      </c>
      <c r="AR34" s="88">
        <f t="shared" si="13"/>
        <v>0</v>
      </c>
      <c r="AS34" s="88">
        <f t="shared" si="13"/>
        <v>0</v>
      </c>
      <c r="AT34" s="88">
        <f t="shared" si="13"/>
        <v>0</v>
      </c>
      <c r="AU34" s="88">
        <f t="shared" si="13"/>
        <v>0</v>
      </c>
      <c r="AV34" s="88">
        <f t="shared" si="13"/>
        <v>0</v>
      </c>
      <c r="AW34" s="88">
        <f t="shared" si="13"/>
        <v>1</v>
      </c>
      <c r="AX34" s="88">
        <f t="shared" si="13"/>
        <v>0</v>
      </c>
      <c r="AY34" s="88">
        <f t="shared" si="13"/>
        <v>0</v>
      </c>
      <c r="AZ34" s="88">
        <f t="shared" si="13"/>
        <v>0</v>
      </c>
      <c r="BA34" s="88">
        <f t="shared" si="13"/>
        <v>0</v>
      </c>
      <c r="BB34" s="88">
        <f t="shared" si="13"/>
        <v>0</v>
      </c>
      <c r="BC34" s="88">
        <f t="shared" si="13"/>
        <v>0</v>
      </c>
      <c r="BD34" s="88">
        <f t="shared" si="13"/>
        <v>0</v>
      </c>
      <c r="BE34" s="88">
        <f t="shared" si="13"/>
        <v>0</v>
      </c>
      <c r="BF34" s="88">
        <f t="shared" si="13"/>
        <v>0</v>
      </c>
      <c r="BG34" s="88">
        <f t="shared" si="13"/>
        <v>0</v>
      </c>
      <c r="BH34" s="88">
        <f t="shared" si="13"/>
        <v>0</v>
      </c>
      <c r="BI34" s="88">
        <f t="shared" si="13"/>
        <v>0</v>
      </c>
      <c r="BJ34" s="88">
        <f t="shared" si="13"/>
        <v>0</v>
      </c>
      <c r="BK34" s="88">
        <f t="shared" si="13"/>
        <v>0</v>
      </c>
      <c r="BL34" s="88">
        <f t="shared" si="13"/>
        <v>0</v>
      </c>
      <c r="BM34" s="88">
        <f t="shared" si="13"/>
        <v>0</v>
      </c>
      <c r="BN34" s="88">
        <f t="shared" si="13"/>
        <v>0</v>
      </c>
      <c r="BT34" s="114"/>
      <c r="CT34" s="105">
        <v>10.0</v>
      </c>
      <c r="CU34" s="107">
        <v>0.0</v>
      </c>
      <c r="CV34" s="107">
        <v>0.0</v>
      </c>
      <c r="CW34" s="107">
        <v>0.0</v>
      </c>
      <c r="CX34" s="107">
        <v>1.0</v>
      </c>
      <c r="CY34" s="107">
        <v>0.0</v>
      </c>
      <c r="DC34" s="105">
        <v>14.0</v>
      </c>
      <c r="DD34" s="107">
        <v>0.0</v>
      </c>
      <c r="DE34" s="107">
        <v>0.0</v>
      </c>
      <c r="DF34" s="107">
        <v>0.0</v>
      </c>
      <c r="DG34" s="107">
        <v>1.0</v>
      </c>
      <c r="DH34" s="107">
        <v>0.0</v>
      </c>
      <c r="DL34" s="116">
        <v>5.0</v>
      </c>
      <c r="DM34" s="107">
        <v>1.0</v>
      </c>
      <c r="DN34" s="107">
        <v>0.0</v>
      </c>
      <c r="DO34" s="107"/>
      <c r="DP34" s="107">
        <v>0.0</v>
      </c>
      <c r="DQ34" s="107">
        <v>0.0</v>
      </c>
    </row>
    <row r="35">
      <c r="BT35" s="114"/>
      <c r="CT35" s="105">
        <v>11.0</v>
      </c>
      <c r="CU35" s="107">
        <v>0.0</v>
      </c>
      <c r="CV35" s="107">
        <v>0.0</v>
      </c>
      <c r="CW35" s="107">
        <v>0.0</v>
      </c>
      <c r="CX35" s="107">
        <v>1.0</v>
      </c>
      <c r="CY35" s="107">
        <v>0.0</v>
      </c>
      <c r="DC35" s="105">
        <v>15.0</v>
      </c>
      <c r="DD35" s="107">
        <v>0.0</v>
      </c>
      <c r="DE35" s="107">
        <v>0.0</v>
      </c>
      <c r="DF35" s="107">
        <v>1.0</v>
      </c>
      <c r="DG35" s="107">
        <v>0.0</v>
      </c>
      <c r="DH35" s="107">
        <v>0.0</v>
      </c>
      <c r="DL35" s="116">
        <v>6.0</v>
      </c>
      <c r="DM35" s="107">
        <v>1.0</v>
      </c>
      <c r="DN35" s="107">
        <v>0.0</v>
      </c>
      <c r="DO35" s="107"/>
      <c r="DP35" s="107">
        <v>0.0</v>
      </c>
      <c r="DQ35" s="107">
        <v>0.0</v>
      </c>
    </row>
    <row r="36">
      <c r="BT36" s="114"/>
      <c r="CT36" s="105">
        <v>12.0</v>
      </c>
      <c r="CU36" s="107">
        <v>0.0</v>
      </c>
      <c r="CV36" s="107">
        <v>0.0</v>
      </c>
      <c r="CW36" s="107">
        <v>0.0</v>
      </c>
      <c r="CX36" s="107">
        <v>1.0</v>
      </c>
      <c r="CY36" s="107">
        <v>0.0</v>
      </c>
      <c r="DC36" s="105">
        <v>16.0</v>
      </c>
      <c r="DD36" s="107">
        <v>0.0</v>
      </c>
      <c r="DE36" s="107">
        <v>0.0</v>
      </c>
      <c r="DF36" s="107">
        <v>1.0</v>
      </c>
      <c r="DG36" s="107">
        <v>0.0</v>
      </c>
      <c r="DH36" s="107">
        <v>0.0</v>
      </c>
      <c r="DL36" s="116">
        <v>7.0</v>
      </c>
      <c r="DM36" s="107">
        <v>1.0</v>
      </c>
      <c r="DN36" s="107">
        <v>0.0</v>
      </c>
      <c r="DO36" s="107"/>
      <c r="DP36" s="107">
        <v>0.0</v>
      </c>
      <c r="DQ36" s="117" t="s">
        <v>174</v>
      </c>
    </row>
    <row r="37">
      <c r="BT37" s="114"/>
      <c r="CT37" s="105">
        <v>13.0</v>
      </c>
      <c r="CU37" s="117" t="s">
        <v>174</v>
      </c>
      <c r="CV37" s="107">
        <v>0.0</v>
      </c>
      <c r="CW37" s="117" t="s">
        <v>174</v>
      </c>
      <c r="CX37" s="107">
        <v>1.0</v>
      </c>
      <c r="CY37" s="117" t="s">
        <v>174</v>
      </c>
      <c r="DC37" s="105">
        <v>17.0</v>
      </c>
      <c r="DD37" s="107">
        <v>0.0</v>
      </c>
      <c r="DE37" s="107">
        <v>0.0</v>
      </c>
      <c r="DF37" s="107">
        <v>0.0</v>
      </c>
      <c r="DG37" s="107">
        <v>0.0</v>
      </c>
      <c r="DH37" s="107">
        <v>1.0</v>
      </c>
      <c r="DL37" s="116">
        <v>8.0</v>
      </c>
      <c r="DM37" s="107">
        <v>0.0</v>
      </c>
      <c r="DN37" s="107">
        <v>0.0</v>
      </c>
      <c r="DO37" s="107"/>
      <c r="DP37" s="107">
        <v>0.0</v>
      </c>
      <c r="DQ37" s="107">
        <v>1.0</v>
      </c>
    </row>
    <row r="38">
      <c r="BT38" s="114"/>
      <c r="CT38" s="105">
        <v>14.0</v>
      </c>
      <c r="CU38" s="107">
        <v>1.0</v>
      </c>
      <c r="CV38" s="117" t="s">
        <v>174</v>
      </c>
      <c r="CW38" s="117" t="s">
        <v>174</v>
      </c>
      <c r="CX38" s="107">
        <v>0.0</v>
      </c>
      <c r="CY38" s="117" t="s">
        <v>174</v>
      </c>
      <c r="DC38" s="105">
        <v>18.0</v>
      </c>
      <c r="DD38" s="107">
        <v>0.0</v>
      </c>
      <c r="DE38" s="107">
        <v>0.0</v>
      </c>
      <c r="DF38" s="107">
        <v>0.0</v>
      </c>
      <c r="DG38" s="107">
        <v>0.0</v>
      </c>
      <c r="DH38" s="107">
        <v>1.0</v>
      </c>
      <c r="DL38" s="116">
        <v>9.0</v>
      </c>
      <c r="DM38" s="107">
        <v>1.0</v>
      </c>
      <c r="DN38" s="107">
        <v>0.0</v>
      </c>
      <c r="DO38" s="107"/>
      <c r="DP38" s="107">
        <v>0.0</v>
      </c>
      <c r="DQ38" s="107">
        <v>0.0</v>
      </c>
    </row>
    <row r="39">
      <c r="BT39" s="114"/>
      <c r="CT39" s="105">
        <v>15.0</v>
      </c>
      <c r="CU39" s="107">
        <v>0.0</v>
      </c>
      <c r="CV39" s="107">
        <v>0.0</v>
      </c>
      <c r="CW39" s="107">
        <v>0.0</v>
      </c>
      <c r="CX39" s="107">
        <v>1.0</v>
      </c>
      <c r="CY39" s="107">
        <v>0.0</v>
      </c>
      <c r="DD39" s="47"/>
      <c r="DE39" s="47"/>
      <c r="DF39" s="47"/>
      <c r="DG39" s="47"/>
      <c r="DH39" s="47"/>
      <c r="DL39" s="116">
        <v>10.0</v>
      </c>
      <c r="DM39" s="107">
        <v>1.0</v>
      </c>
      <c r="DN39" s="107">
        <v>0.0</v>
      </c>
      <c r="DO39" s="107"/>
      <c r="DP39" s="107">
        <v>0.0</v>
      </c>
      <c r="DQ39" s="107">
        <v>0.0</v>
      </c>
    </row>
    <row r="40">
      <c r="BT40" s="114"/>
      <c r="CT40" s="105">
        <v>16.0</v>
      </c>
      <c r="CU40" s="107">
        <v>1.0</v>
      </c>
      <c r="CV40" s="107">
        <v>0.0</v>
      </c>
      <c r="CW40" s="107">
        <v>0.0</v>
      </c>
      <c r="CX40" s="107">
        <v>0.0</v>
      </c>
      <c r="CY40" s="107">
        <v>0.0</v>
      </c>
      <c r="DD40" s="47"/>
      <c r="DE40" s="47"/>
      <c r="DF40" s="47"/>
      <c r="DG40" s="47"/>
      <c r="DH40" s="47"/>
      <c r="DL40" s="116">
        <v>11.0</v>
      </c>
      <c r="DM40" s="107">
        <v>1.0</v>
      </c>
      <c r="DN40" s="107">
        <v>1.0</v>
      </c>
      <c r="DO40" s="107"/>
      <c r="DP40" s="107">
        <v>0.0</v>
      </c>
      <c r="DQ40" s="107">
        <v>0.0</v>
      </c>
    </row>
    <row r="41">
      <c r="BT41" s="114"/>
      <c r="CT41" s="105">
        <v>17.0</v>
      </c>
      <c r="CU41" s="107">
        <v>0.0</v>
      </c>
      <c r="CV41" s="107">
        <v>0.0</v>
      </c>
      <c r="CW41" s="107">
        <v>1.0</v>
      </c>
      <c r="CX41" s="107">
        <v>0.0</v>
      </c>
      <c r="CY41" s="117" t="s">
        <v>174</v>
      </c>
      <c r="DD41" s="47"/>
      <c r="DE41" s="47"/>
      <c r="DF41" s="47"/>
      <c r="DG41" s="47"/>
      <c r="DH41" s="47"/>
      <c r="DL41" s="116">
        <v>12.0</v>
      </c>
      <c r="DM41" s="107">
        <v>1.0</v>
      </c>
      <c r="DN41" s="107">
        <v>0.0</v>
      </c>
      <c r="DO41" s="107"/>
      <c r="DP41" s="107">
        <v>0.0</v>
      </c>
      <c r="DQ41" s="107">
        <v>0.0</v>
      </c>
    </row>
    <row r="42">
      <c r="BT42" s="114"/>
      <c r="CT42" s="105">
        <v>18.0</v>
      </c>
      <c r="CU42" s="107">
        <v>0.0</v>
      </c>
      <c r="CV42" s="107">
        <v>0.0</v>
      </c>
      <c r="CW42" s="107">
        <v>0.0</v>
      </c>
      <c r="CX42" s="107">
        <v>0.0</v>
      </c>
      <c r="CY42" s="107">
        <v>1.0</v>
      </c>
      <c r="DD42" s="47"/>
      <c r="DE42" s="47"/>
      <c r="DF42" s="47"/>
      <c r="DG42" s="47"/>
      <c r="DH42" s="47"/>
      <c r="DL42" s="116">
        <v>13.0</v>
      </c>
      <c r="DM42" s="107">
        <v>1.0</v>
      </c>
      <c r="DN42" s="107">
        <v>0.0</v>
      </c>
      <c r="DO42" s="107"/>
      <c r="DP42" s="107">
        <v>0.0</v>
      </c>
      <c r="DQ42" s="117" t="s">
        <v>174</v>
      </c>
    </row>
    <row r="43">
      <c r="BT43" s="114"/>
      <c r="CT43" s="105">
        <v>19.0</v>
      </c>
      <c r="CU43" s="107">
        <v>1.0</v>
      </c>
      <c r="CV43" s="107">
        <v>0.0</v>
      </c>
      <c r="CW43" s="107">
        <v>0.0</v>
      </c>
      <c r="CX43" s="107">
        <v>0.0</v>
      </c>
      <c r="CY43" s="107">
        <v>0.0</v>
      </c>
      <c r="DD43" s="47"/>
      <c r="DE43" s="47"/>
      <c r="DF43" s="47"/>
      <c r="DG43" s="47"/>
      <c r="DH43" s="47"/>
      <c r="DL43" s="116">
        <v>14.0</v>
      </c>
      <c r="DM43" s="107">
        <v>1.0</v>
      </c>
      <c r="DN43" s="117" t="s">
        <v>174</v>
      </c>
      <c r="DO43" s="107"/>
      <c r="DP43" s="117" t="s">
        <v>174</v>
      </c>
      <c r="DQ43" s="117" t="s">
        <v>174</v>
      </c>
    </row>
    <row r="44">
      <c r="BT44" s="114"/>
      <c r="CT44" s="105">
        <v>20.0</v>
      </c>
      <c r="CU44" s="107">
        <v>0.0</v>
      </c>
      <c r="CV44" s="107">
        <v>1.0</v>
      </c>
      <c r="CW44" s="107">
        <v>0.0</v>
      </c>
      <c r="CX44" s="107">
        <v>0.0</v>
      </c>
      <c r="CY44" s="107">
        <v>0.0</v>
      </c>
      <c r="DD44" s="47"/>
      <c r="DE44" s="47"/>
      <c r="DF44" s="47"/>
      <c r="DG44" s="47"/>
      <c r="DH44" s="47"/>
      <c r="DL44" s="116">
        <v>15.0</v>
      </c>
      <c r="DM44" s="107">
        <v>0.0</v>
      </c>
      <c r="DN44" s="107">
        <v>0.0</v>
      </c>
      <c r="DO44" s="107"/>
      <c r="DP44" s="107">
        <v>1.0</v>
      </c>
      <c r="DQ44" s="107">
        <v>0.0</v>
      </c>
    </row>
    <row r="45">
      <c r="BT45" s="114"/>
      <c r="CT45" s="105">
        <v>21.0</v>
      </c>
      <c r="CU45" s="107">
        <v>0.0</v>
      </c>
      <c r="CV45" s="117" t="s">
        <v>174</v>
      </c>
      <c r="CW45" s="107">
        <v>1.0</v>
      </c>
      <c r="CX45" s="107">
        <v>0.0</v>
      </c>
      <c r="CY45" s="107">
        <v>0.0</v>
      </c>
      <c r="DD45" s="47"/>
      <c r="DE45" s="47"/>
      <c r="DF45" s="47"/>
      <c r="DG45" s="47"/>
      <c r="DH45" s="47"/>
      <c r="DL45" s="116">
        <v>16.0</v>
      </c>
      <c r="DM45" s="107">
        <v>1.0</v>
      </c>
      <c r="DN45" s="107">
        <v>0.0</v>
      </c>
      <c r="DO45" s="107"/>
      <c r="DP45" s="107">
        <v>0.0</v>
      </c>
      <c r="DQ45" s="107">
        <v>0.0</v>
      </c>
    </row>
    <row r="46">
      <c r="BT46" s="114"/>
      <c r="CT46" s="105">
        <v>22.0</v>
      </c>
      <c r="CU46" s="107">
        <v>1.0</v>
      </c>
      <c r="CV46" s="107">
        <v>0.0</v>
      </c>
      <c r="CW46" s="107">
        <v>0.0</v>
      </c>
      <c r="CX46" s="107">
        <v>0.0</v>
      </c>
      <c r="CY46" s="107">
        <v>0.0</v>
      </c>
      <c r="DD46" s="47"/>
      <c r="DE46" s="47"/>
      <c r="DF46" s="47"/>
      <c r="DG46" s="47"/>
      <c r="DH46" s="47"/>
      <c r="DL46" s="116">
        <v>17.0</v>
      </c>
      <c r="DM46" s="107">
        <v>1.0</v>
      </c>
      <c r="DN46" s="107">
        <v>0.0</v>
      </c>
      <c r="DO46" s="107"/>
      <c r="DP46" s="107">
        <v>0.0</v>
      </c>
      <c r="DQ46" s="107" t="s">
        <v>174</v>
      </c>
    </row>
    <row r="47">
      <c r="BT47" s="114"/>
      <c r="CT47" s="105">
        <v>23.0</v>
      </c>
      <c r="CU47" s="107">
        <v>0.0</v>
      </c>
      <c r="CV47" s="107">
        <v>0.0</v>
      </c>
      <c r="CW47" s="107">
        <v>0.0</v>
      </c>
      <c r="CX47" s="107">
        <v>1.0</v>
      </c>
      <c r="CY47" s="107">
        <v>0.0</v>
      </c>
      <c r="DD47" s="47"/>
      <c r="DE47" s="47"/>
      <c r="DF47" s="47"/>
      <c r="DG47" s="47"/>
      <c r="DH47" s="47"/>
      <c r="DL47" s="116">
        <v>18.0</v>
      </c>
      <c r="DM47" s="107">
        <v>1.0</v>
      </c>
      <c r="DN47" s="107">
        <v>0.0</v>
      </c>
      <c r="DO47" s="107"/>
      <c r="DP47" s="107">
        <v>1.0</v>
      </c>
      <c r="DQ47" s="107">
        <v>0.0</v>
      </c>
    </row>
    <row r="48">
      <c r="BT48" s="114"/>
      <c r="CT48" s="105">
        <v>24.0</v>
      </c>
      <c r="CU48" s="107">
        <v>1.0</v>
      </c>
      <c r="CV48" s="117" t="s">
        <v>174</v>
      </c>
      <c r="CW48" s="107">
        <v>0.0</v>
      </c>
      <c r="CX48" s="107">
        <v>0.0</v>
      </c>
      <c r="CY48" s="107">
        <v>0.0</v>
      </c>
      <c r="DD48" s="47"/>
      <c r="DE48" s="47"/>
      <c r="DF48" s="47"/>
      <c r="DG48" s="47"/>
      <c r="DH48" s="47"/>
      <c r="DL48" s="116">
        <v>19.0</v>
      </c>
      <c r="DM48" s="107">
        <v>0.0</v>
      </c>
      <c r="DN48" s="107">
        <v>0.0</v>
      </c>
      <c r="DO48" s="107"/>
      <c r="DP48" s="107">
        <v>1.0</v>
      </c>
      <c r="DQ48" s="107">
        <v>0.0</v>
      </c>
    </row>
    <row r="49">
      <c r="BT49" s="114"/>
      <c r="CU49" s="47"/>
      <c r="CV49" s="47"/>
      <c r="CW49" s="47"/>
      <c r="CX49" s="47"/>
      <c r="CY49" s="47"/>
      <c r="DD49" s="47"/>
      <c r="DE49" s="47"/>
      <c r="DF49" s="47"/>
      <c r="DG49" s="47"/>
      <c r="DH49" s="47"/>
      <c r="DL49" s="116">
        <v>20.0</v>
      </c>
      <c r="DM49" s="107">
        <v>1.0</v>
      </c>
      <c r="DN49" s="107">
        <v>0.0</v>
      </c>
      <c r="DO49" s="107"/>
      <c r="DP49" s="117" t="s">
        <v>174</v>
      </c>
      <c r="DQ49" s="107">
        <v>0.0</v>
      </c>
    </row>
    <row r="50">
      <c r="BT50" s="114"/>
      <c r="CU50" s="47"/>
      <c r="CV50" s="47"/>
      <c r="CW50" s="47"/>
      <c r="CX50" s="47"/>
      <c r="CY50" s="47"/>
      <c r="DD50" s="47"/>
      <c r="DE50" s="47"/>
      <c r="DF50" s="47"/>
      <c r="DG50" s="47"/>
      <c r="DH50" s="47"/>
      <c r="DL50" s="116">
        <v>21.0</v>
      </c>
      <c r="DM50" s="107">
        <v>1.0</v>
      </c>
      <c r="DN50" s="107">
        <v>0.0</v>
      </c>
      <c r="DO50" s="107"/>
      <c r="DP50" s="117" t="s">
        <v>174</v>
      </c>
      <c r="DQ50" s="107">
        <v>0.0</v>
      </c>
    </row>
    <row r="51">
      <c r="BT51" s="114"/>
      <c r="CU51" s="47"/>
      <c r="CV51" s="47"/>
      <c r="CW51" s="47"/>
      <c r="CX51" s="47"/>
      <c r="CY51" s="47"/>
      <c r="DD51" s="47"/>
      <c r="DE51" s="47"/>
      <c r="DF51" s="47"/>
      <c r="DG51" s="47"/>
      <c r="DH51" s="47"/>
      <c r="DL51" s="116">
        <v>22.0</v>
      </c>
      <c r="DM51" s="107">
        <v>1.0</v>
      </c>
      <c r="DN51" s="107">
        <v>0.0</v>
      </c>
      <c r="DO51" s="107"/>
      <c r="DP51" s="117" t="s">
        <v>174</v>
      </c>
      <c r="DQ51" s="107">
        <v>0.0</v>
      </c>
    </row>
    <row r="52">
      <c r="BT52" s="114"/>
      <c r="CU52" s="47"/>
      <c r="CV52" s="47"/>
      <c r="CW52" s="47"/>
      <c r="CX52" s="47"/>
      <c r="CY52" s="47"/>
      <c r="DD52" s="47"/>
      <c r="DE52" s="47"/>
      <c r="DF52" s="47"/>
      <c r="DG52" s="47"/>
      <c r="DH52" s="47"/>
      <c r="DL52" s="116">
        <v>23.0</v>
      </c>
      <c r="DM52" s="107">
        <v>1.0</v>
      </c>
      <c r="DN52" s="107">
        <v>0.0</v>
      </c>
      <c r="DO52" s="107"/>
      <c r="DP52" s="117" t="s">
        <v>174</v>
      </c>
      <c r="DQ52" s="117" t="s">
        <v>174</v>
      </c>
    </row>
    <row r="53">
      <c r="BT53" s="114"/>
      <c r="CU53" s="47"/>
      <c r="CV53" s="47"/>
      <c r="CW53" s="47"/>
      <c r="CX53" s="47"/>
      <c r="CY53" s="47"/>
      <c r="DD53" s="47"/>
      <c r="DE53" s="47"/>
      <c r="DF53" s="47"/>
      <c r="DG53" s="47"/>
      <c r="DH53" s="47"/>
      <c r="DL53" s="116">
        <v>24.0</v>
      </c>
      <c r="DM53" s="107">
        <v>0.0</v>
      </c>
      <c r="DN53" s="107">
        <v>1.0</v>
      </c>
      <c r="DO53" s="107"/>
      <c r="DP53" s="107">
        <v>1.0</v>
      </c>
      <c r="DQ53" s="107">
        <v>0.0</v>
      </c>
    </row>
    <row r="54">
      <c r="CU54" s="47"/>
      <c r="CV54" s="47"/>
      <c r="CW54" s="47"/>
      <c r="CX54" s="47"/>
      <c r="CY54" s="47"/>
      <c r="DD54" s="47"/>
      <c r="DE54" s="47"/>
      <c r="DF54" s="47"/>
      <c r="DG54" s="47"/>
      <c r="DH54" s="47"/>
      <c r="DL54" s="116">
        <v>25.0</v>
      </c>
      <c r="DM54" s="107">
        <v>0.0</v>
      </c>
      <c r="DN54" s="107">
        <v>1.0</v>
      </c>
      <c r="DO54" s="107"/>
      <c r="DP54" s="107">
        <v>1.0</v>
      </c>
      <c r="DQ54" s="107">
        <v>0.0</v>
      </c>
    </row>
    <row r="55">
      <c r="CU55" s="47"/>
      <c r="CV55" s="47"/>
      <c r="CW55" s="47"/>
      <c r="CX55" s="47"/>
      <c r="CY55" s="47"/>
      <c r="DD55" s="47"/>
      <c r="DE55" s="47"/>
      <c r="DF55" s="47"/>
      <c r="DG55" s="47"/>
      <c r="DH55" s="47"/>
      <c r="DL55" s="47"/>
      <c r="DM55" s="47"/>
      <c r="DN55" s="47"/>
      <c r="DO55" s="47"/>
      <c r="DP55" s="47"/>
      <c r="DQ55" s="47"/>
    </row>
    <row r="56">
      <c r="CU56" s="47"/>
      <c r="CV56" s="47"/>
      <c r="CW56" s="47"/>
      <c r="CX56" s="47"/>
      <c r="CY56" s="47"/>
      <c r="DD56" s="47"/>
      <c r="DE56" s="47"/>
      <c r="DF56" s="47"/>
      <c r="DG56" s="47"/>
      <c r="DH56" s="47"/>
      <c r="DL56" s="47"/>
      <c r="DM56" s="47"/>
      <c r="DN56" s="47"/>
      <c r="DO56" s="47"/>
      <c r="DP56" s="47"/>
      <c r="DQ56" s="47"/>
    </row>
    <row r="57">
      <c r="CU57" s="47"/>
      <c r="CV57" s="47"/>
      <c r="CW57" s="47"/>
      <c r="CX57" s="47"/>
      <c r="CY57" s="47"/>
      <c r="DD57" s="47"/>
      <c r="DE57" s="47"/>
      <c r="DF57" s="47"/>
      <c r="DG57" s="47"/>
      <c r="DH57" s="47"/>
      <c r="DL57" s="47"/>
      <c r="DM57" s="47"/>
      <c r="DN57" s="47"/>
      <c r="DO57" s="47"/>
      <c r="DP57" s="47"/>
      <c r="DQ57" s="47"/>
    </row>
    <row r="58">
      <c r="CU58" s="47"/>
      <c r="CV58" s="47"/>
      <c r="CW58" s="47"/>
      <c r="CX58" s="47"/>
      <c r="CY58" s="47"/>
      <c r="DD58" s="47"/>
      <c r="DE58" s="47"/>
      <c r="DF58" s="47"/>
      <c r="DG58" s="47"/>
      <c r="DH58" s="47"/>
      <c r="DL58" s="47"/>
      <c r="DM58" s="47"/>
      <c r="DN58" s="47"/>
      <c r="DO58" s="47"/>
      <c r="DP58" s="47"/>
      <c r="DQ58" s="47"/>
    </row>
    <row r="59">
      <c r="CU59" s="47"/>
      <c r="CV59" s="47"/>
      <c r="CW59" s="47"/>
      <c r="CX59" s="47"/>
      <c r="CY59" s="47"/>
      <c r="DD59" s="47"/>
      <c r="DE59" s="47"/>
      <c r="DF59" s="47"/>
      <c r="DG59" s="47"/>
      <c r="DH59" s="47"/>
      <c r="DL59" s="47"/>
      <c r="DM59" s="47"/>
      <c r="DN59" s="47"/>
      <c r="DO59" s="47"/>
      <c r="DP59" s="47"/>
      <c r="DQ59" s="47"/>
    </row>
    <row r="60">
      <c r="CU60" s="47"/>
      <c r="CV60" s="47"/>
      <c r="CW60" s="47"/>
      <c r="CX60" s="47"/>
      <c r="CY60" s="47"/>
      <c r="DD60" s="47"/>
      <c r="DE60" s="47"/>
      <c r="DF60" s="47"/>
      <c r="DG60" s="47"/>
      <c r="DH60" s="47"/>
      <c r="DL60" s="47"/>
      <c r="DM60" s="47"/>
      <c r="DN60" s="47"/>
      <c r="DO60" s="47"/>
      <c r="DP60" s="47"/>
      <c r="DQ60" s="47"/>
    </row>
    <row r="61">
      <c r="CU61" s="47"/>
      <c r="CV61" s="47"/>
      <c r="CW61" s="47"/>
      <c r="CX61" s="47"/>
      <c r="CY61" s="47"/>
      <c r="DD61" s="47"/>
      <c r="DE61" s="47"/>
      <c r="DF61" s="47"/>
      <c r="DG61" s="47"/>
      <c r="DH61" s="47"/>
      <c r="DL61" s="47"/>
      <c r="DM61" s="47"/>
      <c r="DN61" s="47"/>
      <c r="DO61" s="47"/>
      <c r="DP61" s="47"/>
      <c r="DQ61" s="47"/>
    </row>
    <row r="62">
      <c r="CU62" s="47"/>
      <c r="CV62" s="47"/>
      <c r="CW62" s="47"/>
      <c r="CX62" s="47"/>
      <c r="CY62" s="47"/>
      <c r="DD62" s="47"/>
      <c r="DE62" s="47"/>
      <c r="DF62" s="47"/>
      <c r="DG62" s="47"/>
      <c r="DH62" s="47"/>
      <c r="DL62" s="47"/>
      <c r="DM62" s="47"/>
      <c r="DN62" s="47"/>
      <c r="DO62" s="47"/>
      <c r="DP62" s="47"/>
      <c r="DQ62" s="47"/>
    </row>
    <row r="63">
      <c r="CU63" s="47"/>
      <c r="CV63" s="47"/>
      <c r="CW63" s="47"/>
      <c r="CX63" s="47"/>
      <c r="CY63" s="47"/>
      <c r="DD63" s="47"/>
      <c r="DE63" s="47"/>
      <c r="DF63" s="47"/>
      <c r="DG63" s="47"/>
      <c r="DH63" s="47"/>
      <c r="DL63" s="47"/>
      <c r="DM63" s="47"/>
      <c r="DN63" s="47"/>
      <c r="DO63" s="47"/>
      <c r="DP63" s="47"/>
      <c r="DQ63" s="47"/>
    </row>
    <row r="64">
      <c r="CU64" s="47"/>
      <c r="CV64" s="47"/>
      <c r="CW64" s="47"/>
      <c r="CX64" s="47"/>
      <c r="CY64" s="47"/>
      <c r="DD64" s="47"/>
      <c r="DE64" s="47"/>
      <c r="DF64" s="47"/>
      <c r="DG64" s="47"/>
      <c r="DH64" s="47"/>
      <c r="DL64" s="47"/>
      <c r="DM64" s="47"/>
      <c r="DN64" s="47"/>
      <c r="DO64" s="47"/>
      <c r="DP64" s="47"/>
      <c r="DQ64" s="47"/>
    </row>
    <row r="65">
      <c r="CU65" s="47"/>
      <c r="CV65" s="47"/>
      <c r="CW65" s="47"/>
      <c r="CX65" s="47"/>
      <c r="CY65" s="47"/>
      <c r="DD65" s="47"/>
      <c r="DE65" s="47"/>
      <c r="DF65" s="47"/>
      <c r="DG65" s="47"/>
      <c r="DH65" s="47"/>
      <c r="DL65" s="47"/>
      <c r="DM65" s="47"/>
      <c r="DN65" s="47"/>
      <c r="DO65" s="47"/>
      <c r="DP65" s="47"/>
      <c r="DQ65" s="47"/>
    </row>
    <row r="66">
      <c r="CU66" s="47"/>
      <c r="CV66" s="47"/>
      <c r="CW66" s="47"/>
      <c r="CX66" s="47"/>
      <c r="CY66" s="47"/>
      <c r="DD66" s="47"/>
      <c r="DE66" s="47"/>
      <c r="DF66" s="47"/>
      <c r="DG66" s="47"/>
      <c r="DH66" s="47"/>
      <c r="DL66" s="47"/>
      <c r="DM66" s="47"/>
      <c r="DN66" s="47"/>
      <c r="DO66" s="47"/>
      <c r="DP66" s="47"/>
      <c r="DQ66" s="47"/>
    </row>
    <row r="67">
      <c r="CU67" s="47"/>
      <c r="CV67" s="47"/>
      <c r="CW67" s="47"/>
      <c r="CX67" s="47"/>
      <c r="CY67" s="47"/>
      <c r="DD67" s="47"/>
      <c r="DE67" s="47"/>
      <c r="DF67" s="47"/>
      <c r="DG67" s="47"/>
      <c r="DH67" s="47"/>
      <c r="DL67" s="47"/>
      <c r="DM67" s="47"/>
      <c r="DN67" s="47"/>
      <c r="DO67" s="47"/>
      <c r="DP67" s="47"/>
      <c r="DQ67" s="47"/>
    </row>
    <row r="68">
      <c r="CU68" s="47"/>
      <c r="CV68" s="47"/>
      <c r="CW68" s="47"/>
      <c r="CX68" s="47"/>
      <c r="CY68" s="47"/>
      <c r="DD68" s="47"/>
      <c r="DE68" s="47"/>
      <c r="DF68" s="47"/>
      <c r="DG68" s="47"/>
      <c r="DH68" s="47"/>
      <c r="DL68" s="47"/>
      <c r="DM68" s="47"/>
      <c r="DN68" s="47"/>
      <c r="DO68" s="47"/>
      <c r="DP68" s="47"/>
      <c r="DQ68" s="47"/>
    </row>
    <row r="69">
      <c r="CU69" s="47"/>
      <c r="CV69" s="47"/>
      <c r="CW69" s="47"/>
      <c r="CX69" s="47"/>
      <c r="CY69" s="47"/>
      <c r="DD69" s="47"/>
      <c r="DE69" s="47"/>
      <c r="DF69" s="47"/>
      <c r="DG69" s="47"/>
      <c r="DH69" s="47"/>
      <c r="DL69" s="47"/>
      <c r="DM69" s="47"/>
      <c r="DN69" s="47"/>
      <c r="DO69" s="47"/>
      <c r="DP69" s="47"/>
      <c r="DQ69" s="47"/>
    </row>
    <row r="70">
      <c r="CU70" s="47"/>
      <c r="CV70" s="47"/>
      <c r="CW70" s="47"/>
      <c r="CX70" s="47"/>
      <c r="CY70" s="47"/>
      <c r="DD70" s="47"/>
      <c r="DE70" s="47"/>
      <c r="DF70" s="47"/>
      <c r="DG70" s="47"/>
      <c r="DH70" s="47"/>
      <c r="DL70" s="47"/>
      <c r="DM70" s="47"/>
      <c r="DN70" s="47"/>
      <c r="DO70" s="47"/>
      <c r="DP70" s="47"/>
      <c r="DQ70" s="47"/>
    </row>
    <row r="71">
      <c r="CU71" s="47"/>
      <c r="CV71" s="47"/>
      <c r="CW71" s="47"/>
      <c r="CX71" s="47"/>
      <c r="CY71" s="47"/>
      <c r="DD71" s="47"/>
      <c r="DE71" s="47"/>
      <c r="DF71" s="47"/>
      <c r="DG71" s="47"/>
      <c r="DH71" s="47"/>
      <c r="DL71" s="47"/>
      <c r="DM71" s="47"/>
      <c r="DN71" s="47"/>
      <c r="DO71" s="47"/>
      <c r="DP71" s="47"/>
      <c r="DQ71" s="47"/>
    </row>
    <row r="72">
      <c r="CU72" s="47"/>
      <c r="CV72" s="47"/>
      <c r="CW72" s="47"/>
      <c r="CX72" s="47"/>
      <c r="CY72" s="47"/>
      <c r="DD72" s="47"/>
      <c r="DE72" s="47"/>
      <c r="DF72" s="47"/>
      <c r="DG72" s="47"/>
      <c r="DH72" s="47"/>
      <c r="DL72" s="47"/>
      <c r="DM72" s="47"/>
      <c r="DN72" s="47"/>
      <c r="DO72" s="47"/>
      <c r="DP72" s="47"/>
      <c r="DQ72" s="47"/>
    </row>
    <row r="73">
      <c r="CU73" s="47"/>
      <c r="CV73" s="47"/>
      <c r="CW73" s="47"/>
      <c r="CX73" s="47"/>
      <c r="CY73" s="47"/>
      <c r="DD73" s="47"/>
      <c r="DE73" s="47"/>
      <c r="DF73" s="47"/>
      <c r="DG73" s="47"/>
      <c r="DH73" s="47"/>
      <c r="DL73" s="47"/>
      <c r="DM73" s="47"/>
      <c r="DN73" s="47"/>
      <c r="DO73" s="47"/>
      <c r="DP73" s="47"/>
      <c r="DQ73" s="47"/>
    </row>
    <row r="74">
      <c r="CU74" s="47"/>
      <c r="CV74" s="47"/>
      <c r="CW74" s="47"/>
      <c r="CX74" s="47"/>
      <c r="CY74" s="47"/>
      <c r="DD74" s="47"/>
      <c r="DE74" s="47"/>
      <c r="DF74" s="47"/>
      <c r="DG74" s="47"/>
      <c r="DH74" s="47"/>
      <c r="DL74" s="47"/>
      <c r="DM74" s="47"/>
      <c r="DN74" s="47"/>
      <c r="DO74" s="47"/>
      <c r="DP74" s="47"/>
      <c r="DQ74" s="47"/>
    </row>
    <row r="75">
      <c r="CU75" s="47"/>
      <c r="CV75" s="47"/>
      <c r="CW75" s="47"/>
      <c r="CX75" s="47"/>
      <c r="CY75" s="47"/>
      <c r="DD75" s="47"/>
      <c r="DE75" s="47"/>
      <c r="DF75" s="47"/>
      <c r="DG75" s="47"/>
      <c r="DH75" s="47"/>
      <c r="DL75" s="47"/>
      <c r="DM75" s="47"/>
      <c r="DN75" s="47"/>
      <c r="DO75" s="47"/>
      <c r="DP75" s="47"/>
      <c r="DQ75" s="47"/>
    </row>
    <row r="76">
      <c r="CU76" s="47"/>
      <c r="CV76" s="47"/>
      <c r="CW76" s="47"/>
      <c r="CX76" s="47"/>
      <c r="CY76" s="47"/>
      <c r="DD76" s="47"/>
      <c r="DE76" s="47"/>
      <c r="DF76" s="47"/>
      <c r="DG76" s="47"/>
      <c r="DH76" s="47"/>
      <c r="DL76" s="47"/>
      <c r="DM76" s="47"/>
      <c r="DN76" s="47"/>
      <c r="DO76" s="47"/>
      <c r="DP76" s="47"/>
      <c r="DQ76" s="47"/>
    </row>
    <row r="77">
      <c r="CU77" s="47"/>
      <c r="CV77" s="47"/>
      <c r="CW77" s="47"/>
      <c r="CX77" s="47"/>
      <c r="CY77" s="47"/>
      <c r="DD77" s="47"/>
      <c r="DE77" s="47"/>
      <c r="DF77" s="47"/>
      <c r="DG77" s="47"/>
      <c r="DH77" s="47"/>
      <c r="DL77" s="47"/>
      <c r="DM77" s="47"/>
      <c r="DN77" s="47"/>
      <c r="DO77" s="47"/>
      <c r="DP77" s="47"/>
      <c r="DQ77" s="47"/>
    </row>
    <row r="78">
      <c r="CU78" s="47"/>
      <c r="CV78" s="47"/>
      <c r="CW78" s="47"/>
      <c r="CX78" s="47"/>
      <c r="CY78" s="47"/>
      <c r="DD78" s="47"/>
      <c r="DE78" s="47"/>
      <c r="DF78" s="47"/>
      <c r="DG78" s="47"/>
      <c r="DH78" s="47"/>
      <c r="DL78" s="47"/>
      <c r="DM78" s="47"/>
      <c r="DN78" s="47"/>
      <c r="DO78" s="47"/>
      <c r="DP78" s="47"/>
      <c r="DQ78" s="47"/>
    </row>
    <row r="79">
      <c r="CU79" s="47"/>
      <c r="CV79" s="47"/>
      <c r="CW79" s="47"/>
      <c r="CX79" s="47"/>
      <c r="CY79" s="47"/>
      <c r="DD79" s="47"/>
      <c r="DE79" s="47"/>
      <c r="DF79" s="47"/>
      <c r="DG79" s="47"/>
      <c r="DH79" s="47"/>
      <c r="DL79" s="47"/>
      <c r="DM79" s="47"/>
      <c r="DN79" s="47"/>
      <c r="DO79" s="47"/>
      <c r="DP79" s="47"/>
      <c r="DQ79" s="47"/>
    </row>
    <row r="80">
      <c r="CU80" s="47"/>
      <c r="CV80" s="47"/>
      <c r="CW80" s="47"/>
      <c r="CX80" s="47"/>
      <c r="CY80" s="47"/>
      <c r="DD80" s="47"/>
      <c r="DE80" s="47"/>
      <c r="DF80" s="47"/>
      <c r="DG80" s="47"/>
      <c r="DH80" s="47"/>
      <c r="DL80" s="47"/>
      <c r="DM80" s="47"/>
      <c r="DN80" s="47"/>
      <c r="DO80" s="47"/>
      <c r="DP80" s="47"/>
      <c r="DQ80" s="47"/>
    </row>
    <row r="81">
      <c r="CU81" s="47"/>
      <c r="CV81" s="47"/>
      <c r="CW81" s="47"/>
      <c r="CX81" s="47"/>
      <c r="CY81" s="47"/>
      <c r="DD81" s="47"/>
      <c r="DE81" s="47"/>
      <c r="DF81" s="47"/>
      <c r="DG81" s="47"/>
      <c r="DH81" s="47"/>
      <c r="DL81" s="47"/>
      <c r="DM81" s="47"/>
      <c r="DN81" s="47"/>
      <c r="DO81" s="47"/>
      <c r="DP81" s="47"/>
      <c r="DQ81" s="47"/>
    </row>
    <row r="82">
      <c r="CU82" s="47"/>
      <c r="CV82" s="47"/>
      <c r="CW82" s="47"/>
      <c r="CX82" s="47"/>
      <c r="CY82" s="47"/>
      <c r="DD82" s="47"/>
      <c r="DE82" s="47"/>
      <c r="DF82" s="47"/>
      <c r="DG82" s="47"/>
      <c r="DH82" s="47"/>
      <c r="DL82" s="47"/>
      <c r="DM82" s="47"/>
      <c r="DN82" s="47"/>
      <c r="DO82" s="47"/>
      <c r="DP82" s="47"/>
      <c r="DQ82" s="47"/>
    </row>
    <row r="83">
      <c r="CU83" s="47"/>
      <c r="CV83" s="47"/>
      <c r="CW83" s="47"/>
      <c r="CX83" s="47"/>
      <c r="CY83" s="47"/>
      <c r="DD83" s="47"/>
      <c r="DE83" s="47"/>
      <c r="DF83" s="47"/>
      <c r="DG83" s="47"/>
      <c r="DH83" s="47"/>
      <c r="DL83" s="47"/>
      <c r="DM83" s="47"/>
      <c r="DN83" s="47"/>
      <c r="DO83" s="47"/>
      <c r="DP83" s="47"/>
      <c r="DQ83" s="47"/>
    </row>
    <row r="84">
      <c r="CU84" s="47"/>
      <c r="CV84" s="47"/>
      <c r="CW84" s="47"/>
      <c r="CX84" s="47"/>
      <c r="CY84" s="47"/>
      <c r="DD84" s="47"/>
      <c r="DE84" s="47"/>
      <c r="DF84" s="47"/>
      <c r="DG84" s="47"/>
      <c r="DH84" s="47"/>
      <c r="DL84" s="47"/>
      <c r="DM84" s="47"/>
      <c r="DN84" s="47"/>
      <c r="DO84" s="47"/>
      <c r="DP84" s="47"/>
      <c r="DQ84" s="47"/>
    </row>
    <row r="85">
      <c r="CU85" s="47"/>
      <c r="CV85" s="47"/>
      <c r="CW85" s="47"/>
      <c r="CX85" s="47"/>
      <c r="CY85" s="47"/>
      <c r="DD85" s="47"/>
      <c r="DE85" s="47"/>
      <c r="DF85" s="47"/>
      <c r="DG85" s="47"/>
      <c r="DH85" s="47"/>
      <c r="DL85" s="47"/>
      <c r="DM85" s="47"/>
      <c r="DN85" s="47"/>
      <c r="DO85" s="47"/>
      <c r="DP85" s="47"/>
      <c r="DQ85" s="47"/>
    </row>
    <row r="86">
      <c r="CU86" s="47"/>
      <c r="CV86" s="47"/>
      <c r="CW86" s="47"/>
      <c r="CX86" s="47"/>
      <c r="CY86" s="47"/>
      <c r="DD86" s="47"/>
      <c r="DE86" s="47"/>
      <c r="DF86" s="47"/>
      <c r="DG86" s="47"/>
      <c r="DH86" s="47"/>
      <c r="DL86" s="47"/>
      <c r="DM86" s="47"/>
      <c r="DN86" s="47"/>
      <c r="DO86" s="47"/>
      <c r="DP86" s="47"/>
      <c r="DQ86" s="47"/>
    </row>
    <row r="87">
      <c r="CU87" s="47"/>
      <c r="CV87" s="47"/>
      <c r="CW87" s="47"/>
      <c r="CX87" s="47"/>
      <c r="CY87" s="47"/>
      <c r="DD87" s="47"/>
      <c r="DE87" s="47"/>
      <c r="DF87" s="47"/>
      <c r="DG87" s="47"/>
      <c r="DH87" s="47"/>
      <c r="DL87" s="47"/>
      <c r="DM87" s="47"/>
      <c r="DN87" s="47"/>
      <c r="DO87" s="47"/>
      <c r="DP87" s="47"/>
      <c r="DQ87" s="47"/>
    </row>
    <row r="88">
      <c r="CU88" s="47"/>
      <c r="CV88" s="47"/>
      <c r="CW88" s="47"/>
      <c r="CX88" s="47"/>
      <c r="CY88" s="47"/>
      <c r="DD88" s="47"/>
      <c r="DE88" s="47"/>
      <c r="DF88" s="47"/>
      <c r="DG88" s="47"/>
      <c r="DH88" s="47"/>
      <c r="DL88" s="47"/>
      <c r="DM88" s="47"/>
      <c r="DN88" s="47"/>
      <c r="DO88" s="47"/>
      <c r="DP88" s="47"/>
      <c r="DQ88" s="47"/>
    </row>
    <row r="89">
      <c r="CU89" s="47"/>
      <c r="CV89" s="47"/>
      <c r="CW89" s="47"/>
      <c r="CX89" s="47"/>
      <c r="CY89" s="47"/>
      <c r="DD89" s="47"/>
      <c r="DE89" s="47"/>
      <c r="DF89" s="47"/>
      <c r="DG89" s="47"/>
      <c r="DH89" s="47"/>
      <c r="DL89" s="47"/>
      <c r="DM89" s="47"/>
      <c r="DN89" s="47"/>
      <c r="DO89" s="47"/>
      <c r="DP89" s="47"/>
      <c r="DQ89" s="47"/>
    </row>
    <row r="90">
      <c r="CU90" s="47"/>
      <c r="CV90" s="47"/>
      <c r="CW90" s="47"/>
      <c r="CX90" s="47"/>
      <c r="CY90" s="47"/>
      <c r="DD90" s="47"/>
      <c r="DE90" s="47"/>
      <c r="DF90" s="47"/>
      <c r="DG90" s="47"/>
      <c r="DH90" s="47"/>
      <c r="DL90" s="47"/>
      <c r="DM90" s="47"/>
      <c r="DN90" s="47"/>
      <c r="DO90" s="47"/>
      <c r="DP90" s="47"/>
      <c r="DQ90" s="47"/>
    </row>
    <row r="91">
      <c r="CU91" s="47"/>
      <c r="CV91" s="47"/>
      <c r="CW91" s="47"/>
      <c r="CX91" s="47"/>
      <c r="CY91" s="47"/>
      <c r="DD91" s="47"/>
      <c r="DE91" s="47"/>
      <c r="DF91" s="47"/>
      <c r="DG91" s="47"/>
      <c r="DH91" s="47"/>
      <c r="DL91" s="47"/>
      <c r="DM91" s="47"/>
      <c r="DN91" s="47"/>
      <c r="DO91" s="47"/>
      <c r="DP91" s="47"/>
      <c r="DQ91" s="47"/>
    </row>
    <row r="92">
      <c r="CU92" s="47"/>
      <c r="CV92" s="47"/>
      <c r="CW92" s="47"/>
      <c r="CX92" s="47"/>
      <c r="CY92" s="47"/>
      <c r="DD92" s="47"/>
      <c r="DE92" s="47"/>
      <c r="DF92" s="47"/>
      <c r="DG92" s="47"/>
      <c r="DH92" s="47"/>
      <c r="DL92" s="47"/>
      <c r="DM92" s="47"/>
      <c r="DN92" s="47"/>
      <c r="DO92" s="47"/>
      <c r="DP92" s="47"/>
      <c r="DQ92" s="47"/>
    </row>
    <row r="93">
      <c r="CU93" s="47"/>
      <c r="CV93" s="47"/>
      <c r="CW93" s="47"/>
      <c r="CX93" s="47"/>
      <c r="CY93" s="47"/>
      <c r="DD93" s="47"/>
      <c r="DE93" s="47"/>
      <c r="DF93" s="47"/>
      <c r="DG93" s="47"/>
      <c r="DH93" s="47"/>
      <c r="DL93" s="47"/>
      <c r="DM93" s="47"/>
      <c r="DN93" s="47"/>
      <c r="DO93" s="47"/>
      <c r="DP93" s="47"/>
      <c r="DQ93" s="47"/>
    </row>
    <row r="94">
      <c r="CU94" s="47"/>
      <c r="CV94" s="47"/>
      <c r="CW94" s="47"/>
      <c r="CX94" s="47"/>
      <c r="CY94" s="47"/>
      <c r="DD94" s="47"/>
      <c r="DE94" s="47"/>
      <c r="DF94" s="47"/>
      <c r="DG94" s="47"/>
      <c r="DH94" s="47"/>
      <c r="DL94" s="47"/>
      <c r="DM94" s="47"/>
      <c r="DN94" s="47"/>
      <c r="DO94" s="47"/>
      <c r="DP94" s="47"/>
      <c r="DQ94" s="47"/>
    </row>
    <row r="95">
      <c r="CU95" s="47"/>
      <c r="CV95" s="47"/>
      <c r="CW95" s="47"/>
      <c r="CX95" s="47"/>
      <c r="CY95" s="47"/>
      <c r="DD95" s="47"/>
      <c r="DE95" s="47"/>
      <c r="DF95" s="47"/>
      <c r="DG95" s="47"/>
      <c r="DH95" s="47"/>
      <c r="DL95" s="47"/>
      <c r="DM95" s="47"/>
      <c r="DN95" s="47"/>
      <c r="DO95" s="47"/>
      <c r="DP95" s="47"/>
      <c r="DQ95" s="47"/>
    </row>
    <row r="96">
      <c r="CU96" s="47"/>
      <c r="CV96" s="47"/>
      <c r="CW96" s="47"/>
      <c r="CX96" s="47"/>
      <c r="CY96" s="47"/>
      <c r="DD96" s="47"/>
      <c r="DE96" s="47"/>
      <c r="DF96" s="47"/>
      <c r="DG96" s="47"/>
      <c r="DH96" s="47"/>
      <c r="DL96" s="47"/>
      <c r="DM96" s="47"/>
      <c r="DN96" s="47"/>
      <c r="DO96" s="47"/>
      <c r="DP96" s="47"/>
      <c r="DQ96" s="47"/>
    </row>
    <row r="97">
      <c r="CU97" s="47"/>
      <c r="CV97" s="47"/>
      <c r="CW97" s="47"/>
      <c r="CX97" s="47"/>
      <c r="CY97" s="47"/>
      <c r="DD97" s="47"/>
      <c r="DE97" s="47"/>
      <c r="DF97" s="47"/>
      <c r="DG97" s="47"/>
      <c r="DH97" s="47"/>
      <c r="DL97" s="47"/>
      <c r="DM97" s="47"/>
      <c r="DN97" s="47"/>
      <c r="DO97" s="47"/>
      <c r="DP97" s="47"/>
      <c r="DQ97" s="47"/>
    </row>
    <row r="98">
      <c r="CU98" s="47"/>
      <c r="CV98" s="47"/>
      <c r="CW98" s="47"/>
      <c r="CX98" s="47"/>
      <c r="CY98" s="47"/>
      <c r="DD98" s="47"/>
      <c r="DE98" s="47"/>
      <c r="DF98" s="47"/>
      <c r="DG98" s="47"/>
      <c r="DH98" s="47"/>
      <c r="DL98" s="47"/>
      <c r="DM98" s="47"/>
      <c r="DN98" s="47"/>
      <c r="DO98" s="47"/>
      <c r="DP98" s="47"/>
      <c r="DQ98" s="47"/>
    </row>
    <row r="99">
      <c r="CU99" s="47"/>
      <c r="CV99" s="47"/>
      <c r="CW99" s="47"/>
      <c r="CX99" s="47"/>
      <c r="CY99" s="47"/>
      <c r="DD99" s="47"/>
      <c r="DE99" s="47"/>
      <c r="DF99" s="47"/>
      <c r="DG99" s="47"/>
      <c r="DH99" s="47"/>
      <c r="DL99" s="47"/>
      <c r="DM99" s="47"/>
      <c r="DN99" s="47"/>
      <c r="DO99" s="47"/>
      <c r="DP99" s="47"/>
      <c r="DQ99" s="47"/>
    </row>
    <row r="100">
      <c r="CU100" s="47"/>
      <c r="CV100" s="47"/>
      <c r="CW100" s="47"/>
      <c r="CX100" s="47"/>
      <c r="CY100" s="47"/>
      <c r="DD100" s="47"/>
      <c r="DE100" s="47"/>
      <c r="DF100" s="47"/>
      <c r="DG100" s="47"/>
      <c r="DH100" s="47"/>
      <c r="DL100" s="47"/>
      <c r="DM100" s="47"/>
      <c r="DN100" s="47"/>
      <c r="DO100" s="47"/>
      <c r="DP100" s="47"/>
      <c r="DQ100" s="47"/>
    </row>
    <row r="101">
      <c r="CU101" s="47"/>
      <c r="CV101" s="47"/>
      <c r="CW101" s="47"/>
      <c r="CX101" s="47"/>
      <c r="CY101" s="47"/>
      <c r="DD101" s="47"/>
      <c r="DE101" s="47"/>
      <c r="DF101" s="47"/>
      <c r="DG101" s="47"/>
      <c r="DH101" s="47"/>
      <c r="DL101" s="47"/>
      <c r="DM101" s="47"/>
      <c r="DN101" s="47"/>
      <c r="DO101" s="47"/>
      <c r="DP101" s="47"/>
      <c r="DQ101" s="47"/>
    </row>
    <row r="102">
      <c r="CU102" s="47"/>
      <c r="CV102" s="47"/>
      <c r="CW102" s="47"/>
      <c r="CX102" s="47"/>
      <c r="CY102" s="47"/>
      <c r="DD102" s="47"/>
      <c r="DE102" s="47"/>
      <c r="DF102" s="47"/>
      <c r="DG102" s="47"/>
      <c r="DH102" s="47"/>
      <c r="DL102" s="47"/>
      <c r="DM102" s="47"/>
      <c r="DN102" s="47"/>
      <c r="DO102" s="47"/>
      <c r="DP102" s="47"/>
      <c r="DQ102" s="47"/>
    </row>
    <row r="103">
      <c r="CU103" s="47"/>
      <c r="CV103" s="47"/>
      <c r="CW103" s="47"/>
      <c r="CX103" s="47"/>
      <c r="CY103" s="47"/>
      <c r="DD103" s="47"/>
      <c r="DE103" s="47"/>
      <c r="DF103" s="47"/>
      <c r="DG103" s="47"/>
      <c r="DH103" s="47"/>
      <c r="DL103" s="47"/>
      <c r="DM103" s="47"/>
      <c r="DN103" s="47"/>
      <c r="DO103" s="47"/>
      <c r="DP103" s="47"/>
      <c r="DQ103" s="47"/>
    </row>
    <row r="104">
      <c r="CU104" s="47"/>
      <c r="CV104" s="47"/>
      <c r="CW104" s="47"/>
      <c r="CX104" s="47"/>
      <c r="CY104" s="47"/>
      <c r="DD104" s="47"/>
      <c r="DE104" s="47"/>
      <c r="DF104" s="47"/>
      <c r="DG104" s="47"/>
      <c r="DH104" s="47"/>
      <c r="DL104" s="47"/>
      <c r="DM104" s="47"/>
      <c r="DN104" s="47"/>
      <c r="DO104" s="47"/>
      <c r="DP104" s="47"/>
      <c r="DQ104" s="47"/>
    </row>
    <row r="105">
      <c r="CU105" s="47"/>
      <c r="CV105" s="47"/>
      <c r="CW105" s="47"/>
      <c r="CX105" s="47"/>
      <c r="CY105" s="47"/>
      <c r="DD105" s="47"/>
      <c r="DE105" s="47"/>
      <c r="DF105" s="47"/>
      <c r="DG105" s="47"/>
      <c r="DH105" s="47"/>
      <c r="DL105" s="47"/>
      <c r="DM105" s="47"/>
      <c r="DN105" s="47"/>
      <c r="DO105" s="47"/>
      <c r="DP105" s="47"/>
      <c r="DQ105" s="47"/>
    </row>
    <row r="106">
      <c r="CU106" s="47"/>
      <c r="CV106" s="47"/>
      <c r="CW106" s="47"/>
      <c r="CX106" s="47"/>
      <c r="CY106" s="47"/>
      <c r="DD106" s="47"/>
      <c r="DE106" s="47"/>
      <c r="DF106" s="47"/>
      <c r="DG106" s="47"/>
      <c r="DH106" s="47"/>
      <c r="DL106" s="47"/>
      <c r="DM106" s="47"/>
      <c r="DN106" s="47"/>
      <c r="DO106" s="47"/>
      <c r="DP106" s="47"/>
      <c r="DQ106" s="47"/>
    </row>
    <row r="107">
      <c r="CU107" s="47"/>
      <c r="CV107" s="47"/>
      <c r="CW107" s="47"/>
      <c r="CX107" s="47"/>
      <c r="CY107" s="47"/>
      <c r="DD107" s="47"/>
      <c r="DE107" s="47"/>
      <c r="DF107" s="47"/>
      <c r="DG107" s="47"/>
      <c r="DH107" s="47"/>
      <c r="DL107" s="47"/>
      <c r="DM107" s="47"/>
      <c r="DN107" s="47"/>
      <c r="DO107" s="47"/>
      <c r="DP107" s="47"/>
      <c r="DQ107" s="47"/>
    </row>
    <row r="108">
      <c r="CU108" s="47"/>
      <c r="CV108" s="47"/>
      <c r="CW108" s="47"/>
      <c r="CX108" s="47"/>
      <c r="CY108" s="47"/>
      <c r="DD108" s="47"/>
      <c r="DE108" s="47"/>
      <c r="DF108" s="47"/>
      <c r="DG108" s="47"/>
      <c r="DH108" s="47"/>
      <c r="DL108" s="47"/>
      <c r="DM108" s="47"/>
      <c r="DN108" s="47"/>
      <c r="DO108" s="47"/>
      <c r="DP108" s="47"/>
      <c r="DQ108" s="47"/>
    </row>
    <row r="109">
      <c r="CU109" s="47"/>
      <c r="CV109" s="47"/>
      <c r="CW109" s="47"/>
      <c r="CX109" s="47"/>
      <c r="CY109" s="47"/>
      <c r="DD109" s="47"/>
      <c r="DE109" s="47"/>
      <c r="DF109" s="47"/>
      <c r="DG109" s="47"/>
      <c r="DH109" s="47"/>
      <c r="DL109" s="47"/>
      <c r="DM109" s="47"/>
      <c r="DN109" s="47"/>
      <c r="DO109" s="47"/>
      <c r="DP109" s="47"/>
      <c r="DQ109" s="47"/>
    </row>
    <row r="110">
      <c r="CU110" s="47"/>
      <c r="CV110" s="47"/>
      <c r="CW110" s="47"/>
      <c r="CX110" s="47"/>
      <c r="CY110" s="47"/>
      <c r="DD110" s="47"/>
      <c r="DE110" s="47"/>
      <c r="DF110" s="47"/>
      <c r="DG110" s="47"/>
      <c r="DH110" s="47"/>
      <c r="DL110" s="47"/>
      <c r="DM110" s="47"/>
      <c r="DN110" s="47"/>
      <c r="DO110" s="47"/>
      <c r="DP110" s="47"/>
      <c r="DQ110" s="47"/>
    </row>
    <row r="111">
      <c r="CU111" s="47"/>
      <c r="CV111" s="47"/>
      <c r="CW111" s="47"/>
      <c r="CX111" s="47"/>
      <c r="CY111" s="47"/>
      <c r="DD111" s="47"/>
      <c r="DE111" s="47"/>
      <c r="DF111" s="47"/>
      <c r="DG111" s="47"/>
      <c r="DH111" s="47"/>
      <c r="DL111" s="47"/>
      <c r="DM111" s="47"/>
      <c r="DN111" s="47"/>
      <c r="DO111" s="47"/>
      <c r="DP111" s="47"/>
      <c r="DQ111" s="47"/>
    </row>
    <row r="112">
      <c r="CU112" s="47"/>
      <c r="CV112" s="47"/>
      <c r="CW112" s="47"/>
      <c r="CX112" s="47"/>
      <c r="CY112" s="47"/>
      <c r="DD112" s="47"/>
      <c r="DE112" s="47"/>
      <c r="DF112" s="47"/>
      <c r="DG112" s="47"/>
      <c r="DH112" s="47"/>
      <c r="DL112" s="47"/>
      <c r="DM112" s="47"/>
      <c r="DN112" s="47"/>
      <c r="DO112" s="47"/>
      <c r="DP112" s="47"/>
      <c r="DQ112" s="47"/>
    </row>
    <row r="113">
      <c r="CU113" s="47"/>
      <c r="CV113" s="47"/>
      <c r="CW113" s="47"/>
      <c r="CX113" s="47"/>
      <c r="CY113" s="47"/>
      <c r="DD113" s="47"/>
      <c r="DE113" s="47"/>
      <c r="DF113" s="47"/>
      <c r="DG113" s="47"/>
      <c r="DH113" s="47"/>
      <c r="DL113" s="47"/>
      <c r="DM113" s="47"/>
      <c r="DN113" s="47"/>
      <c r="DO113" s="47"/>
      <c r="DP113" s="47"/>
      <c r="DQ113" s="47"/>
    </row>
    <row r="114">
      <c r="CU114" s="47"/>
      <c r="CV114" s="47"/>
      <c r="CW114" s="47"/>
      <c r="CX114" s="47"/>
      <c r="CY114" s="47"/>
      <c r="DD114" s="47"/>
      <c r="DE114" s="47"/>
      <c r="DF114" s="47"/>
      <c r="DG114" s="47"/>
      <c r="DH114" s="47"/>
      <c r="DL114" s="47"/>
      <c r="DM114" s="47"/>
      <c r="DN114" s="47"/>
      <c r="DO114" s="47"/>
      <c r="DP114" s="47"/>
      <c r="DQ114" s="47"/>
    </row>
    <row r="115">
      <c r="CU115" s="47"/>
      <c r="CV115" s="47"/>
      <c r="CW115" s="47"/>
      <c r="CX115" s="47"/>
      <c r="CY115" s="47"/>
      <c r="DD115" s="47"/>
      <c r="DE115" s="47"/>
      <c r="DF115" s="47"/>
      <c r="DG115" s="47"/>
      <c r="DH115" s="47"/>
      <c r="DL115" s="47"/>
      <c r="DM115" s="47"/>
      <c r="DN115" s="47"/>
      <c r="DO115" s="47"/>
      <c r="DP115" s="47"/>
      <c r="DQ115" s="47"/>
    </row>
    <row r="116">
      <c r="CU116" s="47"/>
      <c r="CV116" s="47"/>
      <c r="CW116" s="47"/>
      <c r="CX116" s="47"/>
      <c r="CY116" s="47"/>
      <c r="DD116" s="47"/>
      <c r="DE116" s="47"/>
      <c r="DF116" s="47"/>
      <c r="DG116" s="47"/>
      <c r="DH116" s="47"/>
      <c r="DL116" s="47"/>
      <c r="DM116" s="47"/>
      <c r="DN116" s="47"/>
      <c r="DO116" s="47"/>
      <c r="DP116" s="47"/>
      <c r="DQ116" s="47"/>
    </row>
    <row r="117">
      <c r="CU117" s="47"/>
      <c r="CV117" s="47"/>
      <c r="CW117" s="47"/>
      <c r="CX117" s="47"/>
      <c r="CY117" s="47"/>
      <c r="DD117" s="47"/>
      <c r="DE117" s="47"/>
      <c r="DF117" s="47"/>
      <c r="DG117" s="47"/>
      <c r="DH117" s="47"/>
      <c r="DL117" s="47"/>
      <c r="DM117" s="47"/>
      <c r="DN117" s="47"/>
      <c r="DO117" s="47"/>
      <c r="DP117" s="47"/>
      <c r="DQ117" s="47"/>
    </row>
    <row r="118">
      <c r="CU118" s="47"/>
      <c r="CV118" s="47"/>
      <c r="CW118" s="47"/>
      <c r="CX118" s="47"/>
      <c r="CY118" s="47"/>
      <c r="DD118" s="47"/>
      <c r="DE118" s="47"/>
      <c r="DF118" s="47"/>
      <c r="DG118" s="47"/>
      <c r="DH118" s="47"/>
      <c r="DL118" s="47"/>
      <c r="DM118" s="47"/>
      <c r="DN118" s="47"/>
      <c r="DO118" s="47"/>
      <c r="DP118" s="47"/>
      <c r="DQ118" s="47"/>
    </row>
    <row r="119">
      <c r="CU119" s="47"/>
      <c r="CV119" s="47"/>
      <c r="CW119" s="47"/>
      <c r="CX119" s="47"/>
      <c r="CY119" s="47"/>
      <c r="DD119" s="47"/>
      <c r="DE119" s="47"/>
      <c r="DF119" s="47"/>
      <c r="DG119" s="47"/>
      <c r="DH119" s="47"/>
      <c r="DL119" s="47"/>
      <c r="DM119" s="47"/>
      <c r="DN119" s="47"/>
      <c r="DO119" s="47"/>
      <c r="DP119" s="47"/>
      <c r="DQ119" s="47"/>
    </row>
    <row r="120">
      <c r="CU120" s="47"/>
      <c r="CV120" s="47"/>
      <c r="CW120" s="47"/>
      <c r="CX120" s="47"/>
      <c r="CY120" s="47"/>
      <c r="DD120" s="47"/>
      <c r="DE120" s="47"/>
      <c r="DF120" s="47"/>
      <c r="DG120" s="47"/>
      <c r="DH120" s="47"/>
      <c r="DL120" s="47"/>
      <c r="DM120" s="47"/>
      <c r="DN120" s="47"/>
      <c r="DO120" s="47"/>
      <c r="DP120" s="47"/>
      <c r="DQ120" s="47"/>
    </row>
    <row r="121">
      <c r="CU121" s="47"/>
      <c r="CV121" s="47"/>
      <c r="CW121" s="47"/>
      <c r="CX121" s="47"/>
      <c r="CY121" s="47"/>
      <c r="DD121" s="47"/>
      <c r="DE121" s="47"/>
      <c r="DF121" s="47"/>
      <c r="DG121" s="47"/>
      <c r="DH121" s="47"/>
      <c r="DL121" s="47"/>
      <c r="DM121" s="47"/>
      <c r="DN121" s="47"/>
      <c r="DO121" s="47"/>
      <c r="DP121" s="47"/>
      <c r="DQ121" s="47"/>
    </row>
    <row r="122">
      <c r="CU122" s="47"/>
      <c r="CV122" s="47"/>
      <c r="CW122" s="47"/>
      <c r="CX122" s="47"/>
      <c r="CY122" s="47"/>
      <c r="DD122" s="47"/>
      <c r="DE122" s="47"/>
      <c r="DF122" s="47"/>
      <c r="DG122" s="47"/>
      <c r="DH122" s="47"/>
      <c r="DL122" s="47"/>
      <c r="DM122" s="47"/>
      <c r="DN122" s="47"/>
      <c r="DO122" s="47"/>
      <c r="DP122" s="47"/>
      <c r="DQ122" s="47"/>
    </row>
    <row r="123">
      <c r="CU123" s="47"/>
      <c r="CV123" s="47"/>
      <c r="CW123" s="47"/>
      <c r="CX123" s="47"/>
      <c r="CY123" s="47"/>
      <c r="DD123" s="47"/>
      <c r="DE123" s="47"/>
      <c r="DF123" s="47"/>
      <c r="DG123" s="47"/>
      <c r="DH123" s="47"/>
      <c r="DL123" s="47"/>
      <c r="DM123" s="47"/>
      <c r="DN123" s="47"/>
      <c r="DO123" s="47"/>
      <c r="DP123" s="47"/>
      <c r="DQ123" s="47"/>
    </row>
    <row r="124">
      <c r="CU124" s="47"/>
      <c r="CV124" s="47"/>
      <c r="CW124" s="47"/>
      <c r="CX124" s="47"/>
      <c r="CY124" s="47"/>
      <c r="DD124" s="47"/>
      <c r="DE124" s="47"/>
      <c r="DF124" s="47"/>
      <c r="DG124" s="47"/>
      <c r="DH124" s="47"/>
      <c r="DL124" s="47"/>
      <c r="DM124" s="47"/>
      <c r="DN124" s="47"/>
      <c r="DO124" s="47"/>
      <c r="DP124" s="47"/>
      <c r="DQ124" s="47"/>
    </row>
    <row r="125">
      <c r="CU125" s="47"/>
      <c r="CV125" s="47"/>
      <c r="CW125" s="47"/>
      <c r="CX125" s="47"/>
      <c r="CY125" s="47"/>
      <c r="DD125" s="47"/>
      <c r="DE125" s="47"/>
      <c r="DF125" s="47"/>
      <c r="DG125" s="47"/>
      <c r="DH125" s="47"/>
      <c r="DL125" s="47"/>
      <c r="DM125" s="47"/>
      <c r="DN125" s="47"/>
      <c r="DO125" s="47"/>
      <c r="DP125" s="47"/>
      <c r="DQ125" s="47"/>
    </row>
    <row r="126">
      <c r="CU126" s="47"/>
      <c r="CV126" s="47"/>
      <c r="CW126" s="47"/>
      <c r="CX126" s="47"/>
      <c r="CY126" s="47"/>
      <c r="DD126" s="47"/>
      <c r="DE126" s="47"/>
      <c r="DF126" s="47"/>
      <c r="DG126" s="47"/>
      <c r="DH126" s="47"/>
      <c r="DL126" s="47"/>
      <c r="DM126" s="47"/>
      <c r="DN126" s="47"/>
      <c r="DO126" s="47"/>
      <c r="DP126" s="47"/>
      <c r="DQ126" s="47"/>
    </row>
    <row r="127">
      <c r="CU127" s="47"/>
      <c r="CV127" s="47"/>
      <c r="CW127" s="47"/>
      <c r="CX127" s="47"/>
      <c r="CY127" s="47"/>
      <c r="DD127" s="47"/>
      <c r="DE127" s="47"/>
      <c r="DF127" s="47"/>
      <c r="DG127" s="47"/>
      <c r="DH127" s="47"/>
      <c r="DL127" s="47"/>
      <c r="DM127" s="47"/>
      <c r="DN127" s="47"/>
      <c r="DO127" s="47"/>
      <c r="DP127" s="47"/>
      <c r="DQ127" s="47"/>
    </row>
    <row r="128">
      <c r="CU128" s="47"/>
      <c r="CV128" s="47"/>
      <c r="CW128" s="47"/>
      <c r="CX128" s="47"/>
      <c r="CY128" s="47"/>
      <c r="DD128" s="47"/>
      <c r="DE128" s="47"/>
      <c r="DF128" s="47"/>
      <c r="DG128" s="47"/>
      <c r="DH128" s="47"/>
      <c r="DL128" s="47"/>
      <c r="DM128" s="47"/>
      <c r="DN128" s="47"/>
      <c r="DO128" s="47"/>
      <c r="DP128" s="47"/>
      <c r="DQ128" s="47"/>
    </row>
    <row r="129">
      <c r="CU129" s="47"/>
      <c r="CV129" s="47"/>
      <c r="CW129" s="47"/>
      <c r="CX129" s="47"/>
      <c r="CY129" s="47"/>
      <c r="DD129" s="47"/>
      <c r="DE129" s="47"/>
      <c r="DF129" s="47"/>
      <c r="DG129" s="47"/>
      <c r="DH129" s="47"/>
      <c r="DL129" s="47"/>
      <c r="DM129" s="47"/>
      <c r="DN129" s="47"/>
      <c r="DO129" s="47"/>
      <c r="DP129" s="47"/>
      <c r="DQ129" s="47"/>
    </row>
    <row r="130">
      <c r="CU130" s="47"/>
      <c r="CV130" s="47"/>
      <c r="CW130" s="47"/>
      <c r="CX130" s="47"/>
      <c r="CY130" s="47"/>
      <c r="DD130" s="47"/>
      <c r="DE130" s="47"/>
      <c r="DF130" s="47"/>
      <c r="DG130" s="47"/>
      <c r="DH130" s="47"/>
      <c r="DL130" s="47"/>
      <c r="DM130" s="47"/>
      <c r="DN130" s="47"/>
      <c r="DO130" s="47"/>
      <c r="DP130" s="47"/>
      <c r="DQ130" s="47"/>
    </row>
    <row r="131">
      <c r="CU131" s="47"/>
      <c r="CV131" s="47"/>
      <c r="CW131" s="47"/>
      <c r="CX131" s="47"/>
      <c r="CY131" s="47"/>
      <c r="DD131" s="47"/>
      <c r="DE131" s="47"/>
      <c r="DF131" s="47"/>
      <c r="DG131" s="47"/>
      <c r="DH131" s="47"/>
      <c r="DL131" s="47"/>
      <c r="DM131" s="47"/>
      <c r="DN131" s="47"/>
      <c r="DO131" s="47"/>
      <c r="DP131" s="47"/>
      <c r="DQ131" s="47"/>
    </row>
    <row r="132">
      <c r="CU132" s="47"/>
      <c r="CV132" s="47"/>
      <c r="CW132" s="47"/>
      <c r="CX132" s="47"/>
      <c r="CY132" s="47"/>
      <c r="DD132" s="47"/>
      <c r="DE132" s="47"/>
      <c r="DF132" s="47"/>
      <c r="DG132" s="47"/>
      <c r="DH132" s="47"/>
      <c r="DL132" s="47"/>
      <c r="DM132" s="47"/>
      <c r="DN132" s="47"/>
      <c r="DO132" s="47"/>
      <c r="DP132" s="47"/>
      <c r="DQ132" s="47"/>
    </row>
    <row r="133">
      <c r="CU133" s="47"/>
      <c r="CV133" s="47"/>
      <c r="CW133" s="47"/>
      <c r="CX133" s="47"/>
      <c r="CY133" s="47"/>
      <c r="DD133" s="47"/>
      <c r="DE133" s="47"/>
      <c r="DF133" s="47"/>
      <c r="DG133" s="47"/>
      <c r="DH133" s="47"/>
      <c r="DL133" s="47"/>
      <c r="DM133" s="47"/>
      <c r="DN133" s="47"/>
      <c r="DO133" s="47"/>
      <c r="DP133" s="47"/>
      <c r="DQ133" s="47"/>
    </row>
    <row r="134">
      <c r="CU134" s="47"/>
      <c r="CV134" s="47"/>
      <c r="CW134" s="47"/>
      <c r="CX134" s="47"/>
      <c r="CY134" s="47"/>
      <c r="DD134" s="47"/>
      <c r="DE134" s="47"/>
      <c r="DF134" s="47"/>
      <c r="DG134" s="47"/>
      <c r="DH134" s="47"/>
      <c r="DL134" s="47"/>
      <c r="DM134" s="47"/>
      <c r="DN134" s="47"/>
      <c r="DO134" s="47"/>
      <c r="DP134" s="47"/>
      <c r="DQ134" s="47"/>
    </row>
    <row r="135">
      <c r="CU135" s="47"/>
      <c r="CV135" s="47"/>
      <c r="CW135" s="47"/>
      <c r="CX135" s="47"/>
      <c r="CY135" s="47"/>
      <c r="DD135" s="47"/>
      <c r="DE135" s="47"/>
      <c r="DF135" s="47"/>
      <c r="DG135" s="47"/>
      <c r="DH135" s="47"/>
      <c r="DL135" s="47"/>
      <c r="DM135" s="47"/>
      <c r="DN135" s="47"/>
      <c r="DO135" s="47"/>
      <c r="DP135" s="47"/>
      <c r="DQ135" s="47"/>
    </row>
    <row r="136">
      <c r="CU136" s="47"/>
      <c r="CV136" s="47"/>
      <c r="CW136" s="47"/>
      <c r="CX136" s="47"/>
      <c r="CY136" s="47"/>
      <c r="DD136" s="47"/>
      <c r="DE136" s="47"/>
      <c r="DF136" s="47"/>
      <c r="DG136" s="47"/>
      <c r="DH136" s="47"/>
      <c r="DL136" s="47"/>
      <c r="DM136" s="47"/>
      <c r="DN136" s="47"/>
      <c r="DO136" s="47"/>
      <c r="DP136" s="47"/>
      <c r="DQ136" s="47"/>
    </row>
    <row r="137">
      <c r="CU137" s="47"/>
      <c r="CV137" s="47"/>
      <c r="CW137" s="47"/>
      <c r="CX137" s="47"/>
      <c r="CY137" s="47"/>
      <c r="DD137" s="47"/>
      <c r="DE137" s="47"/>
      <c r="DF137" s="47"/>
      <c r="DG137" s="47"/>
      <c r="DH137" s="47"/>
      <c r="DL137" s="47"/>
      <c r="DM137" s="47"/>
      <c r="DN137" s="47"/>
      <c r="DO137" s="47"/>
      <c r="DP137" s="47"/>
      <c r="DQ137" s="47"/>
    </row>
    <row r="138">
      <c r="CU138" s="47"/>
      <c r="CV138" s="47"/>
      <c r="CW138" s="47"/>
      <c r="CX138" s="47"/>
      <c r="CY138" s="47"/>
      <c r="DD138" s="47"/>
      <c r="DE138" s="47"/>
      <c r="DF138" s="47"/>
      <c r="DG138" s="47"/>
      <c r="DH138" s="47"/>
      <c r="DL138" s="47"/>
      <c r="DM138" s="47"/>
      <c r="DN138" s="47"/>
      <c r="DO138" s="47"/>
      <c r="DP138" s="47"/>
      <c r="DQ138" s="47"/>
    </row>
    <row r="139">
      <c r="CU139" s="47"/>
      <c r="CV139" s="47"/>
      <c r="CW139" s="47"/>
      <c r="CX139" s="47"/>
      <c r="CY139" s="47"/>
      <c r="DD139" s="47"/>
      <c r="DE139" s="47"/>
      <c r="DF139" s="47"/>
      <c r="DG139" s="47"/>
      <c r="DH139" s="47"/>
      <c r="DL139" s="47"/>
      <c r="DM139" s="47"/>
      <c r="DN139" s="47"/>
      <c r="DO139" s="47"/>
      <c r="DP139" s="47"/>
      <c r="DQ139" s="47"/>
    </row>
    <row r="140">
      <c r="CU140" s="47"/>
      <c r="CV140" s="47"/>
      <c r="CW140" s="47"/>
      <c r="CX140" s="47"/>
      <c r="CY140" s="47"/>
      <c r="DD140" s="47"/>
      <c r="DE140" s="47"/>
      <c r="DF140" s="47"/>
      <c r="DG140" s="47"/>
      <c r="DH140" s="47"/>
      <c r="DL140" s="47"/>
      <c r="DM140" s="47"/>
      <c r="DN140" s="47"/>
      <c r="DO140" s="47"/>
      <c r="DP140" s="47"/>
      <c r="DQ140" s="47"/>
    </row>
    <row r="141">
      <c r="CU141" s="47"/>
      <c r="CV141" s="47"/>
      <c r="CW141" s="47"/>
      <c r="CX141" s="47"/>
      <c r="CY141" s="47"/>
      <c r="DD141" s="47"/>
      <c r="DE141" s="47"/>
      <c r="DF141" s="47"/>
      <c r="DG141" s="47"/>
      <c r="DH141" s="47"/>
      <c r="DL141" s="47"/>
      <c r="DM141" s="47"/>
      <c r="DN141" s="47"/>
      <c r="DO141" s="47"/>
      <c r="DP141" s="47"/>
      <c r="DQ141" s="47"/>
    </row>
    <row r="142">
      <c r="CU142" s="47"/>
      <c r="CV142" s="47"/>
      <c r="CW142" s="47"/>
      <c r="CX142" s="47"/>
      <c r="CY142" s="47"/>
      <c r="DD142" s="47"/>
      <c r="DE142" s="47"/>
      <c r="DF142" s="47"/>
      <c r="DG142" s="47"/>
      <c r="DH142" s="47"/>
      <c r="DL142" s="47"/>
      <c r="DM142" s="47"/>
      <c r="DN142" s="47"/>
      <c r="DO142" s="47"/>
      <c r="DP142" s="47"/>
      <c r="DQ142" s="47"/>
    </row>
    <row r="143">
      <c r="CU143" s="47"/>
      <c r="CV143" s="47"/>
      <c r="CW143" s="47"/>
      <c r="CX143" s="47"/>
      <c r="CY143" s="47"/>
      <c r="DD143" s="47"/>
      <c r="DE143" s="47"/>
      <c r="DF143" s="47"/>
      <c r="DG143" s="47"/>
      <c r="DH143" s="47"/>
      <c r="DL143" s="47"/>
      <c r="DM143" s="47"/>
      <c r="DN143" s="47"/>
      <c r="DO143" s="47"/>
      <c r="DP143" s="47"/>
      <c r="DQ143" s="47"/>
    </row>
    <row r="144">
      <c r="CU144" s="47"/>
      <c r="CV144" s="47"/>
      <c r="CW144" s="47"/>
      <c r="CX144" s="47"/>
      <c r="CY144" s="47"/>
      <c r="DD144" s="47"/>
      <c r="DE144" s="47"/>
      <c r="DF144" s="47"/>
      <c r="DG144" s="47"/>
      <c r="DH144" s="47"/>
      <c r="DL144" s="47"/>
      <c r="DM144" s="47"/>
      <c r="DN144" s="47"/>
      <c r="DO144" s="47"/>
      <c r="DP144" s="47"/>
      <c r="DQ144" s="47"/>
    </row>
    <row r="145">
      <c r="CU145" s="47"/>
      <c r="CV145" s="47"/>
      <c r="CW145" s="47"/>
      <c r="CX145" s="47"/>
      <c r="CY145" s="47"/>
      <c r="DD145" s="47"/>
      <c r="DE145" s="47"/>
      <c r="DF145" s="47"/>
      <c r="DG145" s="47"/>
      <c r="DH145" s="47"/>
      <c r="DL145" s="47"/>
      <c r="DM145" s="47"/>
      <c r="DN145" s="47"/>
      <c r="DO145" s="47"/>
      <c r="DP145" s="47"/>
      <c r="DQ145" s="47"/>
    </row>
    <row r="146">
      <c r="CU146" s="47"/>
      <c r="CV146" s="47"/>
      <c r="CW146" s="47"/>
      <c r="CX146" s="47"/>
      <c r="CY146" s="47"/>
      <c r="DD146" s="47"/>
      <c r="DE146" s="47"/>
      <c r="DF146" s="47"/>
      <c r="DG146" s="47"/>
      <c r="DH146" s="47"/>
      <c r="DL146" s="47"/>
      <c r="DM146" s="47"/>
      <c r="DN146" s="47"/>
      <c r="DO146" s="47"/>
      <c r="DP146" s="47"/>
      <c r="DQ146" s="47"/>
    </row>
    <row r="147">
      <c r="CU147" s="47"/>
      <c r="CV147" s="47"/>
      <c r="CW147" s="47"/>
      <c r="CX147" s="47"/>
      <c r="CY147" s="47"/>
      <c r="DD147" s="47"/>
      <c r="DE147" s="47"/>
      <c r="DF147" s="47"/>
      <c r="DG147" s="47"/>
      <c r="DH147" s="47"/>
      <c r="DL147" s="47"/>
      <c r="DM147" s="47"/>
      <c r="DN147" s="47"/>
      <c r="DO147" s="47"/>
      <c r="DP147" s="47"/>
      <c r="DQ147" s="47"/>
    </row>
    <row r="148">
      <c r="CU148" s="47"/>
      <c r="CV148" s="47"/>
      <c r="CW148" s="47"/>
      <c r="CX148" s="47"/>
      <c r="CY148" s="47"/>
      <c r="DD148" s="47"/>
      <c r="DE148" s="47"/>
      <c r="DF148" s="47"/>
      <c r="DG148" s="47"/>
      <c r="DH148" s="47"/>
      <c r="DL148" s="47"/>
      <c r="DM148" s="47"/>
      <c r="DN148" s="47"/>
      <c r="DO148" s="47"/>
      <c r="DP148" s="47"/>
      <c r="DQ148" s="47"/>
    </row>
    <row r="149">
      <c r="CU149" s="47"/>
      <c r="CV149" s="47"/>
      <c r="CW149" s="47"/>
      <c r="CX149" s="47"/>
      <c r="CY149" s="47"/>
      <c r="DD149" s="47"/>
      <c r="DE149" s="47"/>
      <c r="DF149" s="47"/>
      <c r="DG149" s="47"/>
      <c r="DH149" s="47"/>
      <c r="DL149" s="47"/>
      <c r="DM149" s="47"/>
      <c r="DN149" s="47"/>
      <c r="DO149" s="47"/>
      <c r="DP149" s="47"/>
      <c r="DQ149" s="47"/>
    </row>
    <row r="150">
      <c r="CU150" s="47"/>
      <c r="CV150" s="47"/>
      <c r="CW150" s="47"/>
      <c r="CX150" s="47"/>
      <c r="CY150" s="47"/>
      <c r="DD150" s="47"/>
      <c r="DE150" s="47"/>
      <c r="DF150" s="47"/>
      <c r="DG150" s="47"/>
      <c r="DH150" s="47"/>
      <c r="DL150" s="47"/>
      <c r="DM150" s="47"/>
      <c r="DN150" s="47"/>
      <c r="DO150" s="47"/>
      <c r="DP150" s="47"/>
      <c r="DQ150" s="47"/>
    </row>
    <row r="151">
      <c r="CU151" s="47"/>
      <c r="CV151" s="47"/>
      <c r="CW151" s="47"/>
      <c r="CX151" s="47"/>
      <c r="CY151" s="47"/>
      <c r="DD151" s="47"/>
      <c r="DE151" s="47"/>
      <c r="DF151" s="47"/>
      <c r="DG151" s="47"/>
      <c r="DH151" s="47"/>
      <c r="DL151" s="47"/>
      <c r="DM151" s="47"/>
      <c r="DN151" s="47"/>
      <c r="DO151" s="47"/>
      <c r="DP151" s="47"/>
      <c r="DQ151" s="47"/>
    </row>
    <row r="152">
      <c r="CU152" s="47"/>
      <c r="CV152" s="47"/>
      <c r="CW152" s="47"/>
      <c r="CX152" s="47"/>
      <c r="CY152" s="47"/>
      <c r="DD152" s="47"/>
      <c r="DE152" s="47"/>
      <c r="DF152" s="47"/>
      <c r="DG152" s="47"/>
      <c r="DH152" s="47"/>
      <c r="DL152" s="47"/>
      <c r="DM152" s="47"/>
      <c r="DN152" s="47"/>
      <c r="DO152" s="47"/>
      <c r="DP152" s="47"/>
      <c r="DQ152" s="47"/>
    </row>
    <row r="153">
      <c r="CU153" s="47"/>
      <c r="CV153" s="47"/>
      <c r="CW153" s="47"/>
      <c r="CX153" s="47"/>
      <c r="CY153" s="47"/>
      <c r="DD153" s="47"/>
      <c r="DE153" s="47"/>
      <c r="DF153" s="47"/>
      <c r="DG153" s="47"/>
      <c r="DH153" s="47"/>
      <c r="DL153" s="47"/>
      <c r="DM153" s="47"/>
      <c r="DN153" s="47"/>
      <c r="DO153" s="47"/>
      <c r="DP153" s="47"/>
      <c r="DQ153" s="47"/>
    </row>
    <row r="154">
      <c r="CU154" s="47"/>
      <c r="CV154" s="47"/>
      <c r="CW154" s="47"/>
      <c r="CX154" s="47"/>
      <c r="CY154" s="47"/>
      <c r="DD154" s="47"/>
      <c r="DE154" s="47"/>
      <c r="DF154" s="47"/>
      <c r="DG154" s="47"/>
      <c r="DH154" s="47"/>
      <c r="DL154" s="47"/>
      <c r="DM154" s="47"/>
      <c r="DN154" s="47"/>
      <c r="DO154" s="47"/>
      <c r="DP154" s="47"/>
      <c r="DQ154" s="47"/>
    </row>
    <row r="155">
      <c r="CU155" s="47"/>
      <c r="CV155" s="47"/>
      <c r="CW155" s="47"/>
      <c r="CX155" s="47"/>
      <c r="CY155" s="47"/>
      <c r="DD155" s="47"/>
      <c r="DE155" s="47"/>
      <c r="DF155" s="47"/>
      <c r="DG155" s="47"/>
      <c r="DH155" s="47"/>
      <c r="DL155" s="47"/>
      <c r="DM155" s="47"/>
      <c r="DN155" s="47"/>
      <c r="DO155" s="47"/>
      <c r="DP155" s="47"/>
      <c r="DQ155" s="47"/>
    </row>
    <row r="156">
      <c r="CU156" s="47"/>
      <c r="CV156" s="47"/>
      <c r="CW156" s="47"/>
      <c r="CX156" s="47"/>
      <c r="CY156" s="47"/>
      <c r="DD156" s="47"/>
      <c r="DE156" s="47"/>
      <c r="DF156" s="47"/>
      <c r="DG156" s="47"/>
      <c r="DH156" s="47"/>
      <c r="DL156" s="47"/>
      <c r="DM156" s="47"/>
      <c r="DN156" s="47"/>
      <c r="DO156" s="47"/>
      <c r="DP156" s="47"/>
      <c r="DQ156" s="47"/>
    </row>
    <row r="157">
      <c r="CU157" s="47"/>
      <c r="CV157" s="47"/>
      <c r="CW157" s="47"/>
      <c r="CX157" s="47"/>
      <c r="CY157" s="47"/>
      <c r="DD157" s="47"/>
      <c r="DE157" s="47"/>
      <c r="DF157" s="47"/>
      <c r="DG157" s="47"/>
      <c r="DH157" s="47"/>
      <c r="DL157" s="47"/>
      <c r="DM157" s="47"/>
      <c r="DN157" s="47"/>
      <c r="DO157" s="47"/>
      <c r="DP157" s="47"/>
      <c r="DQ157" s="47"/>
    </row>
    <row r="158">
      <c r="CU158" s="47"/>
      <c r="CV158" s="47"/>
      <c r="CW158" s="47"/>
      <c r="CX158" s="47"/>
      <c r="CY158" s="47"/>
      <c r="DD158" s="47"/>
      <c r="DE158" s="47"/>
      <c r="DF158" s="47"/>
      <c r="DG158" s="47"/>
      <c r="DH158" s="47"/>
      <c r="DL158" s="47"/>
      <c r="DM158" s="47"/>
      <c r="DN158" s="47"/>
      <c r="DO158" s="47"/>
      <c r="DP158" s="47"/>
      <c r="DQ158" s="47"/>
    </row>
    <row r="159">
      <c r="CU159" s="47"/>
      <c r="CV159" s="47"/>
      <c r="CW159" s="47"/>
      <c r="CX159" s="47"/>
      <c r="CY159" s="47"/>
      <c r="DD159" s="47"/>
      <c r="DE159" s="47"/>
      <c r="DF159" s="47"/>
      <c r="DG159" s="47"/>
      <c r="DH159" s="47"/>
      <c r="DL159" s="47"/>
      <c r="DM159" s="47"/>
      <c r="DN159" s="47"/>
      <c r="DO159" s="47"/>
      <c r="DP159" s="47"/>
      <c r="DQ159" s="47"/>
    </row>
    <row r="160">
      <c r="CU160" s="47"/>
      <c r="CV160" s="47"/>
      <c r="CW160" s="47"/>
      <c r="CX160" s="47"/>
      <c r="CY160" s="47"/>
      <c r="DD160" s="47"/>
      <c r="DE160" s="47"/>
      <c r="DF160" s="47"/>
      <c r="DG160" s="47"/>
      <c r="DH160" s="47"/>
      <c r="DL160" s="47"/>
      <c r="DM160" s="47"/>
      <c r="DN160" s="47"/>
      <c r="DO160" s="47"/>
      <c r="DP160" s="47"/>
      <c r="DQ160" s="47"/>
    </row>
    <row r="161">
      <c r="CU161" s="47"/>
      <c r="CV161" s="47"/>
      <c r="CW161" s="47"/>
      <c r="CX161" s="47"/>
      <c r="CY161" s="47"/>
      <c r="DD161" s="47"/>
      <c r="DE161" s="47"/>
      <c r="DF161" s="47"/>
      <c r="DG161" s="47"/>
      <c r="DH161" s="47"/>
      <c r="DL161" s="47"/>
      <c r="DM161" s="47"/>
      <c r="DN161" s="47"/>
      <c r="DO161" s="47"/>
      <c r="DP161" s="47"/>
      <c r="DQ161" s="47"/>
    </row>
    <row r="162">
      <c r="CU162" s="47"/>
      <c r="CV162" s="47"/>
      <c r="CW162" s="47"/>
      <c r="CX162" s="47"/>
      <c r="CY162" s="47"/>
      <c r="DD162" s="47"/>
      <c r="DE162" s="47"/>
      <c r="DF162" s="47"/>
      <c r="DG162" s="47"/>
      <c r="DH162" s="47"/>
      <c r="DL162" s="47"/>
      <c r="DM162" s="47"/>
      <c r="DN162" s="47"/>
      <c r="DO162" s="47"/>
      <c r="DP162" s="47"/>
      <c r="DQ162" s="47"/>
    </row>
    <row r="163">
      <c r="CU163" s="47"/>
      <c r="CV163" s="47"/>
      <c r="CW163" s="47"/>
      <c r="CX163" s="47"/>
      <c r="CY163" s="47"/>
      <c r="DD163" s="47"/>
      <c r="DE163" s="47"/>
      <c r="DF163" s="47"/>
      <c r="DG163" s="47"/>
      <c r="DH163" s="47"/>
      <c r="DL163" s="47"/>
      <c r="DM163" s="47"/>
      <c r="DN163" s="47"/>
      <c r="DO163" s="47"/>
      <c r="DP163" s="47"/>
      <c r="DQ163" s="47"/>
    </row>
    <row r="164">
      <c r="CU164" s="47"/>
      <c r="CV164" s="47"/>
      <c r="CW164" s="47"/>
      <c r="CX164" s="47"/>
      <c r="CY164" s="47"/>
      <c r="DD164" s="47"/>
      <c r="DE164" s="47"/>
      <c r="DF164" s="47"/>
      <c r="DG164" s="47"/>
      <c r="DH164" s="47"/>
      <c r="DL164" s="47"/>
      <c r="DM164" s="47"/>
      <c r="DN164" s="47"/>
      <c r="DO164" s="47"/>
      <c r="DP164" s="47"/>
      <c r="DQ164" s="47"/>
    </row>
    <row r="165">
      <c r="CU165" s="47"/>
      <c r="CV165" s="47"/>
      <c r="CW165" s="47"/>
      <c r="CX165" s="47"/>
      <c r="CY165" s="47"/>
      <c r="DD165" s="47"/>
      <c r="DE165" s="47"/>
      <c r="DF165" s="47"/>
      <c r="DG165" s="47"/>
      <c r="DH165" s="47"/>
      <c r="DL165" s="47"/>
      <c r="DM165" s="47"/>
      <c r="DN165" s="47"/>
      <c r="DO165" s="47"/>
      <c r="DP165" s="47"/>
      <c r="DQ165" s="47"/>
    </row>
    <row r="166">
      <c r="CU166" s="47"/>
      <c r="CV166" s="47"/>
      <c r="CW166" s="47"/>
      <c r="CX166" s="47"/>
      <c r="CY166" s="47"/>
      <c r="DD166" s="47"/>
      <c r="DE166" s="47"/>
      <c r="DF166" s="47"/>
      <c r="DG166" s="47"/>
      <c r="DH166" s="47"/>
      <c r="DL166" s="47"/>
      <c r="DM166" s="47"/>
      <c r="DN166" s="47"/>
      <c r="DO166" s="47"/>
      <c r="DP166" s="47"/>
      <c r="DQ166" s="47"/>
    </row>
    <row r="167">
      <c r="CU167" s="47"/>
      <c r="CV167" s="47"/>
      <c r="CW167" s="47"/>
      <c r="CX167" s="47"/>
      <c r="CY167" s="47"/>
      <c r="DD167" s="47"/>
      <c r="DE167" s="47"/>
      <c r="DF167" s="47"/>
      <c r="DG167" s="47"/>
      <c r="DH167" s="47"/>
      <c r="DL167" s="47"/>
      <c r="DM167" s="47"/>
      <c r="DN167" s="47"/>
      <c r="DO167" s="47"/>
      <c r="DP167" s="47"/>
      <c r="DQ167" s="47"/>
    </row>
    <row r="168">
      <c r="CU168" s="47"/>
      <c r="CV168" s="47"/>
      <c r="CW168" s="47"/>
      <c r="CX168" s="47"/>
      <c r="CY168" s="47"/>
      <c r="DD168" s="47"/>
      <c r="DE168" s="47"/>
      <c r="DF168" s="47"/>
      <c r="DG168" s="47"/>
      <c r="DH168" s="47"/>
      <c r="DL168" s="47"/>
      <c r="DM168" s="47"/>
      <c r="DN168" s="47"/>
      <c r="DO168" s="47"/>
      <c r="DP168" s="47"/>
      <c r="DQ168" s="47"/>
    </row>
    <row r="169">
      <c r="CU169" s="47"/>
      <c r="CV169" s="47"/>
      <c r="CW169" s="47"/>
      <c r="CX169" s="47"/>
      <c r="CY169" s="47"/>
      <c r="DD169" s="47"/>
      <c r="DE169" s="47"/>
      <c r="DF169" s="47"/>
      <c r="DG169" s="47"/>
      <c r="DH169" s="47"/>
      <c r="DL169" s="47"/>
      <c r="DM169" s="47"/>
      <c r="DN169" s="47"/>
      <c r="DO169" s="47"/>
      <c r="DP169" s="47"/>
      <c r="DQ169" s="47"/>
    </row>
    <row r="170">
      <c r="CU170" s="47"/>
      <c r="CV170" s="47"/>
      <c r="CW170" s="47"/>
      <c r="CX170" s="47"/>
      <c r="CY170" s="47"/>
      <c r="DD170" s="47"/>
      <c r="DE170" s="47"/>
      <c r="DF170" s="47"/>
      <c r="DG170" s="47"/>
      <c r="DH170" s="47"/>
      <c r="DL170" s="47"/>
      <c r="DM170" s="47"/>
      <c r="DN170" s="47"/>
      <c r="DO170" s="47"/>
      <c r="DP170" s="47"/>
      <c r="DQ170" s="47"/>
    </row>
    <row r="171">
      <c r="CU171" s="47"/>
      <c r="CV171" s="47"/>
      <c r="CW171" s="47"/>
      <c r="CX171" s="47"/>
      <c r="CY171" s="47"/>
      <c r="DD171" s="47"/>
      <c r="DE171" s="47"/>
      <c r="DF171" s="47"/>
      <c r="DG171" s="47"/>
      <c r="DH171" s="47"/>
      <c r="DL171" s="47"/>
      <c r="DM171" s="47"/>
      <c r="DN171" s="47"/>
      <c r="DO171" s="47"/>
      <c r="DP171" s="47"/>
      <c r="DQ171" s="47"/>
    </row>
    <row r="172">
      <c r="CU172" s="47"/>
      <c r="CV172" s="47"/>
      <c r="CW172" s="47"/>
      <c r="CX172" s="47"/>
      <c r="CY172" s="47"/>
      <c r="DD172" s="47"/>
      <c r="DE172" s="47"/>
      <c r="DF172" s="47"/>
      <c r="DG172" s="47"/>
      <c r="DH172" s="47"/>
      <c r="DL172" s="47"/>
      <c r="DM172" s="47"/>
      <c r="DN172" s="47"/>
      <c r="DO172" s="47"/>
      <c r="DP172" s="47"/>
      <c r="DQ172" s="47"/>
    </row>
    <row r="173">
      <c r="CU173" s="47"/>
      <c r="CV173" s="47"/>
      <c r="CW173" s="47"/>
      <c r="CX173" s="47"/>
      <c r="CY173" s="47"/>
      <c r="DD173" s="47"/>
      <c r="DE173" s="47"/>
      <c r="DF173" s="47"/>
      <c r="DG173" s="47"/>
      <c r="DH173" s="47"/>
      <c r="DL173" s="47"/>
      <c r="DM173" s="47"/>
      <c r="DN173" s="47"/>
      <c r="DO173" s="47"/>
      <c r="DP173" s="47"/>
      <c r="DQ173" s="47"/>
    </row>
    <row r="174">
      <c r="CU174" s="47"/>
      <c r="CV174" s="47"/>
      <c r="CW174" s="47"/>
      <c r="CX174" s="47"/>
      <c r="CY174" s="47"/>
      <c r="DD174" s="47"/>
      <c r="DE174" s="47"/>
      <c r="DF174" s="47"/>
      <c r="DG174" s="47"/>
      <c r="DH174" s="47"/>
      <c r="DL174" s="47"/>
      <c r="DM174" s="47"/>
      <c r="DN174" s="47"/>
      <c r="DO174" s="47"/>
      <c r="DP174" s="47"/>
      <c r="DQ174" s="47"/>
    </row>
    <row r="175">
      <c r="CU175" s="47"/>
      <c r="CV175" s="47"/>
      <c r="CW175" s="47"/>
      <c r="CX175" s="47"/>
      <c r="CY175" s="47"/>
      <c r="DD175" s="47"/>
      <c r="DE175" s="47"/>
      <c r="DF175" s="47"/>
      <c r="DG175" s="47"/>
      <c r="DH175" s="47"/>
      <c r="DL175" s="47"/>
      <c r="DM175" s="47"/>
      <c r="DN175" s="47"/>
      <c r="DO175" s="47"/>
      <c r="DP175" s="47"/>
      <c r="DQ175" s="47"/>
    </row>
    <row r="176">
      <c r="CU176" s="47"/>
      <c r="CV176" s="47"/>
      <c r="CW176" s="47"/>
      <c r="CX176" s="47"/>
      <c r="CY176" s="47"/>
      <c r="DD176" s="47"/>
      <c r="DE176" s="47"/>
      <c r="DF176" s="47"/>
      <c r="DG176" s="47"/>
      <c r="DH176" s="47"/>
      <c r="DL176" s="47"/>
      <c r="DM176" s="47"/>
      <c r="DN176" s="47"/>
      <c r="DO176" s="47"/>
      <c r="DP176" s="47"/>
      <c r="DQ176" s="47"/>
    </row>
    <row r="177">
      <c r="CU177" s="47"/>
      <c r="CV177" s="47"/>
      <c r="CW177" s="47"/>
      <c r="CX177" s="47"/>
      <c r="CY177" s="47"/>
      <c r="DD177" s="47"/>
      <c r="DE177" s="47"/>
      <c r="DF177" s="47"/>
      <c r="DG177" s="47"/>
      <c r="DH177" s="47"/>
      <c r="DL177" s="47"/>
      <c r="DM177" s="47"/>
      <c r="DN177" s="47"/>
      <c r="DO177" s="47"/>
      <c r="DP177" s="47"/>
      <c r="DQ177" s="47"/>
    </row>
    <row r="178">
      <c r="CU178" s="47"/>
      <c r="CV178" s="47"/>
      <c r="CW178" s="47"/>
      <c r="CX178" s="47"/>
      <c r="CY178" s="47"/>
      <c r="DD178" s="47"/>
      <c r="DE178" s="47"/>
      <c r="DF178" s="47"/>
      <c r="DG178" s="47"/>
      <c r="DH178" s="47"/>
      <c r="DL178" s="47"/>
      <c r="DM178" s="47"/>
      <c r="DN178" s="47"/>
      <c r="DO178" s="47"/>
      <c r="DP178" s="47"/>
      <c r="DQ178" s="47"/>
    </row>
    <row r="179">
      <c r="CU179" s="47"/>
      <c r="CV179" s="47"/>
      <c r="CW179" s="47"/>
      <c r="CX179" s="47"/>
      <c r="CY179" s="47"/>
      <c r="DD179" s="47"/>
      <c r="DE179" s="47"/>
      <c r="DF179" s="47"/>
      <c r="DG179" s="47"/>
      <c r="DH179" s="47"/>
      <c r="DL179" s="47"/>
      <c r="DM179" s="47"/>
      <c r="DN179" s="47"/>
      <c r="DO179" s="47"/>
      <c r="DP179" s="47"/>
      <c r="DQ179" s="47"/>
    </row>
    <row r="180">
      <c r="CU180" s="47"/>
      <c r="CV180" s="47"/>
      <c r="CW180" s="47"/>
      <c r="CX180" s="47"/>
      <c r="CY180" s="47"/>
      <c r="DD180" s="47"/>
      <c r="DE180" s="47"/>
      <c r="DF180" s="47"/>
      <c r="DG180" s="47"/>
      <c r="DH180" s="47"/>
      <c r="DL180" s="47"/>
      <c r="DM180" s="47"/>
      <c r="DN180" s="47"/>
      <c r="DO180" s="47"/>
      <c r="DP180" s="47"/>
      <c r="DQ180" s="47"/>
    </row>
    <row r="181">
      <c r="CU181" s="47"/>
      <c r="CV181" s="47"/>
      <c r="CW181" s="47"/>
      <c r="CX181" s="47"/>
      <c r="CY181" s="47"/>
      <c r="DD181" s="47"/>
      <c r="DE181" s="47"/>
      <c r="DF181" s="47"/>
      <c r="DG181" s="47"/>
      <c r="DH181" s="47"/>
      <c r="DL181" s="47"/>
      <c r="DM181" s="47"/>
      <c r="DN181" s="47"/>
      <c r="DO181" s="47"/>
      <c r="DP181" s="47"/>
      <c r="DQ181" s="47"/>
    </row>
    <row r="182">
      <c r="CU182" s="47"/>
      <c r="CV182" s="47"/>
      <c r="CW182" s="47"/>
      <c r="CX182" s="47"/>
      <c r="CY182" s="47"/>
      <c r="DD182" s="47"/>
      <c r="DE182" s="47"/>
      <c r="DF182" s="47"/>
      <c r="DG182" s="47"/>
      <c r="DH182" s="47"/>
      <c r="DL182" s="47"/>
      <c r="DM182" s="47"/>
      <c r="DN182" s="47"/>
      <c r="DO182" s="47"/>
      <c r="DP182" s="47"/>
      <c r="DQ182" s="47"/>
    </row>
    <row r="183">
      <c r="CU183" s="47"/>
      <c r="CV183" s="47"/>
      <c r="CW183" s="47"/>
      <c r="CX183" s="47"/>
      <c r="CY183" s="47"/>
      <c r="DD183" s="47"/>
      <c r="DE183" s="47"/>
      <c r="DF183" s="47"/>
      <c r="DG183" s="47"/>
      <c r="DH183" s="47"/>
      <c r="DL183" s="47"/>
      <c r="DM183" s="47"/>
      <c r="DN183" s="47"/>
      <c r="DO183" s="47"/>
      <c r="DP183" s="47"/>
      <c r="DQ183" s="47"/>
    </row>
    <row r="184">
      <c r="CU184" s="47"/>
      <c r="CV184" s="47"/>
      <c r="CW184" s="47"/>
      <c r="CX184" s="47"/>
      <c r="CY184" s="47"/>
      <c r="DD184" s="47"/>
      <c r="DE184" s="47"/>
      <c r="DF184" s="47"/>
      <c r="DG184" s="47"/>
      <c r="DH184" s="47"/>
      <c r="DL184" s="47"/>
      <c r="DM184" s="47"/>
      <c r="DN184" s="47"/>
      <c r="DO184" s="47"/>
      <c r="DP184" s="47"/>
      <c r="DQ184" s="47"/>
    </row>
    <row r="185">
      <c r="CU185" s="47"/>
      <c r="CV185" s="47"/>
      <c r="CW185" s="47"/>
      <c r="CX185" s="47"/>
      <c r="CY185" s="47"/>
      <c r="DD185" s="47"/>
      <c r="DE185" s="47"/>
      <c r="DF185" s="47"/>
      <c r="DG185" s="47"/>
      <c r="DH185" s="47"/>
      <c r="DL185" s="47"/>
      <c r="DM185" s="47"/>
      <c r="DN185" s="47"/>
      <c r="DO185" s="47"/>
      <c r="DP185" s="47"/>
      <c r="DQ185" s="47"/>
    </row>
    <row r="186">
      <c r="CU186" s="47"/>
      <c r="CV186" s="47"/>
      <c r="CW186" s="47"/>
      <c r="CX186" s="47"/>
      <c r="CY186" s="47"/>
      <c r="DD186" s="47"/>
      <c r="DE186" s="47"/>
      <c r="DF186" s="47"/>
      <c r="DG186" s="47"/>
      <c r="DH186" s="47"/>
      <c r="DL186" s="47"/>
      <c r="DM186" s="47"/>
      <c r="DN186" s="47"/>
      <c r="DO186" s="47"/>
      <c r="DP186" s="47"/>
      <c r="DQ186" s="47"/>
    </row>
    <row r="187">
      <c r="CU187" s="47"/>
      <c r="CV187" s="47"/>
      <c r="CW187" s="47"/>
      <c r="CX187" s="47"/>
      <c r="CY187" s="47"/>
      <c r="DD187" s="47"/>
      <c r="DE187" s="47"/>
      <c r="DF187" s="47"/>
      <c r="DG187" s="47"/>
      <c r="DH187" s="47"/>
      <c r="DL187" s="47"/>
      <c r="DM187" s="47"/>
      <c r="DN187" s="47"/>
      <c r="DO187" s="47"/>
      <c r="DP187" s="47"/>
      <c r="DQ187" s="47"/>
    </row>
    <row r="188">
      <c r="CU188" s="47"/>
      <c r="CV188" s="47"/>
      <c r="CW188" s="47"/>
      <c r="CX188" s="47"/>
      <c r="CY188" s="47"/>
      <c r="DD188" s="47"/>
      <c r="DE188" s="47"/>
      <c r="DF188" s="47"/>
      <c r="DG188" s="47"/>
      <c r="DH188" s="47"/>
      <c r="DL188" s="47"/>
      <c r="DM188" s="47"/>
      <c r="DN188" s="47"/>
      <c r="DO188" s="47"/>
      <c r="DP188" s="47"/>
      <c r="DQ188" s="47"/>
    </row>
    <row r="189">
      <c r="CU189" s="47"/>
      <c r="CV189" s="47"/>
      <c r="CW189" s="47"/>
      <c r="CX189" s="47"/>
      <c r="CY189" s="47"/>
      <c r="DD189" s="47"/>
      <c r="DE189" s="47"/>
      <c r="DF189" s="47"/>
      <c r="DG189" s="47"/>
      <c r="DH189" s="47"/>
      <c r="DL189" s="47"/>
      <c r="DM189" s="47"/>
      <c r="DN189" s="47"/>
      <c r="DO189" s="47"/>
      <c r="DP189" s="47"/>
      <c r="DQ189" s="47"/>
    </row>
    <row r="190">
      <c r="CU190" s="47"/>
      <c r="CV190" s="47"/>
      <c r="CW190" s="47"/>
      <c r="CX190" s="47"/>
      <c r="CY190" s="47"/>
      <c r="DD190" s="47"/>
      <c r="DE190" s="47"/>
      <c r="DF190" s="47"/>
      <c r="DG190" s="47"/>
      <c r="DH190" s="47"/>
      <c r="DL190" s="47"/>
      <c r="DM190" s="47"/>
      <c r="DN190" s="47"/>
      <c r="DO190" s="47"/>
      <c r="DP190" s="47"/>
      <c r="DQ190" s="47"/>
    </row>
    <row r="191">
      <c r="CU191" s="47"/>
      <c r="CV191" s="47"/>
      <c r="CW191" s="47"/>
      <c r="CX191" s="47"/>
      <c r="CY191" s="47"/>
      <c r="DD191" s="47"/>
      <c r="DE191" s="47"/>
      <c r="DF191" s="47"/>
      <c r="DG191" s="47"/>
      <c r="DH191" s="47"/>
      <c r="DL191" s="47"/>
      <c r="DM191" s="47"/>
      <c r="DN191" s="47"/>
      <c r="DO191" s="47"/>
      <c r="DP191" s="47"/>
      <c r="DQ191" s="47"/>
    </row>
    <row r="192">
      <c r="CU192" s="47"/>
      <c r="CV192" s="47"/>
      <c r="CW192" s="47"/>
      <c r="CX192" s="47"/>
      <c r="CY192" s="47"/>
      <c r="DD192" s="47"/>
      <c r="DE192" s="47"/>
      <c r="DF192" s="47"/>
      <c r="DG192" s="47"/>
      <c r="DH192" s="47"/>
      <c r="DL192" s="47"/>
      <c r="DM192" s="47"/>
      <c r="DN192" s="47"/>
      <c r="DO192" s="47"/>
      <c r="DP192" s="47"/>
      <c r="DQ192" s="47"/>
    </row>
    <row r="193">
      <c r="CU193" s="47"/>
      <c r="CV193" s="47"/>
      <c r="CW193" s="47"/>
      <c r="CX193" s="47"/>
      <c r="CY193" s="47"/>
      <c r="DD193" s="47"/>
      <c r="DE193" s="47"/>
      <c r="DF193" s="47"/>
      <c r="DG193" s="47"/>
      <c r="DH193" s="47"/>
      <c r="DL193" s="47"/>
      <c r="DM193" s="47"/>
      <c r="DN193" s="47"/>
      <c r="DO193" s="47"/>
      <c r="DP193" s="47"/>
      <c r="DQ193" s="47"/>
    </row>
    <row r="194">
      <c r="CU194" s="47"/>
      <c r="CV194" s="47"/>
      <c r="CW194" s="47"/>
      <c r="CX194" s="47"/>
      <c r="CY194" s="47"/>
      <c r="DD194" s="47"/>
      <c r="DE194" s="47"/>
      <c r="DF194" s="47"/>
      <c r="DG194" s="47"/>
      <c r="DH194" s="47"/>
      <c r="DL194" s="47"/>
      <c r="DM194" s="47"/>
      <c r="DN194" s="47"/>
      <c r="DO194" s="47"/>
      <c r="DP194" s="47"/>
      <c r="DQ194" s="47"/>
    </row>
    <row r="195">
      <c r="CU195" s="47"/>
      <c r="CV195" s="47"/>
      <c r="CW195" s="47"/>
      <c r="CX195" s="47"/>
      <c r="CY195" s="47"/>
      <c r="DD195" s="47"/>
      <c r="DE195" s="47"/>
      <c r="DF195" s="47"/>
      <c r="DG195" s="47"/>
      <c r="DH195" s="47"/>
      <c r="DL195" s="47"/>
      <c r="DM195" s="47"/>
      <c r="DN195" s="47"/>
      <c r="DO195" s="47"/>
      <c r="DP195" s="47"/>
      <c r="DQ195" s="47"/>
    </row>
    <row r="196">
      <c r="CU196" s="47"/>
      <c r="CV196" s="47"/>
      <c r="CW196" s="47"/>
      <c r="CX196" s="47"/>
      <c r="CY196" s="47"/>
      <c r="DD196" s="47"/>
      <c r="DE196" s="47"/>
      <c r="DF196" s="47"/>
      <c r="DG196" s="47"/>
      <c r="DH196" s="47"/>
      <c r="DL196" s="47"/>
      <c r="DM196" s="47"/>
      <c r="DN196" s="47"/>
      <c r="DO196" s="47"/>
      <c r="DP196" s="47"/>
      <c r="DQ196" s="47"/>
    </row>
    <row r="197">
      <c r="CU197" s="47"/>
      <c r="CV197" s="47"/>
      <c r="CW197" s="47"/>
      <c r="CX197" s="47"/>
      <c r="CY197" s="47"/>
      <c r="DD197" s="47"/>
      <c r="DE197" s="47"/>
      <c r="DF197" s="47"/>
      <c r="DG197" s="47"/>
      <c r="DH197" s="47"/>
      <c r="DL197" s="47"/>
      <c r="DM197" s="47"/>
      <c r="DN197" s="47"/>
      <c r="DO197" s="47"/>
      <c r="DP197" s="47"/>
      <c r="DQ197" s="47"/>
    </row>
    <row r="198">
      <c r="CU198" s="47"/>
      <c r="CV198" s="47"/>
      <c r="CW198" s="47"/>
      <c r="CX198" s="47"/>
      <c r="CY198" s="47"/>
      <c r="DD198" s="47"/>
      <c r="DE198" s="47"/>
      <c r="DF198" s="47"/>
      <c r="DG198" s="47"/>
      <c r="DH198" s="47"/>
      <c r="DL198" s="47"/>
      <c r="DM198" s="47"/>
      <c r="DN198" s="47"/>
      <c r="DO198" s="47"/>
      <c r="DP198" s="47"/>
      <c r="DQ198" s="47"/>
    </row>
    <row r="199">
      <c r="CU199" s="47"/>
      <c r="CV199" s="47"/>
      <c r="CW199" s="47"/>
      <c r="CX199" s="47"/>
      <c r="CY199" s="47"/>
      <c r="DD199" s="47"/>
      <c r="DE199" s="47"/>
      <c r="DF199" s="47"/>
      <c r="DG199" s="47"/>
      <c r="DH199" s="47"/>
      <c r="DL199" s="47"/>
      <c r="DM199" s="47"/>
      <c r="DN199" s="47"/>
      <c r="DO199" s="47"/>
      <c r="DP199" s="47"/>
      <c r="DQ199" s="47"/>
    </row>
    <row r="200">
      <c r="CU200" s="47"/>
      <c r="CV200" s="47"/>
      <c r="CW200" s="47"/>
      <c r="CX200" s="47"/>
      <c r="CY200" s="47"/>
      <c r="DD200" s="47"/>
      <c r="DE200" s="47"/>
      <c r="DF200" s="47"/>
      <c r="DG200" s="47"/>
      <c r="DH200" s="47"/>
      <c r="DL200" s="47"/>
      <c r="DM200" s="47"/>
      <c r="DN200" s="47"/>
      <c r="DO200" s="47"/>
      <c r="DP200" s="47"/>
      <c r="DQ200" s="47"/>
    </row>
    <row r="201">
      <c r="CU201" s="47"/>
      <c r="CV201" s="47"/>
      <c r="CW201" s="47"/>
      <c r="CX201" s="47"/>
      <c r="CY201" s="47"/>
      <c r="DD201" s="47"/>
      <c r="DE201" s="47"/>
      <c r="DF201" s="47"/>
      <c r="DG201" s="47"/>
      <c r="DH201" s="47"/>
      <c r="DL201" s="47"/>
      <c r="DM201" s="47"/>
      <c r="DN201" s="47"/>
      <c r="DO201" s="47"/>
      <c r="DP201" s="47"/>
      <c r="DQ201" s="47"/>
    </row>
    <row r="202">
      <c r="CU202" s="47"/>
      <c r="CV202" s="47"/>
      <c r="CW202" s="47"/>
      <c r="CX202" s="47"/>
      <c r="CY202" s="47"/>
      <c r="DD202" s="47"/>
      <c r="DE202" s="47"/>
      <c r="DF202" s="47"/>
      <c r="DG202" s="47"/>
      <c r="DH202" s="47"/>
      <c r="DL202" s="47"/>
      <c r="DM202" s="47"/>
      <c r="DN202" s="47"/>
      <c r="DO202" s="47"/>
      <c r="DP202" s="47"/>
      <c r="DQ202" s="47"/>
    </row>
    <row r="203">
      <c r="CU203" s="47"/>
      <c r="CV203" s="47"/>
      <c r="CW203" s="47"/>
      <c r="CX203" s="47"/>
      <c r="CY203" s="47"/>
      <c r="DD203" s="47"/>
      <c r="DE203" s="47"/>
      <c r="DF203" s="47"/>
      <c r="DG203" s="47"/>
      <c r="DH203" s="47"/>
      <c r="DL203" s="47"/>
      <c r="DM203" s="47"/>
      <c r="DN203" s="47"/>
      <c r="DO203" s="47"/>
      <c r="DP203" s="47"/>
      <c r="DQ203" s="47"/>
    </row>
    <row r="204">
      <c r="CU204" s="47"/>
      <c r="CV204" s="47"/>
      <c r="CW204" s="47"/>
      <c r="CX204" s="47"/>
      <c r="CY204" s="47"/>
      <c r="DD204" s="47"/>
      <c r="DE204" s="47"/>
      <c r="DF204" s="47"/>
      <c r="DG204" s="47"/>
      <c r="DH204" s="47"/>
      <c r="DL204" s="47"/>
      <c r="DM204" s="47"/>
      <c r="DN204" s="47"/>
      <c r="DO204" s="47"/>
      <c r="DP204" s="47"/>
      <c r="DQ204" s="47"/>
    </row>
    <row r="205">
      <c r="CU205" s="47"/>
      <c r="CV205" s="47"/>
      <c r="CW205" s="47"/>
      <c r="CX205" s="47"/>
      <c r="CY205" s="47"/>
      <c r="DD205" s="47"/>
      <c r="DE205" s="47"/>
      <c r="DF205" s="47"/>
      <c r="DG205" s="47"/>
      <c r="DH205" s="47"/>
      <c r="DL205" s="47"/>
      <c r="DM205" s="47"/>
      <c r="DN205" s="47"/>
      <c r="DO205" s="47"/>
      <c r="DP205" s="47"/>
      <c r="DQ205" s="47"/>
    </row>
    <row r="206">
      <c r="CU206" s="47"/>
      <c r="CV206" s="47"/>
      <c r="CW206" s="47"/>
      <c r="CX206" s="47"/>
      <c r="CY206" s="47"/>
      <c r="DD206" s="47"/>
      <c r="DE206" s="47"/>
      <c r="DF206" s="47"/>
      <c r="DG206" s="47"/>
      <c r="DH206" s="47"/>
      <c r="DL206" s="47"/>
      <c r="DM206" s="47"/>
      <c r="DN206" s="47"/>
      <c r="DO206" s="47"/>
      <c r="DP206" s="47"/>
      <c r="DQ206" s="47"/>
    </row>
    <row r="207">
      <c r="CU207" s="47"/>
      <c r="CV207" s="47"/>
      <c r="CW207" s="47"/>
      <c r="CX207" s="47"/>
      <c r="CY207" s="47"/>
      <c r="DD207" s="47"/>
      <c r="DE207" s="47"/>
      <c r="DF207" s="47"/>
      <c r="DG207" s="47"/>
      <c r="DH207" s="47"/>
      <c r="DL207" s="47"/>
      <c r="DM207" s="47"/>
      <c r="DN207" s="47"/>
      <c r="DO207" s="47"/>
      <c r="DP207" s="47"/>
      <c r="DQ207" s="47"/>
    </row>
    <row r="208">
      <c r="CU208" s="47"/>
      <c r="CV208" s="47"/>
      <c r="CW208" s="47"/>
      <c r="CX208" s="47"/>
      <c r="CY208" s="47"/>
      <c r="DD208" s="47"/>
      <c r="DE208" s="47"/>
      <c r="DF208" s="47"/>
      <c r="DG208" s="47"/>
      <c r="DH208" s="47"/>
      <c r="DL208" s="47"/>
      <c r="DM208" s="47"/>
      <c r="DN208" s="47"/>
      <c r="DO208" s="47"/>
      <c r="DP208" s="47"/>
      <c r="DQ208" s="47"/>
    </row>
    <row r="209">
      <c r="CU209" s="47"/>
      <c r="CV209" s="47"/>
      <c r="CW209" s="47"/>
      <c r="CX209" s="47"/>
      <c r="CY209" s="47"/>
      <c r="DD209" s="47"/>
      <c r="DE209" s="47"/>
      <c r="DF209" s="47"/>
      <c r="DG209" s="47"/>
      <c r="DH209" s="47"/>
      <c r="DL209" s="47"/>
      <c r="DM209" s="47"/>
      <c r="DN209" s="47"/>
      <c r="DO209" s="47"/>
      <c r="DP209" s="47"/>
      <c r="DQ209" s="47"/>
    </row>
    <row r="210">
      <c r="CU210" s="47"/>
      <c r="CV210" s="47"/>
      <c r="CW210" s="47"/>
      <c r="CX210" s="47"/>
      <c r="CY210" s="47"/>
      <c r="DD210" s="47"/>
      <c r="DE210" s="47"/>
      <c r="DF210" s="47"/>
      <c r="DG210" s="47"/>
      <c r="DH210" s="47"/>
      <c r="DL210" s="47"/>
      <c r="DM210" s="47"/>
      <c r="DN210" s="47"/>
      <c r="DO210" s="47"/>
      <c r="DP210" s="47"/>
      <c r="DQ210" s="47"/>
    </row>
    <row r="211">
      <c r="CU211" s="47"/>
      <c r="CV211" s="47"/>
      <c r="CW211" s="47"/>
      <c r="CX211" s="47"/>
      <c r="CY211" s="47"/>
      <c r="DD211" s="47"/>
      <c r="DE211" s="47"/>
      <c r="DF211" s="47"/>
      <c r="DG211" s="47"/>
      <c r="DH211" s="47"/>
      <c r="DL211" s="47"/>
      <c r="DM211" s="47"/>
      <c r="DN211" s="47"/>
      <c r="DO211" s="47"/>
      <c r="DP211" s="47"/>
      <c r="DQ211" s="47"/>
    </row>
    <row r="212">
      <c r="CU212" s="47"/>
      <c r="CV212" s="47"/>
      <c r="CW212" s="47"/>
      <c r="CX212" s="47"/>
      <c r="CY212" s="47"/>
      <c r="DD212" s="47"/>
      <c r="DE212" s="47"/>
      <c r="DF212" s="47"/>
      <c r="DG212" s="47"/>
      <c r="DH212" s="47"/>
      <c r="DL212" s="47"/>
      <c r="DM212" s="47"/>
      <c r="DN212" s="47"/>
      <c r="DO212" s="47"/>
      <c r="DP212" s="47"/>
      <c r="DQ212" s="47"/>
    </row>
    <row r="213">
      <c r="CU213" s="47"/>
      <c r="CV213" s="47"/>
      <c r="CW213" s="47"/>
      <c r="CX213" s="47"/>
      <c r="CY213" s="47"/>
      <c r="DD213" s="47"/>
      <c r="DE213" s="47"/>
      <c r="DF213" s="47"/>
      <c r="DG213" s="47"/>
      <c r="DH213" s="47"/>
      <c r="DL213" s="47"/>
      <c r="DM213" s="47"/>
      <c r="DN213" s="47"/>
      <c r="DO213" s="47"/>
      <c r="DP213" s="47"/>
      <c r="DQ213" s="47"/>
    </row>
    <row r="214">
      <c r="CU214" s="47"/>
      <c r="CV214" s="47"/>
      <c r="CW214" s="47"/>
      <c r="CX214" s="47"/>
      <c r="CY214" s="47"/>
      <c r="DD214" s="47"/>
      <c r="DE214" s="47"/>
      <c r="DF214" s="47"/>
      <c r="DG214" s="47"/>
      <c r="DH214" s="47"/>
      <c r="DL214" s="47"/>
      <c r="DM214" s="47"/>
      <c r="DN214" s="47"/>
      <c r="DO214" s="47"/>
      <c r="DP214" s="47"/>
      <c r="DQ214" s="47"/>
    </row>
    <row r="215">
      <c r="CU215" s="47"/>
      <c r="CV215" s="47"/>
      <c r="CW215" s="47"/>
      <c r="CX215" s="47"/>
      <c r="CY215" s="47"/>
      <c r="DD215" s="47"/>
      <c r="DE215" s="47"/>
      <c r="DF215" s="47"/>
      <c r="DG215" s="47"/>
      <c r="DH215" s="47"/>
      <c r="DL215" s="47"/>
      <c r="DM215" s="47"/>
      <c r="DN215" s="47"/>
      <c r="DO215" s="47"/>
      <c r="DP215" s="47"/>
      <c r="DQ215" s="47"/>
    </row>
    <row r="216">
      <c r="CU216" s="47"/>
      <c r="CV216" s="47"/>
      <c r="CW216" s="47"/>
      <c r="CX216" s="47"/>
      <c r="CY216" s="47"/>
      <c r="DD216" s="47"/>
      <c r="DE216" s="47"/>
      <c r="DF216" s="47"/>
      <c r="DG216" s="47"/>
      <c r="DH216" s="47"/>
      <c r="DL216" s="47"/>
      <c r="DM216" s="47"/>
      <c r="DN216" s="47"/>
      <c r="DO216" s="47"/>
      <c r="DP216" s="47"/>
      <c r="DQ216" s="47"/>
    </row>
    <row r="217">
      <c r="CU217" s="47"/>
      <c r="CV217" s="47"/>
      <c r="CW217" s="47"/>
      <c r="CX217" s="47"/>
      <c r="CY217" s="47"/>
      <c r="DD217" s="47"/>
      <c r="DE217" s="47"/>
      <c r="DF217" s="47"/>
      <c r="DG217" s="47"/>
      <c r="DH217" s="47"/>
      <c r="DL217" s="47"/>
      <c r="DM217" s="47"/>
      <c r="DN217" s="47"/>
      <c r="DO217" s="47"/>
      <c r="DP217" s="47"/>
      <c r="DQ217" s="47"/>
    </row>
    <row r="218">
      <c r="CU218" s="47"/>
      <c r="CV218" s="47"/>
      <c r="CW218" s="47"/>
      <c r="CX218" s="47"/>
      <c r="CY218" s="47"/>
      <c r="DD218" s="47"/>
      <c r="DE218" s="47"/>
      <c r="DF218" s="47"/>
      <c r="DG218" s="47"/>
      <c r="DH218" s="47"/>
      <c r="DL218" s="47"/>
      <c r="DM218" s="47"/>
      <c r="DN218" s="47"/>
      <c r="DO218" s="47"/>
      <c r="DP218" s="47"/>
      <c r="DQ218" s="47"/>
    </row>
    <row r="219">
      <c r="CU219" s="47"/>
      <c r="CV219" s="47"/>
      <c r="CW219" s="47"/>
      <c r="CX219" s="47"/>
      <c r="CY219" s="47"/>
      <c r="DD219" s="47"/>
      <c r="DE219" s="47"/>
      <c r="DF219" s="47"/>
      <c r="DG219" s="47"/>
      <c r="DH219" s="47"/>
      <c r="DL219" s="47"/>
      <c r="DM219" s="47"/>
      <c r="DN219" s="47"/>
      <c r="DO219" s="47"/>
      <c r="DP219" s="47"/>
      <c r="DQ219" s="47"/>
    </row>
    <row r="220">
      <c r="CU220" s="47"/>
      <c r="CV220" s="47"/>
      <c r="CW220" s="47"/>
      <c r="CX220" s="47"/>
      <c r="CY220" s="47"/>
      <c r="DD220" s="47"/>
      <c r="DE220" s="47"/>
      <c r="DF220" s="47"/>
      <c r="DG220" s="47"/>
      <c r="DH220" s="47"/>
      <c r="DL220" s="47"/>
      <c r="DM220" s="47"/>
      <c r="DN220" s="47"/>
      <c r="DO220" s="47"/>
      <c r="DP220" s="47"/>
      <c r="DQ220" s="47"/>
    </row>
    <row r="221">
      <c r="CU221" s="47"/>
      <c r="CV221" s="47"/>
      <c r="CW221" s="47"/>
      <c r="CX221" s="47"/>
      <c r="CY221" s="47"/>
      <c r="DD221" s="47"/>
      <c r="DE221" s="47"/>
      <c r="DF221" s="47"/>
      <c r="DG221" s="47"/>
      <c r="DH221" s="47"/>
      <c r="DL221" s="47"/>
      <c r="DM221" s="47"/>
      <c r="DN221" s="47"/>
      <c r="DO221" s="47"/>
      <c r="DP221" s="47"/>
      <c r="DQ221" s="47"/>
    </row>
    <row r="222">
      <c r="CU222" s="47"/>
      <c r="CV222" s="47"/>
      <c r="CW222" s="47"/>
      <c r="CX222" s="47"/>
      <c r="CY222" s="47"/>
      <c r="DD222" s="47"/>
      <c r="DE222" s="47"/>
      <c r="DF222" s="47"/>
      <c r="DG222" s="47"/>
      <c r="DH222" s="47"/>
      <c r="DL222" s="47"/>
      <c r="DM222" s="47"/>
      <c r="DN222" s="47"/>
      <c r="DO222" s="47"/>
      <c r="DP222" s="47"/>
      <c r="DQ222" s="47"/>
    </row>
    <row r="223">
      <c r="CU223" s="47"/>
      <c r="CV223" s="47"/>
      <c r="CW223" s="47"/>
      <c r="CX223" s="47"/>
      <c r="CY223" s="47"/>
      <c r="DD223" s="47"/>
      <c r="DE223" s="47"/>
      <c r="DF223" s="47"/>
      <c r="DG223" s="47"/>
      <c r="DH223" s="47"/>
      <c r="DL223" s="47"/>
      <c r="DM223" s="47"/>
      <c r="DN223" s="47"/>
      <c r="DO223" s="47"/>
      <c r="DP223" s="47"/>
      <c r="DQ223" s="47"/>
    </row>
    <row r="224">
      <c r="CU224" s="47"/>
      <c r="CV224" s="47"/>
      <c r="CW224" s="47"/>
      <c r="CX224" s="47"/>
      <c r="CY224" s="47"/>
      <c r="DD224" s="47"/>
      <c r="DE224" s="47"/>
      <c r="DF224" s="47"/>
      <c r="DG224" s="47"/>
      <c r="DH224" s="47"/>
      <c r="DL224" s="47"/>
      <c r="DM224" s="47"/>
      <c r="DN224" s="47"/>
      <c r="DO224" s="47"/>
      <c r="DP224" s="47"/>
      <c r="DQ224" s="47"/>
    </row>
    <row r="225">
      <c r="CU225" s="47"/>
      <c r="CV225" s="47"/>
      <c r="CW225" s="47"/>
      <c r="CX225" s="47"/>
      <c r="CY225" s="47"/>
      <c r="DD225" s="47"/>
      <c r="DE225" s="47"/>
      <c r="DF225" s="47"/>
      <c r="DG225" s="47"/>
      <c r="DH225" s="47"/>
      <c r="DL225" s="47"/>
      <c r="DM225" s="47"/>
      <c r="DN225" s="47"/>
      <c r="DO225" s="47"/>
      <c r="DP225" s="47"/>
      <c r="DQ225" s="47"/>
    </row>
    <row r="226">
      <c r="CU226" s="47"/>
      <c r="CV226" s="47"/>
      <c r="CW226" s="47"/>
      <c r="CX226" s="47"/>
      <c r="CY226" s="47"/>
      <c r="DD226" s="47"/>
      <c r="DE226" s="47"/>
      <c r="DF226" s="47"/>
      <c r="DG226" s="47"/>
      <c r="DH226" s="47"/>
      <c r="DL226" s="47"/>
      <c r="DM226" s="47"/>
      <c r="DN226" s="47"/>
      <c r="DO226" s="47"/>
      <c r="DP226" s="47"/>
      <c r="DQ226" s="47"/>
    </row>
    <row r="227">
      <c r="CU227" s="47"/>
      <c r="CV227" s="47"/>
      <c r="CW227" s="47"/>
      <c r="CX227" s="47"/>
      <c r="CY227" s="47"/>
      <c r="DD227" s="47"/>
      <c r="DE227" s="47"/>
      <c r="DF227" s="47"/>
      <c r="DG227" s="47"/>
      <c r="DH227" s="47"/>
      <c r="DL227" s="47"/>
      <c r="DM227" s="47"/>
      <c r="DN227" s="47"/>
      <c r="DO227" s="47"/>
      <c r="DP227" s="47"/>
      <c r="DQ227" s="47"/>
    </row>
    <row r="228">
      <c r="CU228" s="47"/>
      <c r="CV228" s="47"/>
      <c r="CW228" s="47"/>
      <c r="CX228" s="47"/>
      <c r="CY228" s="47"/>
      <c r="DD228" s="47"/>
      <c r="DE228" s="47"/>
      <c r="DF228" s="47"/>
      <c r="DG228" s="47"/>
      <c r="DH228" s="47"/>
      <c r="DL228" s="47"/>
      <c r="DM228" s="47"/>
      <c r="DN228" s="47"/>
      <c r="DO228" s="47"/>
      <c r="DP228" s="47"/>
      <c r="DQ228" s="47"/>
    </row>
    <row r="229">
      <c r="CU229" s="47"/>
      <c r="CV229" s="47"/>
      <c r="CW229" s="47"/>
      <c r="CX229" s="47"/>
      <c r="CY229" s="47"/>
      <c r="DD229" s="47"/>
      <c r="DE229" s="47"/>
      <c r="DF229" s="47"/>
      <c r="DG229" s="47"/>
      <c r="DH229" s="47"/>
      <c r="DL229" s="47"/>
      <c r="DM229" s="47"/>
      <c r="DN229" s="47"/>
      <c r="DO229" s="47"/>
      <c r="DP229" s="47"/>
      <c r="DQ229" s="47"/>
    </row>
    <row r="230">
      <c r="CU230" s="47"/>
      <c r="CV230" s="47"/>
      <c r="CW230" s="47"/>
      <c r="CX230" s="47"/>
      <c r="CY230" s="47"/>
      <c r="DD230" s="47"/>
      <c r="DE230" s="47"/>
      <c r="DF230" s="47"/>
      <c r="DG230" s="47"/>
      <c r="DH230" s="47"/>
      <c r="DL230" s="47"/>
      <c r="DM230" s="47"/>
      <c r="DN230" s="47"/>
      <c r="DO230" s="47"/>
      <c r="DP230" s="47"/>
      <c r="DQ230" s="47"/>
    </row>
    <row r="231">
      <c r="CU231" s="47"/>
      <c r="CV231" s="47"/>
      <c r="CW231" s="47"/>
      <c r="CX231" s="47"/>
      <c r="CY231" s="47"/>
      <c r="DD231" s="47"/>
      <c r="DE231" s="47"/>
      <c r="DF231" s="47"/>
      <c r="DG231" s="47"/>
      <c r="DH231" s="47"/>
      <c r="DL231" s="47"/>
      <c r="DM231" s="47"/>
      <c r="DN231" s="47"/>
      <c r="DO231" s="47"/>
      <c r="DP231" s="47"/>
      <c r="DQ231" s="47"/>
    </row>
    <row r="232">
      <c r="CU232" s="47"/>
      <c r="CV232" s="47"/>
      <c r="CW232" s="47"/>
      <c r="CX232" s="47"/>
      <c r="CY232" s="47"/>
      <c r="DD232" s="47"/>
      <c r="DE232" s="47"/>
      <c r="DF232" s="47"/>
      <c r="DG232" s="47"/>
      <c r="DH232" s="47"/>
      <c r="DL232" s="47"/>
      <c r="DM232" s="47"/>
      <c r="DN232" s="47"/>
      <c r="DO232" s="47"/>
      <c r="DP232" s="47"/>
      <c r="DQ232" s="47"/>
    </row>
    <row r="233">
      <c r="CU233" s="47"/>
      <c r="CV233" s="47"/>
      <c r="CW233" s="47"/>
      <c r="CX233" s="47"/>
      <c r="CY233" s="47"/>
      <c r="DD233" s="47"/>
      <c r="DE233" s="47"/>
      <c r="DF233" s="47"/>
      <c r="DG233" s="47"/>
      <c r="DH233" s="47"/>
      <c r="DL233" s="47"/>
      <c r="DM233" s="47"/>
      <c r="DN233" s="47"/>
      <c r="DO233" s="47"/>
      <c r="DP233" s="47"/>
      <c r="DQ233" s="47"/>
    </row>
    <row r="234">
      <c r="CU234" s="47"/>
      <c r="CV234" s="47"/>
      <c r="CW234" s="47"/>
      <c r="CX234" s="47"/>
      <c r="CY234" s="47"/>
      <c r="DD234" s="47"/>
      <c r="DE234" s="47"/>
      <c r="DF234" s="47"/>
      <c r="DG234" s="47"/>
      <c r="DH234" s="47"/>
      <c r="DL234" s="47"/>
      <c r="DM234" s="47"/>
      <c r="DN234" s="47"/>
      <c r="DO234" s="47"/>
      <c r="DP234" s="47"/>
      <c r="DQ234" s="47"/>
    </row>
    <row r="235">
      <c r="CU235" s="47"/>
      <c r="CV235" s="47"/>
      <c r="CW235" s="47"/>
      <c r="CX235" s="47"/>
      <c r="CY235" s="47"/>
      <c r="DD235" s="47"/>
      <c r="DE235" s="47"/>
      <c r="DF235" s="47"/>
      <c r="DG235" s="47"/>
      <c r="DH235" s="47"/>
      <c r="DL235" s="47"/>
      <c r="DM235" s="47"/>
      <c r="DN235" s="47"/>
      <c r="DO235" s="47"/>
      <c r="DP235" s="47"/>
      <c r="DQ235" s="47"/>
    </row>
    <row r="236">
      <c r="CU236" s="47"/>
      <c r="CV236" s="47"/>
      <c r="CW236" s="47"/>
      <c r="CX236" s="47"/>
      <c r="CY236" s="47"/>
      <c r="DD236" s="47"/>
      <c r="DE236" s="47"/>
      <c r="DF236" s="47"/>
      <c r="DG236" s="47"/>
      <c r="DH236" s="47"/>
      <c r="DL236" s="47"/>
      <c r="DM236" s="47"/>
      <c r="DN236" s="47"/>
      <c r="DO236" s="47"/>
      <c r="DP236" s="47"/>
      <c r="DQ236" s="47"/>
    </row>
    <row r="237">
      <c r="CU237" s="47"/>
      <c r="CV237" s="47"/>
      <c r="CW237" s="47"/>
      <c r="CX237" s="47"/>
      <c r="CY237" s="47"/>
      <c r="DD237" s="47"/>
      <c r="DE237" s="47"/>
      <c r="DF237" s="47"/>
      <c r="DG237" s="47"/>
      <c r="DH237" s="47"/>
      <c r="DL237" s="47"/>
      <c r="DM237" s="47"/>
      <c r="DN237" s="47"/>
      <c r="DO237" s="47"/>
      <c r="DP237" s="47"/>
      <c r="DQ237" s="47"/>
    </row>
    <row r="238">
      <c r="CU238" s="47"/>
      <c r="CV238" s="47"/>
      <c r="CW238" s="47"/>
      <c r="CX238" s="47"/>
      <c r="CY238" s="47"/>
      <c r="DD238" s="47"/>
      <c r="DE238" s="47"/>
      <c r="DF238" s="47"/>
      <c r="DG238" s="47"/>
      <c r="DH238" s="47"/>
      <c r="DL238" s="47"/>
      <c r="DM238" s="47"/>
      <c r="DN238" s="47"/>
      <c r="DO238" s="47"/>
      <c r="DP238" s="47"/>
      <c r="DQ238" s="47"/>
    </row>
    <row r="239">
      <c r="CU239" s="47"/>
      <c r="CV239" s="47"/>
      <c r="CW239" s="47"/>
      <c r="CX239" s="47"/>
      <c r="CY239" s="47"/>
      <c r="DD239" s="47"/>
      <c r="DE239" s="47"/>
      <c r="DF239" s="47"/>
      <c r="DG239" s="47"/>
      <c r="DH239" s="47"/>
      <c r="DL239" s="47"/>
      <c r="DM239" s="47"/>
      <c r="DN239" s="47"/>
      <c r="DO239" s="47"/>
      <c r="DP239" s="47"/>
      <c r="DQ239" s="47"/>
    </row>
    <row r="240">
      <c r="CU240" s="47"/>
      <c r="CV240" s="47"/>
      <c r="CW240" s="47"/>
      <c r="CX240" s="47"/>
      <c r="CY240" s="47"/>
      <c r="DD240" s="47"/>
      <c r="DE240" s="47"/>
      <c r="DF240" s="47"/>
      <c r="DG240" s="47"/>
      <c r="DH240" s="47"/>
      <c r="DL240" s="47"/>
      <c r="DM240" s="47"/>
      <c r="DN240" s="47"/>
      <c r="DO240" s="47"/>
      <c r="DP240" s="47"/>
      <c r="DQ240" s="47"/>
    </row>
    <row r="241">
      <c r="CU241" s="47"/>
      <c r="CV241" s="47"/>
      <c r="CW241" s="47"/>
      <c r="CX241" s="47"/>
      <c r="CY241" s="47"/>
      <c r="DD241" s="47"/>
      <c r="DE241" s="47"/>
      <c r="DF241" s="47"/>
      <c r="DG241" s="47"/>
      <c r="DH241" s="47"/>
      <c r="DL241" s="47"/>
      <c r="DM241" s="47"/>
      <c r="DN241" s="47"/>
      <c r="DO241" s="47"/>
      <c r="DP241" s="47"/>
      <c r="DQ241" s="47"/>
    </row>
    <row r="242">
      <c r="CU242" s="47"/>
      <c r="CV242" s="47"/>
      <c r="CW242" s="47"/>
      <c r="CX242" s="47"/>
      <c r="CY242" s="47"/>
      <c r="DD242" s="47"/>
      <c r="DE242" s="47"/>
      <c r="DF242" s="47"/>
      <c r="DG242" s="47"/>
      <c r="DH242" s="47"/>
      <c r="DL242" s="47"/>
      <c r="DM242" s="47"/>
      <c r="DN242" s="47"/>
      <c r="DO242" s="47"/>
      <c r="DP242" s="47"/>
      <c r="DQ242" s="47"/>
    </row>
    <row r="243">
      <c r="CU243" s="47"/>
      <c r="CV243" s="47"/>
      <c r="CW243" s="47"/>
      <c r="CX243" s="47"/>
      <c r="CY243" s="47"/>
      <c r="DD243" s="47"/>
      <c r="DE243" s="47"/>
      <c r="DF243" s="47"/>
      <c r="DG243" s="47"/>
      <c r="DH243" s="47"/>
      <c r="DL243" s="47"/>
      <c r="DM243" s="47"/>
      <c r="DN243" s="47"/>
      <c r="DO243" s="47"/>
      <c r="DP243" s="47"/>
      <c r="DQ243" s="47"/>
    </row>
    <row r="244">
      <c r="CU244" s="47"/>
      <c r="CV244" s="47"/>
      <c r="CW244" s="47"/>
      <c r="CX244" s="47"/>
      <c r="CY244" s="47"/>
      <c r="DD244" s="47"/>
      <c r="DE244" s="47"/>
      <c r="DF244" s="47"/>
      <c r="DG244" s="47"/>
      <c r="DH244" s="47"/>
      <c r="DL244" s="47"/>
      <c r="DM244" s="47"/>
      <c r="DN244" s="47"/>
      <c r="DO244" s="47"/>
      <c r="DP244" s="47"/>
      <c r="DQ244" s="47"/>
    </row>
    <row r="245">
      <c r="CU245" s="47"/>
      <c r="CV245" s="47"/>
      <c r="CW245" s="47"/>
      <c r="CX245" s="47"/>
      <c r="CY245" s="47"/>
      <c r="DD245" s="47"/>
      <c r="DE245" s="47"/>
      <c r="DF245" s="47"/>
      <c r="DG245" s="47"/>
      <c r="DH245" s="47"/>
      <c r="DL245" s="47"/>
      <c r="DM245" s="47"/>
      <c r="DN245" s="47"/>
      <c r="DO245" s="47"/>
      <c r="DP245" s="47"/>
      <c r="DQ245" s="47"/>
    </row>
    <row r="246">
      <c r="CU246" s="47"/>
      <c r="CV246" s="47"/>
      <c r="CW246" s="47"/>
      <c r="CX246" s="47"/>
      <c r="CY246" s="47"/>
      <c r="DD246" s="47"/>
      <c r="DE246" s="47"/>
      <c r="DF246" s="47"/>
      <c r="DG246" s="47"/>
      <c r="DH246" s="47"/>
      <c r="DL246" s="47"/>
      <c r="DM246" s="47"/>
      <c r="DN246" s="47"/>
      <c r="DO246" s="47"/>
      <c r="DP246" s="47"/>
      <c r="DQ246" s="47"/>
    </row>
    <row r="247">
      <c r="CU247" s="47"/>
      <c r="CV247" s="47"/>
      <c r="CW247" s="47"/>
      <c r="CX247" s="47"/>
      <c r="CY247" s="47"/>
      <c r="DD247" s="47"/>
      <c r="DE247" s="47"/>
      <c r="DF247" s="47"/>
      <c r="DG247" s="47"/>
      <c r="DH247" s="47"/>
      <c r="DL247" s="47"/>
      <c r="DM247" s="47"/>
      <c r="DN247" s="47"/>
      <c r="DO247" s="47"/>
      <c r="DP247" s="47"/>
      <c r="DQ247" s="47"/>
    </row>
    <row r="248">
      <c r="CU248" s="47"/>
      <c r="CV248" s="47"/>
      <c r="CW248" s="47"/>
      <c r="CX248" s="47"/>
      <c r="CY248" s="47"/>
      <c r="DD248" s="47"/>
      <c r="DE248" s="47"/>
      <c r="DF248" s="47"/>
      <c r="DG248" s="47"/>
      <c r="DH248" s="47"/>
      <c r="DL248" s="47"/>
      <c r="DM248" s="47"/>
      <c r="DN248" s="47"/>
      <c r="DO248" s="47"/>
      <c r="DP248" s="47"/>
      <c r="DQ248" s="47"/>
    </row>
    <row r="249">
      <c r="CU249" s="47"/>
      <c r="CV249" s="47"/>
      <c r="CW249" s="47"/>
      <c r="CX249" s="47"/>
      <c r="CY249" s="47"/>
      <c r="DD249" s="47"/>
      <c r="DE249" s="47"/>
      <c r="DF249" s="47"/>
      <c r="DG249" s="47"/>
      <c r="DH249" s="47"/>
      <c r="DL249" s="47"/>
      <c r="DM249" s="47"/>
      <c r="DN249" s="47"/>
      <c r="DO249" s="47"/>
      <c r="DP249" s="47"/>
      <c r="DQ249" s="47"/>
    </row>
    <row r="250">
      <c r="CU250" s="47"/>
      <c r="CV250" s="47"/>
      <c r="CW250" s="47"/>
      <c r="CX250" s="47"/>
      <c r="CY250" s="47"/>
      <c r="DD250" s="47"/>
      <c r="DE250" s="47"/>
      <c r="DF250" s="47"/>
      <c r="DG250" s="47"/>
      <c r="DH250" s="47"/>
      <c r="DL250" s="47"/>
      <c r="DM250" s="47"/>
      <c r="DN250" s="47"/>
      <c r="DO250" s="47"/>
      <c r="DP250" s="47"/>
      <c r="DQ250" s="47"/>
    </row>
    <row r="251">
      <c r="CU251" s="47"/>
      <c r="CV251" s="47"/>
      <c r="CW251" s="47"/>
      <c r="CX251" s="47"/>
      <c r="CY251" s="47"/>
      <c r="DD251" s="47"/>
      <c r="DE251" s="47"/>
      <c r="DF251" s="47"/>
      <c r="DG251" s="47"/>
      <c r="DH251" s="47"/>
      <c r="DL251" s="47"/>
      <c r="DM251" s="47"/>
      <c r="DN251" s="47"/>
      <c r="DO251" s="47"/>
      <c r="DP251" s="47"/>
      <c r="DQ251" s="47"/>
    </row>
    <row r="252">
      <c r="CU252" s="47"/>
      <c r="CV252" s="47"/>
      <c r="CW252" s="47"/>
      <c r="CX252" s="47"/>
      <c r="CY252" s="47"/>
      <c r="DD252" s="47"/>
      <c r="DE252" s="47"/>
      <c r="DF252" s="47"/>
      <c r="DG252" s="47"/>
      <c r="DH252" s="47"/>
      <c r="DL252" s="47"/>
      <c r="DM252" s="47"/>
      <c r="DN252" s="47"/>
      <c r="DO252" s="47"/>
      <c r="DP252" s="47"/>
      <c r="DQ252" s="47"/>
    </row>
    <row r="253">
      <c r="CU253" s="47"/>
      <c r="CV253" s="47"/>
      <c r="CW253" s="47"/>
      <c r="CX253" s="47"/>
      <c r="CY253" s="47"/>
      <c r="DD253" s="47"/>
      <c r="DE253" s="47"/>
      <c r="DF253" s="47"/>
      <c r="DG253" s="47"/>
      <c r="DH253" s="47"/>
      <c r="DL253" s="47"/>
      <c r="DM253" s="47"/>
      <c r="DN253" s="47"/>
      <c r="DO253" s="47"/>
      <c r="DP253" s="47"/>
      <c r="DQ253" s="47"/>
    </row>
    <row r="254">
      <c r="CU254" s="47"/>
      <c r="CV254" s="47"/>
      <c r="CW254" s="47"/>
      <c r="CX254" s="47"/>
      <c r="CY254" s="47"/>
      <c r="DD254" s="47"/>
      <c r="DE254" s="47"/>
      <c r="DF254" s="47"/>
      <c r="DG254" s="47"/>
      <c r="DH254" s="47"/>
      <c r="DL254" s="47"/>
      <c r="DM254" s="47"/>
      <c r="DN254" s="47"/>
      <c r="DO254" s="47"/>
      <c r="DP254" s="47"/>
      <c r="DQ254" s="47"/>
    </row>
    <row r="255">
      <c r="CU255" s="47"/>
      <c r="CV255" s="47"/>
      <c r="CW255" s="47"/>
      <c r="CX255" s="47"/>
      <c r="CY255" s="47"/>
      <c r="DD255" s="47"/>
      <c r="DE255" s="47"/>
      <c r="DF255" s="47"/>
      <c r="DG255" s="47"/>
      <c r="DH255" s="47"/>
      <c r="DL255" s="47"/>
      <c r="DM255" s="47"/>
      <c r="DN255" s="47"/>
      <c r="DO255" s="47"/>
      <c r="DP255" s="47"/>
      <c r="DQ255" s="47"/>
    </row>
    <row r="256">
      <c r="CU256" s="47"/>
      <c r="CV256" s="47"/>
      <c r="CW256" s="47"/>
      <c r="CX256" s="47"/>
      <c r="CY256" s="47"/>
      <c r="DD256" s="47"/>
      <c r="DE256" s="47"/>
      <c r="DF256" s="47"/>
      <c r="DG256" s="47"/>
      <c r="DH256" s="47"/>
      <c r="DL256" s="47"/>
      <c r="DM256" s="47"/>
      <c r="DN256" s="47"/>
      <c r="DO256" s="47"/>
      <c r="DP256" s="47"/>
      <c r="DQ256" s="47"/>
    </row>
    <row r="257">
      <c r="CU257" s="47"/>
      <c r="CV257" s="47"/>
      <c r="CW257" s="47"/>
      <c r="CX257" s="47"/>
      <c r="CY257" s="47"/>
      <c r="DD257" s="47"/>
      <c r="DE257" s="47"/>
      <c r="DF257" s="47"/>
      <c r="DG257" s="47"/>
      <c r="DH257" s="47"/>
      <c r="DL257" s="47"/>
      <c r="DM257" s="47"/>
      <c r="DN257" s="47"/>
      <c r="DO257" s="47"/>
      <c r="DP257" s="47"/>
      <c r="DQ257" s="47"/>
    </row>
    <row r="258">
      <c r="CU258" s="47"/>
      <c r="CV258" s="47"/>
      <c r="CW258" s="47"/>
      <c r="CX258" s="47"/>
      <c r="CY258" s="47"/>
      <c r="DD258" s="47"/>
      <c r="DE258" s="47"/>
      <c r="DF258" s="47"/>
      <c r="DG258" s="47"/>
      <c r="DH258" s="47"/>
      <c r="DL258" s="47"/>
      <c r="DM258" s="47"/>
      <c r="DN258" s="47"/>
      <c r="DO258" s="47"/>
      <c r="DP258" s="47"/>
      <c r="DQ258" s="47"/>
    </row>
    <row r="259">
      <c r="CU259" s="47"/>
      <c r="CV259" s="47"/>
      <c r="CW259" s="47"/>
      <c r="CX259" s="47"/>
      <c r="CY259" s="47"/>
      <c r="DD259" s="47"/>
      <c r="DE259" s="47"/>
      <c r="DF259" s="47"/>
      <c r="DG259" s="47"/>
      <c r="DH259" s="47"/>
      <c r="DL259" s="47"/>
      <c r="DM259" s="47"/>
      <c r="DN259" s="47"/>
      <c r="DO259" s="47"/>
      <c r="DP259" s="47"/>
      <c r="DQ259" s="47"/>
    </row>
    <row r="260">
      <c r="CU260" s="47"/>
      <c r="CV260" s="47"/>
      <c r="CW260" s="47"/>
      <c r="CX260" s="47"/>
      <c r="CY260" s="47"/>
      <c r="DD260" s="47"/>
      <c r="DE260" s="47"/>
      <c r="DF260" s="47"/>
      <c r="DG260" s="47"/>
      <c r="DH260" s="47"/>
      <c r="DL260" s="47"/>
      <c r="DM260" s="47"/>
      <c r="DN260" s="47"/>
      <c r="DO260" s="47"/>
      <c r="DP260" s="47"/>
      <c r="DQ260" s="47"/>
    </row>
    <row r="261">
      <c r="CU261" s="47"/>
      <c r="CV261" s="47"/>
      <c r="CW261" s="47"/>
      <c r="CX261" s="47"/>
      <c r="CY261" s="47"/>
      <c r="DD261" s="47"/>
      <c r="DE261" s="47"/>
      <c r="DF261" s="47"/>
      <c r="DG261" s="47"/>
      <c r="DH261" s="47"/>
      <c r="DL261" s="47"/>
      <c r="DM261" s="47"/>
      <c r="DN261" s="47"/>
      <c r="DO261" s="47"/>
      <c r="DP261" s="47"/>
      <c r="DQ261" s="47"/>
    </row>
    <row r="262">
      <c r="CU262" s="47"/>
      <c r="CV262" s="47"/>
      <c r="CW262" s="47"/>
      <c r="CX262" s="47"/>
      <c r="CY262" s="47"/>
      <c r="DD262" s="47"/>
      <c r="DE262" s="47"/>
      <c r="DF262" s="47"/>
      <c r="DG262" s="47"/>
      <c r="DH262" s="47"/>
      <c r="DL262" s="47"/>
      <c r="DM262" s="47"/>
      <c r="DN262" s="47"/>
      <c r="DO262" s="47"/>
      <c r="DP262" s="47"/>
      <c r="DQ262" s="47"/>
    </row>
    <row r="263">
      <c r="CU263" s="47"/>
      <c r="CV263" s="47"/>
      <c r="CW263" s="47"/>
      <c r="CX263" s="47"/>
      <c r="CY263" s="47"/>
      <c r="DD263" s="47"/>
      <c r="DE263" s="47"/>
      <c r="DF263" s="47"/>
      <c r="DG263" s="47"/>
      <c r="DH263" s="47"/>
      <c r="DL263" s="47"/>
      <c r="DM263" s="47"/>
      <c r="DN263" s="47"/>
      <c r="DO263" s="47"/>
      <c r="DP263" s="47"/>
      <c r="DQ263" s="47"/>
    </row>
    <row r="264">
      <c r="CU264" s="47"/>
      <c r="CV264" s="47"/>
      <c r="CW264" s="47"/>
      <c r="CX264" s="47"/>
      <c r="CY264" s="47"/>
      <c r="DD264" s="47"/>
      <c r="DE264" s="47"/>
      <c r="DF264" s="47"/>
      <c r="DG264" s="47"/>
      <c r="DH264" s="47"/>
      <c r="DL264" s="47"/>
      <c r="DM264" s="47"/>
      <c r="DN264" s="47"/>
      <c r="DO264" s="47"/>
      <c r="DP264" s="47"/>
      <c r="DQ264" s="47"/>
    </row>
    <row r="265">
      <c r="CU265" s="47"/>
      <c r="CV265" s="47"/>
      <c r="CW265" s="47"/>
      <c r="CX265" s="47"/>
      <c r="CY265" s="47"/>
      <c r="DD265" s="47"/>
      <c r="DE265" s="47"/>
      <c r="DF265" s="47"/>
      <c r="DG265" s="47"/>
      <c r="DH265" s="47"/>
      <c r="DL265" s="47"/>
      <c r="DM265" s="47"/>
      <c r="DN265" s="47"/>
      <c r="DO265" s="47"/>
      <c r="DP265" s="47"/>
      <c r="DQ265" s="47"/>
    </row>
    <row r="266">
      <c r="CU266" s="47"/>
      <c r="CV266" s="47"/>
      <c r="CW266" s="47"/>
      <c r="CX266" s="47"/>
      <c r="CY266" s="47"/>
      <c r="DD266" s="47"/>
      <c r="DE266" s="47"/>
      <c r="DF266" s="47"/>
      <c r="DG266" s="47"/>
      <c r="DH266" s="47"/>
      <c r="DL266" s="47"/>
      <c r="DM266" s="47"/>
      <c r="DN266" s="47"/>
      <c r="DO266" s="47"/>
      <c r="DP266" s="47"/>
      <c r="DQ266" s="47"/>
    </row>
    <row r="267">
      <c r="CU267" s="47"/>
      <c r="CV267" s="47"/>
      <c r="CW267" s="47"/>
      <c r="CX267" s="47"/>
      <c r="CY267" s="47"/>
      <c r="DD267" s="47"/>
      <c r="DE267" s="47"/>
      <c r="DF267" s="47"/>
      <c r="DG267" s="47"/>
      <c r="DH267" s="47"/>
      <c r="DL267" s="47"/>
      <c r="DM267" s="47"/>
      <c r="DN267" s="47"/>
      <c r="DO267" s="47"/>
      <c r="DP267" s="47"/>
      <c r="DQ267" s="47"/>
    </row>
    <row r="268">
      <c r="CU268" s="47"/>
      <c r="CV268" s="47"/>
      <c r="CW268" s="47"/>
      <c r="CX268" s="47"/>
      <c r="CY268" s="47"/>
      <c r="DD268" s="47"/>
      <c r="DE268" s="47"/>
      <c r="DF268" s="47"/>
      <c r="DG268" s="47"/>
      <c r="DH268" s="47"/>
      <c r="DL268" s="47"/>
      <c r="DM268" s="47"/>
      <c r="DN268" s="47"/>
      <c r="DO268" s="47"/>
      <c r="DP268" s="47"/>
      <c r="DQ268" s="47"/>
    </row>
    <row r="269">
      <c r="CU269" s="47"/>
      <c r="CV269" s="47"/>
      <c r="CW269" s="47"/>
      <c r="CX269" s="47"/>
      <c r="CY269" s="47"/>
      <c r="DD269" s="47"/>
      <c r="DE269" s="47"/>
      <c r="DF269" s="47"/>
      <c r="DG269" s="47"/>
      <c r="DH269" s="47"/>
      <c r="DL269" s="47"/>
      <c r="DM269" s="47"/>
      <c r="DN269" s="47"/>
      <c r="DO269" s="47"/>
      <c r="DP269" s="47"/>
      <c r="DQ269" s="47"/>
    </row>
    <row r="270">
      <c r="CU270" s="47"/>
      <c r="CV270" s="47"/>
      <c r="CW270" s="47"/>
      <c r="CX270" s="47"/>
      <c r="CY270" s="47"/>
      <c r="DD270" s="47"/>
      <c r="DE270" s="47"/>
      <c r="DF270" s="47"/>
      <c r="DG270" s="47"/>
      <c r="DH270" s="47"/>
      <c r="DL270" s="47"/>
      <c r="DM270" s="47"/>
      <c r="DN270" s="47"/>
      <c r="DO270" s="47"/>
      <c r="DP270" s="47"/>
      <c r="DQ270" s="47"/>
    </row>
    <row r="271">
      <c r="CU271" s="47"/>
      <c r="CV271" s="47"/>
      <c r="CW271" s="47"/>
      <c r="CX271" s="47"/>
      <c r="CY271" s="47"/>
      <c r="DD271" s="47"/>
      <c r="DE271" s="47"/>
      <c r="DF271" s="47"/>
      <c r="DG271" s="47"/>
      <c r="DH271" s="47"/>
      <c r="DL271" s="47"/>
      <c r="DM271" s="47"/>
      <c r="DN271" s="47"/>
      <c r="DO271" s="47"/>
      <c r="DP271" s="47"/>
      <c r="DQ271" s="47"/>
    </row>
    <row r="272">
      <c r="CU272" s="47"/>
      <c r="CV272" s="47"/>
      <c r="CW272" s="47"/>
      <c r="CX272" s="47"/>
      <c r="CY272" s="47"/>
      <c r="DD272" s="47"/>
      <c r="DE272" s="47"/>
      <c r="DF272" s="47"/>
      <c r="DG272" s="47"/>
      <c r="DH272" s="47"/>
      <c r="DL272" s="47"/>
      <c r="DM272" s="47"/>
      <c r="DN272" s="47"/>
      <c r="DO272" s="47"/>
      <c r="DP272" s="47"/>
      <c r="DQ272" s="47"/>
    </row>
    <row r="273">
      <c r="CU273" s="47"/>
      <c r="CV273" s="47"/>
      <c r="CW273" s="47"/>
      <c r="CX273" s="47"/>
      <c r="CY273" s="47"/>
      <c r="DD273" s="47"/>
      <c r="DE273" s="47"/>
      <c r="DF273" s="47"/>
      <c r="DG273" s="47"/>
      <c r="DH273" s="47"/>
      <c r="DL273" s="47"/>
      <c r="DM273" s="47"/>
      <c r="DN273" s="47"/>
      <c r="DO273" s="47"/>
      <c r="DP273" s="47"/>
      <c r="DQ273" s="47"/>
    </row>
    <row r="274">
      <c r="CU274" s="47"/>
      <c r="CV274" s="47"/>
      <c r="CW274" s="47"/>
      <c r="CX274" s="47"/>
      <c r="CY274" s="47"/>
      <c r="DD274" s="47"/>
      <c r="DE274" s="47"/>
      <c r="DF274" s="47"/>
      <c r="DG274" s="47"/>
      <c r="DH274" s="47"/>
      <c r="DL274" s="47"/>
      <c r="DM274" s="47"/>
      <c r="DN274" s="47"/>
      <c r="DO274" s="47"/>
      <c r="DP274" s="47"/>
      <c r="DQ274" s="47"/>
    </row>
    <row r="275">
      <c r="CU275" s="47"/>
      <c r="CV275" s="47"/>
      <c r="CW275" s="47"/>
      <c r="CX275" s="47"/>
      <c r="CY275" s="47"/>
      <c r="DD275" s="47"/>
      <c r="DE275" s="47"/>
      <c r="DF275" s="47"/>
      <c r="DG275" s="47"/>
      <c r="DH275" s="47"/>
      <c r="DL275" s="47"/>
      <c r="DM275" s="47"/>
      <c r="DN275" s="47"/>
      <c r="DO275" s="47"/>
      <c r="DP275" s="47"/>
      <c r="DQ275" s="47"/>
    </row>
    <row r="276">
      <c r="CU276" s="47"/>
      <c r="CV276" s="47"/>
      <c r="CW276" s="47"/>
      <c r="CX276" s="47"/>
      <c r="CY276" s="47"/>
      <c r="DD276" s="47"/>
      <c r="DE276" s="47"/>
      <c r="DF276" s="47"/>
      <c r="DG276" s="47"/>
      <c r="DH276" s="47"/>
      <c r="DL276" s="47"/>
      <c r="DM276" s="47"/>
      <c r="DN276" s="47"/>
      <c r="DO276" s="47"/>
      <c r="DP276" s="47"/>
      <c r="DQ276" s="47"/>
    </row>
    <row r="277">
      <c r="CU277" s="47"/>
      <c r="CV277" s="47"/>
      <c r="CW277" s="47"/>
      <c r="CX277" s="47"/>
      <c r="CY277" s="47"/>
      <c r="DD277" s="47"/>
      <c r="DE277" s="47"/>
      <c r="DF277" s="47"/>
      <c r="DG277" s="47"/>
      <c r="DH277" s="47"/>
      <c r="DL277" s="47"/>
      <c r="DM277" s="47"/>
      <c r="DN277" s="47"/>
      <c r="DO277" s="47"/>
      <c r="DP277" s="47"/>
      <c r="DQ277" s="47"/>
    </row>
    <row r="278">
      <c r="CU278" s="47"/>
      <c r="CV278" s="47"/>
      <c r="CW278" s="47"/>
      <c r="CX278" s="47"/>
      <c r="CY278" s="47"/>
      <c r="DD278" s="47"/>
      <c r="DE278" s="47"/>
      <c r="DF278" s="47"/>
      <c r="DG278" s="47"/>
      <c r="DH278" s="47"/>
      <c r="DL278" s="47"/>
      <c r="DM278" s="47"/>
      <c r="DN278" s="47"/>
      <c r="DO278" s="47"/>
      <c r="DP278" s="47"/>
      <c r="DQ278" s="47"/>
    </row>
    <row r="279">
      <c r="CU279" s="47"/>
      <c r="CV279" s="47"/>
      <c r="CW279" s="47"/>
      <c r="CX279" s="47"/>
      <c r="CY279" s="47"/>
      <c r="DD279" s="47"/>
      <c r="DE279" s="47"/>
      <c r="DF279" s="47"/>
      <c r="DG279" s="47"/>
      <c r="DH279" s="47"/>
      <c r="DL279" s="47"/>
      <c r="DM279" s="47"/>
      <c r="DN279" s="47"/>
      <c r="DO279" s="47"/>
      <c r="DP279" s="47"/>
      <c r="DQ279" s="47"/>
    </row>
    <row r="280">
      <c r="CU280" s="47"/>
      <c r="CV280" s="47"/>
      <c r="CW280" s="47"/>
      <c r="CX280" s="47"/>
      <c r="CY280" s="47"/>
      <c r="DD280" s="47"/>
      <c r="DE280" s="47"/>
      <c r="DF280" s="47"/>
      <c r="DG280" s="47"/>
      <c r="DH280" s="47"/>
      <c r="DL280" s="47"/>
      <c r="DM280" s="47"/>
      <c r="DN280" s="47"/>
      <c r="DO280" s="47"/>
      <c r="DP280" s="47"/>
      <c r="DQ280" s="47"/>
    </row>
    <row r="281">
      <c r="CU281" s="47"/>
      <c r="CV281" s="47"/>
      <c r="CW281" s="47"/>
      <c r="CX281" s="47"/>
      <c r="CY281" s="47"/>
      <c r="DD281" s="47"/>
      <c r="DE281" s="47"/>
      <c r="DF281" s="47"/>
      <c r="DG281" s="47"/>
      <c r="DH281" s="47"/>
      <c r="DL281" s="47"/>
      <c r="DM281" s="47"/>
      <c r="DN281" s="47"/>
      <c r="DO281" s="47"/>
      <c r="DP281" s="47"/>
      <c r="DQ281" s="47"/>
    </row>
    <row r="282">
      <c r="CU282" s="47"/>
      <c r="CV282" s="47"/>
      <c r="CW282" s="47"/>
      <c r="CX282" s="47"/>
      <c r="CY282" s="47"/>
      <c r="DD282" s="47"/>
      <c r="DE282" s="47"/>
      <c r="DF282" s="47"/>
      <c r="DG282" s="47"/>
      <c r="DH282" s="47"/>
      <c r="DL282" s="47"/>
      <c r="DM282" s="47"/>
      <c r="DN282" s="47"/>
      <c r="DO282" s="47"/>
      <c r="DP282" s="47"/>
      <c r="DQ282" s="47"/>
    </row>
    <row r="283">
      <c r="CU283" s="47"/>
      <c r="CV283" s="47"/>
      <c r="CW283" s="47"/>
      <c r="CX283" s="47"/>
      <c r="CY283" s="47"/>
      <c r="DD283" s="47"/>
      <c r="DE283" s="47"/>
      <c r="DF283" s="47"/>
      <c r="DG283" s="47"/>
      <c r="DH283" s="47"/>
      <c r="DL283" s="47"/>
      <c r="DM283" s="47"/>
      <c r="DN283" s="47"/>
      <c r="DO283" s="47"/>
      <c r="DP283" s="47"/>
      <c r="DQ283" s="47"/>
    </row>
    <row r="284">
      <c r="CU284" s="47"/>
      <c r="CV284" s="47"/>
      <c r="CW284" s="47"/>
      <c r="CX284" s="47"/>
      <c r="CY284" s="47"/>
      <c r="DD284" s="47"/>
      <c r="DE284" s="47"/>
      <c r="DF284" s="47"/>
      <c r="DG284" s="47"/>
      <c r="DH284" s="47"/>
      <c r="DL284" s="47"/>
      <c r="DM284" s="47"/>
      <c r="DN284" s="47"/>
      <c r="DO284" s="47"/>
      <c r="DP284" s="47"/>
      <c r="DQ284" s="47"/>
    </row>
    <row r="285">
      <c r="CU285" s="47"/>
      <c r="CV285" s="47"/>
      <c r="CW285" s="47"/>
      <c r="CX285" s="47"/>
      <c r="CY285" s="47"/>
      <c r="DD285" s="47"/>
      <c r="DE285" s="47"/>
      <c r="DF285" s="47"/>
      <c r="DG285" s="47"/>
      <c r="DH285" s="47"/>
      <c r="DL285" s="47"/>
      <c r="DM285" s="47"/>
      <c r="DN285" s="47"/>
      <c r="DO285" s="47"/>
      <c r="DP285" s="47"/>
      <c r="DQ285" s="47"/>
    </row>
    <row r="286">
      <c r="CU286" s="47"/>
      <c r="CV286" s="47"/>
      <c r="CW286" s="47"/>
      <c r="CX286" s="47"/>
      <c r="CY286" s="47"/>
      <c r="DD286" s="47"/>
      <c r="DE286" s="47"/>
      <c r="DF286" s="47"/>
      <c r="DG286" s="47"/>
      <c r="DH286" s="47"/>
      <c r="DL286" s="47"/>
      <c r="DM286" s="47"/>
      <c r="DN286" s="47"/>
      <c r="DO286" s="47"/>
      <c r="DP286" s="47"/>
      <c r="DQ286" s="47"/>
    </row>
    <row r="287">
      <c r="CU287" s="47"/>
      <c r="CV287" s="47"/>
      <c r="CW287" s="47"/>
      <c r="CX287" s="47"/>
      <c r="CY287" s="47"/>
      <c r="DD287" s="47"/>
      <c r="DE287" s="47"/>
      <c r="DF287" s="47"/>
      <c r="DG287" s="47"/>
      <c r="DH287" s="47"/>
      <c r="DL287" s="47"/>
      <c r="DM287" s="47"/>
      <c r="DN287" s="47"/>
      <c r="DO287" s="47"/>
      <c r="DP287" s="47"/>
      <c r="DQ287" s="47"/>
    </row>
    <row r="288">
      <c r="CU288" s="47"/>
      <c r="CV288" s="47"/>
      <c r="CW288" s="47"/>
      <c r="CX288" s="47"/>
      <c r="CY288" s="47"/>
      <c r="DD288" s="47"/>
      <c r="DE288" s="47"/>
      <c r="DF288" s="47"/>
      <c r="DG288" s="47"/>
      <c r="DH288" s="47"/>
      <c r="DL288" s="47"/>
      <c r="DM288" s="47"/>
      <c r="DN288" s="47"/>
      <c r="DO288" s="47"/>
      <c r="DP288" s="47"/>
      <c r="DQ288" s="47"/>
    </row>
    <row r="289">
      <c r="CU289" s="47"/>
      <c r="CV289" s="47"/>
      <c r="CW289" s="47"/>
      <c r="CX289" s="47"/>
      <c r="CY289" s="47"/>
      <c r="DD289" s="47"/>
      <c r="DE289" s="47"/>
      <c r="DF289" s="47"/>
      <c r="DG289" s="47"/>
      <c r="DH289" s="47"/>
      <c r="DL289" s="47"/>
      <c r="DM289" s="47"/>
      <c r="DN289" s="47"/>
      <c r="DO289" s="47"/>
      <c r="DP289" s="47"/>
      <c r="DQ289" s="47"/>
    </row>
    <row r="290">
      <c r="CU290" s="47"/>
      <c r="CV290" s="47"/>
      <c r="CW290" s="47"/>
      <c r="CX290" s="47"/>
      <c r="CY290" s="47"/>
      <c r="DD290" s="47"/>
      <c r="DE290" s="47"/>
      <c r="DF290" s="47"/>
      <c r="DG290" s="47"/>
      <c r="DH290" s="47"/>
      <c r="DL290" s="47"/>
      <c r="DM290" s="47"/>
      <c r="DN290" s="47"/>
      <c r="DO290" s="47"/>
      <c r="DP290" s="47"/>
      <c r="DQ290" s="47"/>
    </row>
    <row r="291">
      <c r="CU291" s="47"/>
      <c r="CV291" s="47"/>
      <c r="CW291" s="47"/>
      <c r="CX291" s="47"/>
      <c r="CY291" s="47"/>
      <c r="DD291" s="47"/>
      <c r="DE291" s="47"/>
      <c r="DF291" s="47"/>
      <c r="DG291" s="47"/>
      <c r="DH291" s="47"/>
      <c r="DL291" s="47"/>
      <c r="DM291" s="47"/>
      <c r="DN291" s="47"/>
      <c r="DO291" s="47"/>
      <c r="DP291" s="47"/>
      <c r="DQ291" s="47"/>
    </row>
    <row r="292">
      <c r="CU292" s="47"/>
      <c r="CV292" s="47"/>
      <c r="CW292" s="47"/>
      <c r="CX292" s="47"/>
      <c r="CY292" s="47"/>
      <c r="DD292" s="47"/>
      <c r="DE292" s="47"/>
      <c r="DF292" s="47"/>
      <c r="DG292" s="47"/>
      <c r="DH292" s="47"/>
      <c r="DL292" s="47"/>
      <c r="DM292" s="47"/>
      <c r="DN292" s="47"/>
      <c r="DO292" s="47"/>
      <c r="DP292" s="47"/>
      <c r="DQ292" s="47"/>
    </row>
    <row r="293">
      <c r="CU293" s="47"/>
      <c r="CV293" s="47"/>
      <c r="CW293" s="47"/>
      <c r="CX293" s="47"/>
      <c r="CY293" s="47"/>
      <c r="DD293" s="47"/>
      <c r="DE293" s="47"/>
      <c r="DF293" s="47"/>
      <c r="DG293" s="47"/>
      <c r="DH293" s="47"/>
      <c r="DL293" s="47"/>
      <c r="DM293" s="47"/>
      <c r="DN293" s="47"/>
      <c r="DO293" s="47"/>
      <c r="DP293" s="47"/>
      <c r="DQ293" s="47"/>
    </row>
    <row r="294">
      <c r="CU294" s="47"/>
      <c r="CV294" s="47"/>
      <c r="CW294" s="47"/>
      <c r="CX294" s="47"/>
      <c r="CY294" s="47"/>
      <c r="DD294" s="47"/>
      <c r="DE294" s="47"/>
      <c r="DF294" s="47"/>
      <c r="DG294" s="47"/>
      <c r="DH294" s="47"/>
      <c r="DL294" s="47"/>
      <c r="DM294" s="47"/>
      <c r="DN294" s="47"/>
      <c r="DO294" s="47"/>
      <c r="DP294" s="47"/>
      <c r="DQ294" s="47"/>
    </row>
    <row r="295">
      <c r="CU295" s="47"/>
      <c r="CV295" s="47"/>
      <c r="CW295" s="47"/>
      <c r="CX295" s="47"/>
      <c r="CY295" s="47"/>
      <c r="DD295" s="47"/>
      <c r="DE295" s="47"/>
      <c r="DF295" s="47"/>
      <c r="DG295" s="47"/>
      <c r="DH295" s="47"/>
      <c r="DL295" s="47"/>
      <c r="DM295" s="47"/>
      <c r="DN295" s="47"/>
      <c r="DO295" s="47"/>
      <c r="DP295" s="47"/>
      <c r="DQ295" s="47"/>
    </row>
    <row r="296">
      <c r="CU296" s="47"/>
      <c r="CV296" s="47"/>
      <c r="CW296" s="47"/>
      <c r="CX296" s="47"/>
      <c r="CY296" s="47"/>
      <c r="DD296" s="47"/>
      <c r="DE296" s="47"/>
      <c r="DF296" s="47"/>
      <c r="DG296" s="47"/>
      <c r="DH296" s="47"/>
      <c r="DL296" s="47"/>
      <c r="DM296" s="47"/>
      <c r="DN296" s="47"/>
      <c r="DO296" s="47"/>
      <c r="DP296" s="47"/>
      <c r="DQ296" s="47"/>
    </row>
    <row r="297">
      <c r="CU297" s="47"/>
      <c r="CV297" s="47"/>
      <c r="CW297" s="47"/>
      <c r="CX297" s="47"/>
      <c r="CY297" s="47"/>
      <c r="DD297" s="47"/>
      <c r="DE297" s="47"/>
      <c r="DF297" s="47"/>
      <c r="DG297" s="47"/>
      <c r="DH297" s="47"/>
      <c r="DL297" s="47"/>
      <c r="DM297" s="47"/>
      <c r="DN297" s="47"/>
      <c r="DO297" s="47"/>
      <c r="DP297" s="47"/>
      <c r="DQ297" s="47"/>
    </row>
    <row r="298">
      <c r="CU298" s="47"/>
      <c r="CV298" s="47"/>
      <c r="CW298" s="47"/>
      <c r="CX298" s="47"/>
      <c r="CY298" s="47"/>
      <c r="DD298" s="47"/>
      <c r="DE298" s="47"/>
      <c r="DF298" s="47"/>
      <c r="DG298" s="47"/>
      <c r="DH298" s="47"/>
      <c r="DL298" s="47"/>
      <c r="DM298" s="47"/>
      <c r="DN298" s="47"/>
      <c r="DO298" s="47"/>
      <c r="DP298" s="47"/>
      <c r="DQ298" s="47"/>
    </row>
    <row r="299">
      <c r="CU299" s="47"/>
      <c r="CV299" s="47"/>
      <c r="CW299" s="47"/>
      <c r="CX299" s="47"/>
      <c r="CY299" s="47"/>
      <c r="DD299" s="47"/>
      <c r="DE299" s="47"/>
      <c r="DF299" s="47"/>
      <c r="DG299" s="47"/>
      <c r="DH299" s="47"/>
      <c r="DL299" s="47"/>
      <c r="DM299" s="47"/>
      <c r="DN299" s="47"/>
      <c r="DO299" s="47"/>
      <c r="DP299" s="47"/>
      <c r="DQ299" s="47"/>
    </row>
    <row r="300">
      <c r="CU300" s="47"/>
      <c r="CV300" s="47"/>
      <c r="CW300" s="47"/>
      <c r="CX300" s="47"/>
      <c r="CY300" s="47"/>
      <c r="DD300" s="47"/>
      <c r="DE300" s="47"/>
      <c r="DF300" s="47"/>
      <c r="DG300" s="47"/>
      <c r="DH300" s="47"/>
      <c r="DL300" s="47"/>
      <c r="DM300" s="47"/>
      <c r="DN300" s="47"/>
      <c r="DO300" s="47"/>
      <c r="DP300" s="47"/>
      <c r="DQ300" s="47"/>
    </row>
    <row r="301">
      <c r="CU301" s="47"/>
      <c r="CV301" s="47"/>
      <c r="CW301" s="47"/>
      <c r="CX301" s="47"/>
      <c r="CY301" s="47"/>
      <c r="DD301" s="47"/>
      <c r="DE301" s="47"/>
      <c r="DF301" s="47"/>
      <c r="DG301" s="47"/>
      <c r="DH301" s="47"/>
      <c r="DL301" s="47"/>
      <c r="DM301" s="47"/>
      <c r="DN301" s="47"/>
      <c r="DO301" s="47"/>
      <c r="DP301" s="47"/>
      <c r="DQ301" s="47"/>
    </row>
    <row r="302">
      <c r="CU302" s="47"/>
      <c r="CV302" s="47"/>
      <c r="CW302" s="47"/>
      <c r="CX302" s="47"/>
      <c r="CY302" s="47"/>
      <c r="DD302" s="47"/>
      <c r="DE302" s="47"/>
      <c r="DF302" s="47"/>
      <c r="DG302" s="47"/>
      <c r="DH302" s="47"/>
      <c r="DL302" s="47"/>
      <c r="DM302" s="47"/>
      <c r="DN302" s="47"/>
      <c r="DO302" s="47"/>
      <c r="DP302" s="47"/>
      <c r="DQ302" s="47"/>
    </row>
    <row r="303">
      <c r="CU303" s="47"/>
      <c r="CV303" s="47"/>
      <c r="CW303" s="47"/>
      <c r="CX303" s="47"/>
      <c r="CY303" s="47"/>
      <c r="DD303" s="47"/>
      <c r="DE303" s="47"/>
      <c r="DF303" s="47"/>
      <c r="DG303" s="47"/>
      <c r="DH303" s="47"/>
      <c r="DL303" s="47"/>
      <c r="DM303" s="47"/>
      <c r="DN303" s="47"/>
      <c r="DO303" s="47"/>
      <c r="DP303" s="47"/>
      <c r="DQ303" s="47"/>
    </row>
    <row r="304">
      <c r="CU304" s="47"/>
      <c r="CV304" s="47"/>
      <c r="CW304" s="47"/>
      <c r="CX304" s="47"/>
      <c r="CY304" s="47"/>
      <c r="DD304" s="47"/>
      <c r="DE304" s="47"/>
      <c r="DF304" s="47"/>
      <c r="DG304" s="47"/>
      <c r="DH304" s="47"/>
      <c r="DL304" s="47"/>
      <c r="DM304" s="47"/>
      <c r="DN304" s="47"/>
      <c r="DO304" s="47"/>
      <c r="DP304" s="47"/>
      <c r="DQ304" s="47"/>
    </row>
    <row r="305">
      <c r="CU305" s="47"/>
      <c r="CV305" s="47"/>
      <c r="CW305" s="47"/>
      <c r="CX305" s="47"/>
      <c r="CY305" s="47"/>
      <c r="DD305" s="47"/>
      <c r="DE305" s="47"/>
      <c r="DF305" s="47"/>
      <c r="DG305" s="47"/>
      <c r="DH305" s="47"/>
      <c r="DL305" s="47"/>
      <c r="DM305" s="47"/>
      <c r="DN305" s="47"/>
      <c r="DO305" s="47"/>
      <c r="DP305" s="47"/>
      <c r="DQ305" s="47"/>
    </row>
    <row r="306">
      <c r="CU306" s="47"/>
      <c r="CV306" s="47"/>
      <c r="CW306" s="47"/>
      <c r="CX306" s="47"/>
      <c r="CY306" s="47"/>
      <c r="DD306" s="47"/>
      <c r="DE306" s="47"/>
      <c r="DF306" s="47"/>
      <c r="DG306" s="47"/>
      <c r="DH306" s="47"/>
      <c r="DL306" s="47"/>
      <c r="DM306" s="47"/>
      <c r="DN306" s="47"/>
      <c r="DO306" s="47"/>
      <c r="DP306" s="47"/>
      <c r="DQ306" s="47"/>
    </row>
    <row r="307">
      <c r="CU307" s="47"/>
      <c r="CV307" s="47"/>
      <c r="CW307" s="47"/>
      <c r="CX307" s="47"/>
      <c r="CY307" s="47"/>
      <c r="DD307" s="47"/>
      <c r="DE307" s="47"/>
      <c r="DF307" s="47"/>
      <c r="DG307" s="47"/>
      <c r="DH307" s="47"/>
      <c r="DL307" s="47"/>
      <c r="DM307" s="47"/>
      <c r="DN307" s="47"/>
      <c r="DO307" s="47"/>
      <c r="DP307" s="47"/>
      <c r="DQ307" s="47"/>
    </row>
    <row r="308">
      <c r="CU308" s="47"/>
      <c r="CV308" s="47"/>
      <c r="CW308" s="47"/>
      <c r="CX308" s="47"/>
      <c r="CY308" s="47"/>
      <c r="DD308" s="47"/>
      <c r="DE308" s="47"/>
      <c r="DF308" s="47"/>
      <c r="DG308" s="47"/>
      <c r="DH308" s="47"/>
      <c r="DL308" s="47"/>
      <c r="DM308" s="47"/>
      <c r="DN308" s="47"/>
      <c r="DO308" s="47"/>
      <c r="DP308" s="47"/>
      <c r="DQ308" s="47"/>
    </row>
    <row r="309">
      <c r="CU309" s="47"/>
      <c r="CV309" s="47"/>
      <c r="CW309" s="47"/>
      <c r="CX309" s="47"/>
      <c r="CY309" s="47"/>
      <c r="DD309" s="47"/>
      <c r="DE309" s="47"/>
      <c r="DF309" s="47"/>
      <c r="DG309" s="47"/>
      <c r="DH309" s="47"/>
      <c r="DL309" s="47"/>
      <c r="DM309" s="47"/>
      <c r="DN309" s="47"/>
      <c r="DO309" s="47"/>
      <c r="DP309" s="47"/>
      <c r="DQ309" s="47"/>
    </row>
    <row r="310">
      <c r="CU310" s="47"/>
      <c r="CV310" s="47"/>
      <c r="CW310" s="47"/>
      <c r="CX310" s="47"/>
      <c r="CY310" s="47"/>
      <c r="DD310" s="47"/>
      <c r="DE310" s="47"/>
      <c r="DF310" s="47"/>
      <c r="DG310" s="47"/>
      <c r="DH310" s="47"/>
      <c r="DL310" s="47"/>
      <c r="DM310" s="47"/>
      <c r="DN310" s="47"/>
      <c r="DO310" s="47"/>
      <c r="DP310" s="47"/>
      <c r="DQ310" s="47"/>
    </row>
    <row r="311">
      <c r="CU311" s="47"/>
      <c r="CV311" s="47"/>
      <c r="CW311" s="47"/>
      <c r="CX311" s="47"/>
      <c r="CY311" s="47"/>
      <c r="DD311" s="47"/>
      <c r="DE311" s="47"/>
      <c r="DF311" s="47"/>
      <c r="DG311" s="47"/>
      <c r="DH311" s="47"/>
      <c r="DL311" s="47"/>
      <c r="DM311" s="47"/>
      <c r="DN311" s="47"/>
      <c r="DO311" s="47"/>
      <c r="DP311" s="47"/>
      <c r="DQ311" s="47"/>
    </row>
    <row r="312">
      <c r="CU312" s="47"/>
      <c r="CV312" s="47"/>
      <c r="CW312" s="47"/>
      <c r="CX312" s="47"/>
      <c r="CY312" s="47"/>
      <c r="DD312" s="47"/>
      <c r="DE312" s="47"/>
      <c r="DF312" s="47"/>
      <c r="DG312" s="47"/>
      <c r="DH312" s="47"/>
      <c r="DL312" s="47"/>
      <c r="DM312" s="47"/>
      <c r="DN312" s="47"/>
      <c r="DO312" s="47"/>
      <c r="DP312" s="47"/>
      <c r="DQ312" s="47"/>
    </row>
    <row r="313">
      <c r="CU313" s="47"/>
      <c r="CV313" s="47"/>
      <c r="CW313" s="47"/>
      <c r="CX313" s="47"/>
      <c r="CY313" s="47"/>
      <c r="DD313" s="47"/>
      <c r="DE313" s="47"/>
      <c r="DF313" s="47"/>
      <c r="DG313" s="47"/>
      <c r="DH313" s="47"/>
      <c r="DL313" s="47"/>
      <c r="DM313" s="47"/>
      <c r="DN313" s="47"/>
      <c r="DO313" s="47"/>
      <c r="DP313" s="47"/>
      <c r="DQ313" s="47"/>
    </row>
    <row r="314">
      <c r="CU314" s="47"/>
      <c r="CV314" s="47"/>
      <c r="CW314" s="47"/>
      <c r="CX314" s="47"/>
      <c r="CY314" s="47"/>
      <c r="DD314" s="47"/>
      <c r="DE314" s="47"/>
      <c r="DF314" s="47"/>
      <c r="DG314" s="47"/>
      <c r="DH314" s="47"/>
      <c r="DL314" s="47"/>
      <c r="DM314" s="47"/>
      <c r="DN314" s="47"/>
      <c r="DO314" s="47"/>
      <c r="DP314" s="47"/>
      <c r="DQ314" s="47"/>
    </row>
    <row r="315">
      <c r="CU315" s="47"/>
      <c r="CV315" s="47"/>
      <c r="CW315" s="47"/>
      <c r="CX315" s="47"/>
      <c r="CY315" s="47"/>
      <c r="DD315" s="47"/>
      <c r="DE315" s="47"/>
      <c r="DF315" s="47"/>
      <c r="DG315" s="47"/>
      <c r="DH315" s="47"/>
      <c r="DL315" s="47"/>
      <c r="DM315" s="47"/>
      <c r="DN315" s="47"/>
      <c r="DO315" s="47"/>
      <c r="DP315" s="47"/>
      <c r="DQ315" s="47"/>
    </row>
    <row r="316">
      <c r="CU316" s="47"/>
      <c r="CV316" s="47"/>
      <c r="CW316" s="47"/>
      <c r="CX316" s="47"/>
      <c r="CY316" s="47"/>
      <c r="DD316" s="47"/>
      <c r="DE316" s="47"/>
      <c r="DF316" s="47"/>
      <c r="DG316" s="47"/>
      <c r="DH316" s="47"/>
      <c r="DL316" s="47"/>
      <c r="DM316" s="47"/>
      <c r="DN316" s="47"/>
      <c r="DO316" s="47"/>
      <c r="DP316" s="47"/>
      <c r="DQ316" s="47"/>
    </row>
    <row r="317">
      <c r="CU317" s="47"/>
      <c r="CV317" s="47"/>
      <c r="CW317" s="47"/>
      <c r="CX317" s="47"/>
      <c r="CY317" s="47"/>
      <c r="DD317" s="47"/>
      <c r="DE317" s="47"/>
      <c r="DF317" s="47"/>
      <c r="DG317" s="47"/>
      <c r="DH317" s="47"/>
      <c r="DL317" s="47"/>
      <c r="DM317" s="47"/>
      <c r="DN317" s="47"/>
      <c r="DO317" s="47"/>
      <c r="DP317" s="47"/>
      <c r="DQ317" s="47"/>
    </row>
    <row r="318">
      <c r="CU318" s="47"/>
      <c r="CV318" s="47"/>
      <c r="CW318" s="47"/>
      <c r="CX318" s="47"/>
      <c r="CY318" s="47"/>
      <c r="DD318" s="47"/>
      <c r="DE318" s="47"/>
      <c r="DF318" s="47"/>
      <c r="DG318" s="47"/>
      <c r="DH318" s="47"/>
      <c r="DL318" s="47"/>
      <c r="DM318" s="47"/>
      <c r="DN318" s="47"/>
      <c r="DO318" s="47"/>
      <c r="DP318" s="47"/>
      <c r="DQ318" s="47"/>
    </row>
    <row r="319">
      <c r="CU319" s="47"/>
      <c r="CV319" s="47"/>
      <c r="CW319" s="47"/>
      <c r="CX319" s="47"/>
      <c r="CY319" s="47"/>
      <c r="DD319" s="47"/>
      <c r="DE319" s="47"/>
      <c r="DF319" s="47"/>
      <c r="DG319" s="47"/>
      <c r="DH319" s="47"/>
      <c r="DL319" s="47"/>
      <c r="DM319" s="47"/>
      <c r="DN319" s="47"/>
      <c r="DO319" s="47"/>
      <c r="DP319" s="47"/>
      <c r="DQ319" s="47"/>
    </row>
    <row r="320">
      <c r="CU320" s="47"/>
      <c r="CV320" s="47"/>
      <c r="CW320" s="47"/>
      <c r="CX320" s="47"/>
      <c r="CY320" s="47"/>
      <c r="DD320" s="47"/>
      <c r="DE320" s="47"/>
      <c r="DF320" s="47"/>
      <c r="DG320" s="47"/>
      <c r="DH320" s="47"/>
      <c r="DL320" s="47"/>
      <c r="DM320" s="47"/>
      <c r="DN320" s="47"/>
      <c r="DO320" s="47"/>
      <c r="DP320" s="47"/>
      <c r="DQ320" s="47"/>
    </row>
    <row r="321">
      <c r="CU321" s="47"/>
      <c r="CV321" s="47"/>
      <c r="CW321" s="47"/>
      <c r="CX321" s="47"/>
      <c r="CY321" s="47"/>
      <c r="DD321" s="47"/>
      <c r="DE321" s="47"/>
      <c r="DF321" s="47"/>
      <c r="DG321" s="47"/>
      <c r="DH321" s="47"/>
      <c r="DL321" s="47"/>
      <c r="DM321" s="47"/>
      <c r="DN321" s="47"/>
      <c r="DO321" s="47"/>
      <c r="DP321" s="47"/>
      <c r="DQ321" s="47"/>
    </row>
    <row r="322">
      <c r="CU322" s="47"/>
      <c r="CV322" s="47"/>
      <c r="CW322" s="47"/>
      <c r="CX322" s="47"/>
      <c r="CY322" s="47"/>
      <c r="DD322" s="47"/>
      <c r="DE322" s="47"/>
      <c r="DF322" s="47"/>
      <c r="DG322" s="47"/>
      <c r="DH322" s="47"/>
      <c r="DL322" s="47"/>
      <c r="DM322" s="47"/>
      <c r="DN322" s="47"/>
      <c r="DO322" s="47"/>
      <c r="DP322" s="47"/>
      <c r="DQ322" s="47"/>
    </row>
    <row r="323">
      <c r="CU323" s="47"/>
      <c r="CV323" s="47"/>
      <c r="CW323" s="47"/>
      <c r="CX323" s="47"/>
      <c r="CY323" s="47"/>
      <c r="DD323" s="47"/>
      <c r="DE323" s="47"/>
      <c r="DF323" s="47"/>
      <c r="DG323" s="47"/>
      <c r="DH323" s="47"/>
      <c r="DL323" s="47"/>
      <c r="DM323" s="47"/>
      <c r="DN323" s="47"/>
      <c r="DO323" s="47"/>
      <c r="DP323" s="47"/>
      <c r="DQ323" s="47"/>
    </row>
    <row r="324">
      <c r="CU324" s="47"/>
      <c r="CV324" s="47"/>
      <c r="CW324" s="47"/>
      <c r="CX324" s="47"/>
      <c r="CY324" s="47"/>
      <c r="DD324" s="47"/>
      <c r="DE324" s="47"/>
      <c r="DF324" s="47"/>
      <c r="DG324" s="47"/>
      <c r="DH324" s="47"/>
      <c r="DL324" s="47"/>
      <c r="DM324" s="47"/>
      <c r="DN324" s="47"/>
      <c r="DO324" s="47"/>
      <c r="DP324" s="47"/>
      <c r="DQ324" s="47"/>
    </row>
    <row r="325">
      <c r="CU325" s="47"/>
      <c r="CV325" s="47"/>
      <c r="CW325" s="47"/>
      <c r="CX325" s="47"/>
      <c r="CY325" s="47"/>
      <c r="DD325" s="47"/>
      <c r="DE325" s="47"/>
      <c r="DF325" s="47"/>
      <c r="DG325" s="47"/>
      <c r="DH325" s="47"/>
      <c r="DL325" s="47"/>
      <c r="DM325" s="47"/>
      <c r="DN325" s="47"/>
      <c r="DO325" s="47"/>
      <c r="DP325" s="47"/>
      <c r="DQ325" s="47"/>
    </row>
    <row r="326">
      <c r="CU326" s="47"/>
      <c r="CV326" s="47"/>
      <c r="CW326" s="47"/>
      <c r="CX326" s="47"/>
      <c r="CY326" s="47"/>
      <c r="DD326" s="47"/>
      <c r="DE326" s="47"/>
      <c r="DF326" s="47"/>
      <c r="DG326" s="47"/>
      <c r="DH326" s="47"/>
      <c r="DL326" s="47"/>
      <c r="DM326" s="47"/>
      <c r="DN326" s="47"/>
      <c r="DO326" s="47"/>
      <c r="DP326" s="47"/>
      <c r="DQ326" s="47"/>
    </row>
    <row r="327">
      <c r="CU327" s="47"/>
      <c r="CV327" s="47"/>
      <c r="CW327" s="47"/>
      <c r="CX327" s="47"/>
      <c r="CY327" s="47"/>
      <c r="DD327" s="47"/>
      <c r="DE327" s="47"/>
      <c r="DF327" s="47"/>
      <c r="DG327" s="47"/>
      <c r="DH327" s="47"/>
      <c r="DL327" s="47"/>
      <c r="DM327" s="47"/>
      <c r="DN327" s="47"/>
      <c r="DO327" s="47"/>
      <c r="DP327" s="47"/>
      <c r="DQ327" s="47"/>
    </row>
    <row r="328">
      <c r="CU328" s="47"/>
      <c r="CV328" s="47"/>
      <c r="CW328" s="47"/>
      <c r="CX328" s="47"/>
      <c r="CY328" s="47"/>
      <c r="DD328" s="47"/>
      <c r="DE328" s="47"/>
      <c r="DF328" s="47"/>
      <c r="DG328" s="47"/>
      <c r="DH328" s="47"/>
      <c r="DL328" s="47"/>
      <c r="DM328" s="47"/>
      <c r="DN328" s="47"/>
      <c r="DO328" s="47"/>
      <c r="DP328" s="47"/>
      <c r="DQ328" s="47"/>
    </row>
    <row r="329">
      <c r="CU329" s="47"/>
      <c r="CV329" s="47"/>
      <c r="CW329" s="47"/>
      <c r="CX329" s="47"/>
      <c r="CY329" s="47"/>
      <c r="DD329" s="47"/>
      <c r="DE329" s="47"/>
      <c r="DF329" s="47"/>
      <c r="DG329" s="47"/>
      <c r="DH329" s="47"/>
      <c r="DL329" s="47"/>
      <c r="DM329" s="47"/>
      <c r="DN329" s="47"/>
      <c r="DO329" s="47"/>
      <c r="DP329" s="47"/>
      <c r="DQ329" s="47"/>
    </row>
    <row r="330">
      <c r="CU330" s="47"/>
      <c r="CV330" s="47"/>
      <c r="CW330" s="47"/>
      <c r="CX330" s="47"/>
      <c r="CY330" s="47"/>
      <c r="DD330" s="47"/>
      <c r="DE330" s="47"/>
      <c r="DF330" s="47"/>
      <c r="DG330" s="47"/>
      <c r="DH330" s="47"/>
      <c r="DL330" s="47"/>
      <c r="DM330" s="47"/>
      <c r="DN330" s="47"/>
      <c r="DO330" s="47"/>
      <c r="DP330" s="47"/>
      <c r="DQ330" s="47"/>
    </row>
    <row r="331">
      <c r="CU331" s="47"/>
      <c r="CV331" s="47"/>
      <c r="CW331" s="47"/>
      <c r="CX331" s="47"/>
      <c r="CY331" s="47"/>
      <c r="DD331" s="47"/>
      <c r="DE331" s="47"/>
      <c r="DF331" s="47"/>
      <c r="DG331" s="47"/>
      <c r="DH331" s="47"/>
      <c r="DL331" s="47"/>
      <c r="DM331" s="47"/>
      <c r="DN331" s="47"/>
      <c r="DO331" s="47"/>
      <c r="DP331" s="47"/>
      <c r="DQ331" s="47"/>
    </row>
    <row r="332">
      <c r="CU332" s="47"/>
      <c r="CV332" s="47"/>
      <c r="CW332" s="47"/>
      <c r="CX332" s="47"/>
      <c r="CY332" s="47"/>
      <c r="DD332" s="47"/>
      <c r="DE332" s="47"/>
      <c r="DF332" s="47"/>
      <c r="DG332" s="47"/>
      <c r="DH332" s="47"/>
      <c r="DL332" s="47"/>
      <c r="DM332" s="47"/>
      <c r="DN332" s="47"/>
      <c r="DO332" s="47"/>
      <c r="DP332" s="47"/>
      <c r="DQ332" s="47"/>
    </row>
    <row r="333">
      <c r="CU333" s="47"/>
      <c r="CV333" s="47"/>
      <c r="CW333" s="47"/>
      <c r="CX333" s="47"/>
      <c r="CY333" s="47"/>
      <c r="DD333" s="47"/>
      <c r="DE333" s="47"/>
      <c r="DF333" s="47"/>
      <c r="DG333" s="47"/>
      <c r="DH333" s="47"/>
      <c r="DL333" s="47"/>
      <c r="DM333" s="47"/>
      <c r="DN333" s="47"/>
      <c r="DO333" s="47"/>
      <c r="DP333" s="47"/>
      <c r="DQ333" s="47"/>
    </row>
    <row r="334">
      <c r="CU334" s="47"/>
      <c r="CV334" s="47"/>
      <c r="CW334" s="47"/>
      <c r="CX334" s="47"/>
      <c r="CY334" s="47"/>
      <c r="DD334" s="47"/>
      <c r="DE334" s="47"/>
      <c r="DF334" s="47"/>
      <c r="DG334" s="47"/>
      <c r="DH334" s="47"/>
      <c r="DL334" s="47"/>
      <c r="DM334" s="47"/>
      <c r="DN334" s="47"/>
      <c r="DO334" s="47"/>
      <c r="DP334" s="47"/>
      <c r="DQ334" s="47"/>
    </row>
    <row r="335">
      <c r="CU335" s="47"/>
      <c r="CV335" s="47"/>
      <c r="CW335" s="47"/>
      <c r="CX335" s="47"/>
      <c r="CY335" s="47"/>
      <c r="DD335" s="47"/>
      <c r="DE335" s="47"/>
      <c r="DF335" s="47"/>
      <c r="DG335" s="47"/>
      <c r="DH335" s="47"/>
      <c r="DL335" s="47"/>
      <c r="DM335" s="47"/>
      <c r="DN335" s="47"/>
      <c r="DO335" s="47"/>
      <c r="DP335" s="47"/>
      <c r="DQ335" s="47"/>
    </row>
    <row r="336">
      <c r="CU336" s="47"/>
      <c r="CV336" s="47"/>
      <c r="CW336" s="47"/>
      <c r="CX336" s="47"/>
      <c r="CY336" s="47"/>
      <c r="DD336" s="47"/>
      <c r="DE336" s="47"/>
      <c r="DF336" s="47"/>
      <c r="DG336" s="47"/>
      <c r="DH336" s="47"/>
      <c r="DL336" s="47"/>
      <c r="DM336" s="47"/>
      <c r="DN336" s="47"/>
      <c r="DO336" s="47"/>
      <c r="DP336" s="47"/>
      <c r="DQ336" s="47"/>
    </row>
    <row r="337">
      <c r="CU337" s="47"/>
      <c r="CV337" s="47"/>
      <c r="CW337" s="47"/>
      <c r="CX337" s="47"/>
      <c r="CY337" s="47"/>
      <c r="DD337" s="47"/>
      <c r="DE337" s="47"/>
      <c r="DF337" s="47"/>
      <c r="DG337" s="47"/>
      <c r="DH337" s="47"/>
      <c r="DL337" s="47"/>
      <c r="DM337" s="47"/>
      <c r="DN337" s="47"/>
      <c r="DO337" s="47"/>
      <c r="DP337" s="47"/>
      <c r="DQ337" s="47"/>
    </row>
    <row r="338">
      <c r="CU338" s="47"/>
      <c r="CV338" s="47"/>
      <c r="CW338" s="47"/>
      <c r="CX338" s="47"/>
      <c r="CY338" s="47"/>
      <c r="DD338" s="47"/>
      <c r="DE338" s="47"/>
      <c r="DF338" s="47"/>
      <c r="DG338" s="47"/>
      <c r="DH338" s="47"/>
      <c r="DL338" s="47"/>
      <c r="DM338" s="47"/>
      <c r="DN338" s="47"/>
      <c r="DO338" s="47"/>
      <c r="DP338" s="47"/>
      <c r="DQ338" s="47"/>
    </row>
    <row r="339">
      <c r="CU339" s="47"/>
      <c r="CV339" s="47"/>
      <c r="CW339" s="47"/>
      <c r="CX339" s="47"/>
      <c r="CY339" s="47"/>
      <c r="DD339" s="47"/>
      <c r="DE339" s="47"/>
      <c r="DF339" s="47"/>
      <c r="DG339" s="47"/>
      <c r="DH339" s="47"/>
      <c r="DL339" s="47"/>
      <c r="DM339" s="47"/>
      <c r="DN339" s="47"/>
      <c r="DO339" s="47"/>
      <c r="DP339" s="47"/>
      <c r="DQ339" s="47"/>
    </row>
    <row r="340">
      <c r="CU340" s="47"/>
      <c r="CV340" s="47"/>
      <c r="CW340" s="47"/>
      <c r="CX340" s="47"/>
      <c r="CY340" s="47"/>
      <c r="DD340" s="47"/>
      <c r="DE340" s="47"/>
      <c r="DF340" s="47"/>
      <c r="DG340" s="47"/>
      <c r="DH340" s="47"/>
      <c r="DL340" s="47"/>
      <c r="DM340" s="47"/>
      <c r="DN340" s="47"/>
      <c r="DO340" s="47"/>
      <c r="DP340" s="47"/>
      <c r="DQ340" s="47"/>
    </row>
    <row r="341">
      <c r="CU341" s="47"/>
      <c r="CV341" s="47"/>
      <c r="CW341" s="47"/>
      <c r="CX341" s="47"/>
      <c r="CY341" s="47"/>
      <c r="DD341" s="47"/>
      <c r="DE341" s="47"/>
      <c r="DF341" s="47"/>
      <c r="DG341" s="47"/>
      <c r="DH341" s="47"/>
      <c r="DL341" s="47"/>
      <c r="DM341" s="47"/>
      <c r="DN341" s="47"/>
      <c r="DO341" s="47"/>
      <c r="DP341" s="47"/>
      <c r="DQ341" s="47"/>
    </row>
    <row r="342">
      <c r="CU342" s="47"/>
      <c r="CV342" s="47"/>
      <c r="CW342" s="47"/>
      <c r="CX342" s="47"/>
      <c r="CY342" s="47"/>
      <c r="DD342" s="47"/>
      <c r="DE342" s="47"/>
      <c r="DF342" s="47"/>
      <c r="DG342" s="47"/>
      <c r="DH342" s="47"/>
      <c r="DL342" s="47"/>
      <c r="DM342" s="47"/>
      <c r="DN342" s="47"/>
      <c r="DO342" s="47"/>
      <c r="DP342" s="47"/>
      <c r="DQ342" s="47"/>
    </row>
    <row r="343">
      <c r="CU343" s="47"/>
      <c r="CV343" s="47"/>
      <c r="CW343" s="47"/>
      <c r="CX343" s="47"/>
      <c r="CY343" s="47"/>
      <c r="DD343" s="47"/>
      <c r="DE343" s="47"/>
      <c r="DF343" s="47"/>
      <c r="DG343" s="47"/>
      <c r="DH343" s="47"/>
      <c r="DL343" s="47"/>
      <c r="DM343" s="47"/>
      <c r="DN343" s="47"/>
      <c r="DO343" s="47"/>
      <c r="DP343" s="47"/>
      <c r="DQ343" s="47"/>
    </row>
    <row r="344">
      <c r="CU344" s="47"/>
      <c r="CV344" s="47"/>
      <c r="CW344" s="47"/>
      <c r="CX344" s="47"/>
      <c r="CY344" s="47"/>
      <c r="DD344" s="47"/>
      <c r="DE344" s="47"/>
      <c r="DF344" s="47"/>
      <c r="DG344" s="47"/>
      <c r="DH344" s="47"/>
      <c r="DL344" s="47"/>
      <c r="DM344" s="47"/>
      <c r="DN344" s="47"/>
      <c r="DO344" s="47"/>
      <c r="DP344" s="47"/>
      <c r="DQ344" s="47"/>
    </row>
    <row r="345">
      <c r="CU345" s="47"/>
      <c r="CV345" s="47"/>
      <c r="CW345" s="47"/>
      <c r="CX345" s="47"/>
      <c r="CY345" s="47"/>
      <c r="DD345" s="47"/>
      <c r="DE345" s="47"/>
      <c r="DF345" s="47"/>
      <c r="DG345" s="47"/>
      <c r="DH345" s="47"/>
      <c r="DL345" s="47"/>
      <c r="DM345" s="47"/>
      <c r="DN345" s="47"/>
      <c r="DO345" s="47"/>
      <c r="DP345" s="47"/>
      <c r="DQ345" s="47"/>
    </row>
    <row r="346">
      <c r="CU346" s="47"/>
      <c r="CV346" s="47"/>
      <c r="CW346" s="47"/>
      <c r="CX346" s="47"/>
      <c r="CY346" s="47"/>
      <c r="DD346" s="47"/>
      <c r="DE346" s="47"/>
      <c r="DF346" s="47"/>
      <c r="DG346" s="47"/>
      <c r="DH346" s="47"/>
      <c r="DL346" s="47"/>
      <c r="DM346" s="47"/>
      <c r="DN346" s="47"/>
      <c r="DO346" s="47"/>
      <c r="DP346" s="47"/>
      <c r="DQ346" s="47"/>
    </row>
    <row r="347">
      <c r="CU347" s="47"/>
      <c r="CV347" s="47"/>
      <c r="CW347" s="47"/>
      <c r="CX347" s="47"/>
      <c r="CY347" s="47"/>
      <c r="DD347" s="47"/>
      <c r="DE347" s="47"/>
      <c r="DF347" s="47"/>
      <c r="DG347" s="47"/>
      <c r="DH347" s="47"/>
      <c r="DL347" s="47"/>
      <c r="DM347" s="47"/>
      <c r="DN347" s="47"/>
      <c r="DO347" s="47"/>
      <c r="DP347" s="47"/>
      <c r="DQ347" s="47"/>
    </row>
    <row r="348">
      <c r="CU348" s="47"/>
      <c r="CV348" s="47"/>
      <c r="CW348" s="47"/>
      <c r="CX348" s="47"/>
      <c r="CY348" s="47"/>
      <c r="DD348" s="47"/>
      <c r="DE348" s="47"/>
      <c r="DF348" s="47"/>
      <c r="DG348" s="47"/>
      <c r="DH348" s="47"/>
      <c r="DL348" s="47"/>
      <c r="DM348" s="47"/>
      <c r="DN348" s="47"/>
      <c r="DO348" s="47"/>
      <c r="DP348" s="47"/>
      <c r="DQ348" s="47"/>
    </row>
    <row r="349">
      <c r="CU349" s="47"/>
      <c r="CV349" s="47"/>
      <c r="CW349" s="47"/>
      <c r="CX349" s="47"/>
      <c r="CY349" s="47"/>
      <c r="DD349" s="47"/>
      <c r="DE349" s="47"/>
      <c r="DF349" s="47"/>
      <c r="DG349" s="47"/>
      <c r="DH349" s="47"/>
      <c r="DL349" s="47"/>
      <c r="DM349" s="47"/>
      <c r="DN349" s="47"/>
      <c r="DO349" s="47"/>
      <c r="DP349" s="47"/>
      <c r="DQ349" s="47"/>
    </row>
    <row r="350">
      <c r="CU350" s="47"/>
      <c r="CV350" s="47"/>
      <c r="CW350" s="47"/>
      <c r="CX350" s="47"/>
      <c r="CY350" s="47"/>
      <c r="DD350" s="47"/>
      <c r="DE350" s="47"/>
      <c r="DF350" s="47"/>
      <c r="DG350" s="47"/>
      <c r="DH350" s="47"/>
      <c r="DL350" s="47"/>
      <c r="DM350" s="47"/>
      <c r="DN350" s="47"/>
      <c r="DO350" s="47"/>
      <c r="DP350" s="47"/>
      <c r="DQ350" s="47"/>
    </row>
    <row r="351">
      <c r="CU351" s="47"/>
      <c r="CV351" s="47"/>
      <c r="CW351" s="47"/>
      <c r="CX351" s="47"/>
      <c r="CY351" s="47"/>
      <c r="DD351" s="47"/>
      <c r="DE351" s="47"/>
      <c r="DF351" s="47"/>
      <c r="DG351" s="47"/>
      <c r="DH351" s="47"/>
      <c r="DL351" s="47"/>
      <c r="DM351" s="47"/>
      <c r="DN351" s="47"/>
      <c r="DO351" s="47"/>
      <c r="DP351" s="47"/>
      <c r="DQ351" s="47"/>
    </row>
    <row r="352">
      <c r="CU352" s="47"/>
      <c r="CV352" s="47"/>
      <c r="CW352" s="47"/>
      <c r="CX352" s="47"/>
      <c r="CY352" s="47"/>
      <c r="DD352" s="47"/>
      <c r="DE352" s="47"/>
      <c r="DF352" s="47"/>
      <c r="DG352" s="47"/>
      <c r="DH352" s="47"/>
      <c r="DL352" s="47"/>
      <c r="DM352" s="47"/>
      <c r="DN352" s="47"/>
      <c r="DO352" s="47"/>
      <c r="DP352" s="47"/>
      <c r="DQ352" s="47"/>
    </row>
    <row r="353">
      <c r="CU353" s="47"/>
      <c r="CV353" s="47"/>
      <c r="CW353" s="47"/>
      <c r="CX353" s="47"/>
      <c r="CY353" s="47"/>
      <c r="DD353" s="47"/>
      <c r="DE353" s="47"/>
      <c r="DF353" s="47"/>
      <c r="DG353" s="47"/>
      <c r="DH353" s="47"/>
      <c r="DL353" s="47"/>
      <c r="DM353" s="47"/>
      <c r="DN353" s="47"/>
      <c r="DO353" s="47"/>
      <c r="DP353" s="47"/>
      <c r="DQ353" s="47"/>
    </row>
    <row r="354">
      <c r="CU354" s="47"/>
      <c r="CV354" s="47"/>
      <c r="CW354" s="47"/>
      <c r="CX354" s="47"/>
      <c r="CY354" s="47"/>
      <c r="DD354" s="47"/>
      <c r="DE354" s="47"/>
      <c r="DF354" s="47"/>
      <c r="DG354" s="47"/>
      <c r="DH354" s="47"/>
      <c r="DL354" s="47"/>
      <c r="DM354" s="47"/>
      <c r="DN354" s="47"/>
      <c r="DO354" s="47"/>
      <c r="DP354" s="47"/>
      <c r="DQ354" s="47"/>
    </row>
    <row r="355">
      <c r="CU355" s="47"/>
      <c r="CV355" s="47"/>
      <c r="CW355" s="47"/>
      <c r="CX355" s="47"/>
      <c r="CY355" s="47"/>
      <c r="DD355" s="47"/>
      <c r="DE355" s="47"/>
      <c r="DF355" s="47"/>
      <c r="DG355" s="47"/>
      <c r="DH355" s="47"/>
      <c r="DL355" s="47"/>
      <c r="DM355" s="47"/>
      <c r="DN355" s="47"/>
      <c r="DO355" s="47"/>
      <c r="DP355" s="47"/>
      <c r="DQ355" s="47"/>
    </row>
    <row r="356">
      <c r="CU356" s="47"/>
      <c r="CV356" s="47"/>
      <c r="CW356" s="47"/>
      <c r="CX356" s="47"/>
      <c r="CY356" s="47"/>
      <c r="DD356" s="47"/>
      <c r="DE356" s="47"/>
      <c r="DF356" s="47"/>
      <c r="DG356" s="47"/>
      <c r="DH356" s="47"/>
      <c r="DL356" s="47"/>
      <c r="DM356" s="47"/>
      <c r="DN356" s="47"/>
      <c r="DO356" s="47"/>
      <c r="DP356" s="47"/>
      <c r="DQ356" s="47"/>
    </row>
    <row r="357">
      <c r="CU357" s="47"/>
      <c r="CV357" s="47"/>
      <c r="CW357" s="47"/>
      <c r="CX357" s="47"/>
      <c r="CY357" s="47"/>
      <c r="DD357" s="47"/>
      <c r="DE357" s="47"/>
      <c r="DF357" s="47"/>
      <c r="DG357" s="47"/>
      <c r="DH357" s="47"/>
      <c r="DL357" s="47"/>
      <c r="DM357" s="47"/>
      <c r="DN357" s="47"/>
      <c r="DO357" s="47"/>
      <c r="DP357" s="47"/>
      <c r="DQ357" s="47"/>
    </row>
    <row r="358">
      <c r="CU358" s="47"/>
      <c r="CV358" s="47"/>
      <c r="CW358" s="47"/>
      <c r="CX358" s="47"/>
      <c r="CY358" s="47"/>
      <c r="DD358" s="47"/>
      <c r="DE358" s="47"/>
      <c r="DF358" s="47"/>
      <c r="DG358" s="47"/>
      <c r="DH358" s="47"/>
      <c r="DL358" s="47"/>
      <c r="DM358" s="47"/>
      <c r="DN358" s="47"/>
      <c r="DO358" s="47"/>
      <c r="DP358" s="47"/>
      <c r="DQ358" s="47"/>
    </row>
    <row r="359">
      <c r="CU359" s="47"/>
      <c r="CV359" s="47"/>
      <c r="CW359" s="47"/>
      <c r="CX359" s="47"/>
      <c r="CY359" s="47"/>
      <c r="DD359" s="47"/>
      <c r="DE359" s="47"/>
      <c r="DF359" s="47"/>
      <c r="DG359" s="47"/>
      <c r="DH359" s="47"/>
      <c r="DL359" s="47"/>
      <c r="DM359" s="47"/>
      <c r="DN359" s="47"/>
      <c r="DO359" s="47"/>
      <c r="DP359" s="47"/>
      <c r="DQ359" s="47"/>
    </row>
    <row r="360">
      <c r="CU360" s="47"/>
      <c r="CV360" s="47"/>
      <c r="CW360" s="47"/>
      <c r="CX360" s="47"/>
      <c r="CY360" s="47"/>
      <c r="DD360" s="47"/>
      <c r="DE360" s="47"/>
      <c r="DF360" s="47"/>
      <c r="DG360" s="47"/>
      <c r="DH360" s="47"/>
      <c r="DL360" s="47"/>
      <c r="DM360" s="47"/>
      <c r="DN360" s="47"/>
      <c r="DO360" s="47"/>
      <c r="DP360" s="47"/>
      <c r="DQ360" s="47"/>
    </row>
    <row r="361">
      <c r="CU361" s="47"/>
      <c r="CV361" s="47"/>
      <c r="CW361" s="47"/>
      <c r="CX361" s="47"/>
      <c r="CY361" s="47"/>
      <c r="DD361" s="47"/>
      <c r="DE361" s="47"/>
      <c r="DF361" s="47"/>
      <c r="DG361" s="47"/>
      <c r="DH361" s="47"/>
      <c r="DL361" s="47"/>
      <c r="DM361" s="47"/>
      <c r="DN361" s="47"/>
      <c r="DO361" s="47"/>
      <c r="DP361" s="47"/>
      <c r="DQ361" s="47"/>
    </row>
    <row r="362">
      <c r="CU362" s="47"/>
      <c r="CV362" s="47"/>
      <c r="CW362" s="47"/>
      <c r="CX362" s="47"/>
      <c r="CY362" s="47"/>
      <c r="DD362" s="47"/>
      <c r="DE362" s="47"/>
      <c r="DF362" s="47"/>
      <c r="DG362" s="47"/>
      <c r="DH362" s="47"/>
      <c r="DL362" s="47"/>
      <c r="DM362" s="47"/>
      <c r="DN362" s="47"/>
      <c r="DO362" s="47"/>
      <c r="DP362" s="47"/>
      <c r="DQ362" s="47"/>
    </row>
    <row r="363">
      <c r="CU363" s="47"/>
      <c r="CV363" s="47"/>
      <c r="CW363" s="47"/>
      <c r="CX363" s="47"/>
      <c r="CY363" s="47"/>
      <c r="DD363" s="47"/>
      <c r="DE363" s="47"/>
      <c r="DF363" s="47"/>
      <c r="DG363" s="47"/>
      <c r="DH363" s="47"/>
      <c r="DL363" s="47"/>
      <c r="DM363" s="47"/>
      <c r="DN363" s="47"/>
      <c r="DO363" s="47"/>
      <c r="DP363" s="47"/>
      <c r="DQ363" s="47"/>
    </row>
    <row r="364">
      <c r="CU364" s="47"/>
      <c r="CV364" s="47"/>
      <c r="CW364" s="47"/>
      <c r="CX364" s="47"/>
      <c r="CY364" s="47"/>
      <c r="DD364" s="47"/>
      <c r="DE364" s="47"/>
      <c r="DF364" s="47"/>
      <c r="DG364" s="47"/>
      <c r="DH364" s="47"/>
      <c r="DL364" s="47"/>
      <c r="DM364" s="47"/>
      <c r="DN364" s="47"/>
      <c r="DO364" s="47"/>
      <c r="DP364" s="47"/>
      <c r="DQ364" s="47"/>
    </row>
    <row r="365">
      <c r="CU365" s="47"/>
      <c r="CV365" s="47"/>
      <c r="CW365" s="47"/>
      <c r="CX365" s="47"/>
      <c r="CY365" s="47"/>
      <c r="DD365" s="47"/>
      <c r="DE365" s="47"/>
      <c r="DF365" s="47"/>
      <c r="DG365" s="47"/>
      <c r="DH365" s="47"/>
      <c r="DL365" s="47"/>
      <c r="DM365" s="47"/>
      <c r="DN365" s="47"/>
      <c r="DO365" s="47"/>
      <c r="DP365" s="47"/>
      <c r="DQ365" s="47"/>
    </row>
    <row r="366">
      <c r="CU366" s="47"/>
      <c r="CV366" s="47"/>
      <c r="CW366" s="47"/>
      <c r="CX366" s="47"/>
      <c r="CY366" s="47"/>
      <c r="DD366" s="47"/>
      <c r="DE366" s="47"/>
      <c r="DF366" s="47"/>
      <c r="DG366" s="47"/>
      <c r="DH366" s="47"/>
      <c r="DL366" s="47"/>
      <c r="DM366" s="47"/>
      <c r="DN366" s="47"/>
      <c r="DO366" s="47"/>
      <c r="DP366" s="47"/>
      <c r="DQ366" s="47"/>
    </row>
    <row r="367">
      <c r="CU367" s="47"/>
      <c r="CV367" s="47"/>
      <c r="CW367" s="47"/>
      <c r="CX367" s="47"/>
      <c r="CY367" s="47"/>
      <c r="DD367" s="47"/>
      <c r="DE367" s="47"/>
      <c r="DF367" s="47"/>
      <c r="DG367" s="47"/>
      <c r="DH367" s="47"/>
      <c r="DL367" s="47"/>
      <c r="DM367" s="47"/>
      <c r="DN367" s="47"/>
      <c r="DO367" s="47"/>
      <c r="DP367" s="47"/>
      <c r="DQ367" s="47"/>
    </row>
    <row r="368">
      <c r="CU368" s="47"/>
      <c r="CV368" s="47"/>
      <c r="CW368" s="47"/>
      <c r="CX368" s="47"/>
      <c r="CY368" s="47"/>
      <c r="DD368" s="47"/>
      <c r="DE368" s="47"/>
      <c r="DF368" s="47"/>
      <c r="DG368" s="47"/>
      <c r="DH368" s="47"/>
      <c r="DL368" s="47"/>
      <c r="DM368" s="47"/>
      <c r="DN368" s="47"/>
      <c r="DO368" s="47"/>
      <c r="DP368" s="47"/>
      <c r="DQ368" s="47"/>
    </row>
    <row r="369">
      <c r="CU369" s="47"/>
      <c r="CV369" s="47"/>
      <c r="CW369" s="47"/>
      <c r="CX369" s="47"/>
      <c r="CY369" s="47"/>
      <c r="DD369" s="47"/>
      <c r="DE369" s="47"/>
      <c r="DF369" s="47"/>
      <c r="DG369" s="47"/>
      <c r="DH369" s="47"/>
      <c r="DL369" s="47"/>
      <c r="DM369" s="47"/>
      <c r="DN369" s="47"/>
      <c r="DO369" s="47"/>
      <c r="DP369" s="47"/>
      <c r="DQ369" s="47"/>
    </row>
    <row r="370">
      <c r="CU370" s="47"/>
      <c r="CV370" s="47"/>
      <c r="CW370" s="47"/>
      <c r="CX370" s="47"/>
      <c r="CY370" s="47"/>
      <c r="DD370" s="47"/>
      <c r="DE370" s="47"/>
      <c r="DF370" s="47"/>
      <c r="DG370" s="47"/>
      <c r="DH370" s="47"/>
      <c r="DL370" s="47"/>
      <c r="DM370" s="47"/>
      <c r="DN370" s="47"/>
      <c r="DO370" s="47"/>
      <c r="DP370" s="47"/>
      <c r="DQ370" s="47"/>
    </row>
    <row r="371">
      <c r="CU371" s="47"/>
      <c r="CV371" s="47"/>
      <c r="CW371" s="47"/>
      <c r="CX371" s="47"/>
      <c r="CY371" s="47"/>
      <c r="DD371" s="47"/>
      <c r="DE371" s="47"/>
      <c r="DF371" s="47"/>
      <c r="DG371" s="47"/>
      <c r="DH371" s="47"/>
      <c r="DL371" s="47"/>
      <c r="DM371" s="47"/>
      <c r="DN371" s="47"/>
      <c r="DO371" s="47"/>
      <c r="DP371" s="47"/>
      <c r="DQ371" s="47"/>
    </row>
    <row r="372">
      <c r="CU372" s="47"/>
      <c r="CV372" s="47"/>
      <c r="CW372" s="47"/>
      <c r="CX372" s="47"/>
      <c r="CY372" s="47"/>
      <c r="DD372" s="47"/>
      <c r="DE372" s="47"/>
      <c r="DF372" s="47"/>
      <c r="DG372" s="47"/>
      <c r="DH372" s="47"/>
      <c r="DL372" s="47"/>
      <c r="DM372" s="47"/>
      <c r="DN372" s="47"/>
      <c r="DO372" s="47"/>
      <c r="DP372" s="47"/>
      <c r="DQ372" s="47"/>
    </row>
    <row r="373">
      <c r="CU373" s="47"/>
      <c r="CV373" s="47"/>
      <c r="CW373" s="47"/>
      <c r="CX373" s="47"/>
      <c r="CY373" s="47"/>
      <c r="DD373" s="47"/>
      <c r="DE373" s="47"/>
      <c r="DF373" s="47"/>
      <c r="DG373" s="47"/>
      <c r="DH373" s="47"/>
      <c r="DL373" s="47"/>
      <c r="DM373" s="47"/>
      <c r="DN373" s="47"/>
      <c r="DO373" s="47"/>
      <c r="DP373" s="47"/>
      <c r="DQ373" s="47"/>
    </row>
    <row r="374">
      <c r="CU374" s="47"/>
      <c r="CV374" s="47"/>
      <c r="CW374" s="47"/>
      <c r="CX374" s="47"/>
      <c r="CY374" s="47"/>
      <c r="DD374" s="47"/>
      <c r="DE374" s="47"/>
      <c r="DF374" s="47"/>
      <c r="DG374" s="47"/>
      <c r="DH374" s="47"/>
      <c r="DL374" s="47"/>
      <c r="DM374" s="47"/>
      <c r="DN374" s="47"/>
      <c r="DO374" s="47"/>
      <c r="DP374" s="47"/>
      <c r="DQ374" s="47"/>
    </row>
    <row r="375">
      <c r="CU375" s="47"/>
      <c r="CV375" s="47"/>
      <c r="CW375" s="47"/>
      <c r="CX375" s="47"/>
      <c r="CY375" s="47"/>
      <c r="DD375" s="47"/>
      <c r="DE375" s="47"/>
      <c r="DF375" s="47"/>
      <c r="DG375" s="47"/>
      <c r="DH375" s="47"/>
      <c r="DL375" s="47"/>
      <c r="DM375" s="47"/>
      <c r="DN375" s="47"/>
      <c r="DO375" s="47"/>
      <c r="DP375" s="47"/>
      <c r="DQ375" s="47"/>
    </row>
    <row r="376">
      <c r="CU376" s="47"/>
      <c r="CV376" s="47"/>
      <c r="CW376" s="47"/>
      <c r="CX376" s="47"/>
      <c r="CY376" s="47"/>
      <c r="DD376" s="47"/>
      <c r="DE376" s="47"/>
      <c r="DF376" s="47"/>
      <c r="DG376" s="47"/>
      <c r="DH376" s="47"/>
      <c r="DL376" s="47"/>
      <c r="DM376" s="47"/>
      <c r="DN376" s="47"/>
      <c r="DO376" s="47"/>
      <c r="DP376" s="47"/>
      <c r="DQ376" s="47"/>
    </row>
    <row r="377">
      <c r="CU377" s="47"/>
      <c r="CV377" s="47"/>
      <c r="CW377" s="47"/>
      <c r="CX377" s="47"/>
      <c r="CY377" s="47"/>
      <c r="DD377" s="47"/>
      <c r="DE377" s="47"/>
      <c r="DF377" s="47"/>
      <c r="DG377" s="47"/>
      <c r="DH377" s="47"/>
      <c r="DL377" s="47"/>
      <c r="DM377" s="47"/>
      <c r="DN377" s="47"/>
      <c r="DO377" s="47"/>
      <c r="DP377" s="47"/>
      <c r="DQ377" s="47"/>
    </row>
    <row r="378">
      <c r="CU378" s="47"/>
      <c r="CV378" s="47"/>
      <c r="CW378" s="47"/>
      <c r="CX378" s="47"/>
      <c r="CY378" s="47"/>
      <c r="DD378" s="47"/>
      <c r="DE378" s="47"/>
      <c r="DF378" s="47"/>
      <c r="DG378" s="47"/>
      <c r="DH378" s="47"/>
      <c r="DL378" s="47"/>
      <c r="DM378" s="47"/>
      <c r="DN378" s="47"/>
      <c r="DO378" s="47"/>
      <c r="DP378" s="47"/>
      <c r="DQ378" s="47"/>
    </row>
    <row r="379">
      <c r="CU379" s="47"/>
      <c r="CV379" s="47"/>
      <c r="CW379" s="47"/>
      <c r="CX379" s="47"/>
      <c r="CY379" s="47"/>
      <c r="DD379" s="47"/>
      <c r="DE379" s="47"/>
      <c r="DF379" s="47"/>
      <c r="DG379" s="47"/>
      <c r="DH379" s="47"/>
      <c r="DL379" s="47"/>
      <c r="DM379" s="47"/>
      <c r="DN379" s="47"/>
      <c r="DO379" s="47"/>
      <c r="DP379" s="47"/>
      <c r="DQ379" s="47"/>
    </row>
    <row r="380">
      <c r="CU380" s="47"/>
      <c r="CV380" s="47"/>
      <c r="CW380" s="47"/>
      <c r="CX380" s="47"/>
      <c r="CY380" s="47"/>
      <c r="DD380" s="47"/>
      <c r="DE380" s="47"/>
      <c r="DF380" s="47"/>
      <c r="DG380" s="47"/>
      <c r="DH380" s="47"/>
      <c r="DL380" s="47"/>
      <c r="DM380" s="47"/>
      <c r="DN380" s="47"/>
      <c r="DO380" s="47"/>
      <c r="DP380" s="47"/>
      <c r="DQ380" s="47"/>
    </row>
    <row r="381">
      <c r="CU381" s="47"/>
      <c r="CV381" s="47"/>
      <c r="CW381" s="47"/>
      <c r="CX381" s="47"/>
      <c r="CY381" s="47"/>
      <c r="DD381" s="47"/>
      <c r="DE381" s="47"/>
      <c r="DF381" s="47"/>
      <c r="DG381" s="47"/>
      <c r="DH381" s="47"/>
      <c r="DL381" s="47"/>
      <c r="DM381" s="47"/>
      <c r="DN381" s="47"/>
      <c r="DO381" s="47"/>
      <c r="DP381" s="47"/>
      <c r="DQ381" s="47"/>
    </row>
    <row r="382">
      <c r="CU382" s="47"/>
      <c r="CV382" s="47"/>
      <c r="CW382" s="47"/>
      <c r="CX382" s="47"/>
      <c r="CY382" s="47"/>
      <c r="DD382" s="47"/>
      <c r="DE382" s="47"/>
      <c r="DF382" s="47"/>
      <c r="DG382" s="47"/>
      <c r="DH382" s="47"/>
      <c r="DL382" s="47"/>
      <c r="DM382" s="47"/>
      <c r="DN382" s="47"/>
      <c r="DO382" s="47"/>
      <c r="DP382" s="47"/>
      <c r="DQ382" s="47"/>
    </row>
    <row r="383">
      <c r="CU383" s="47"/>
      <c r="CV383" s="47"/>
      <c r="CW383" s="47"/>
      <c r="CX383" s="47"/>
      <c r="CY383" s="47"/>
      <c r="DD383" s="47"/>
      <c r="DE383" s="47"/>
      <c r="DF383" s="47"/>
      <c r="DG383" s="47"/>
      <c r="DH383" s="47"/>
      <c r="DL383" s="47"/>
      <c r="DM383" s="47"/>
      <c r="DN383" s="47"/>
      <c r="DO383" s="47"/>
      <c r="DP383" s="47"/>
      <c r="DQ383" s="47"/>
    </row>
    <row r="384">
      <c r="CU384" s="47"/>
      <c r="CV384" s="47"/>
      <c r="CW384" s="47"/>
      <c r="CX384" s="47"/>
      <c r="CY384" s="47"/>
      <c r="DD384" s="47"/>
      <c r="DE384" s="47"/>
      <c r="DF384" s="47"/>
      <c r="DG384" s="47"/>
      <c r="DH384" s="47"/>
      <c r="DL384" s="47"/>
      <c r="DM384" s="47"/>
      <c r="DN384" s="47"/>
      <c r="DO384" s="47"/>
      <c r="DP384" s="47"/>
      <c r="DQ384" s="47"/>
    </row>
    <row r="385">
      <c r="CU385" s="47"/>
      <c r="CV385" s="47"/>
      <c r="CW385" s="47"/>
      <c r="CX385" s="47"/>
      <c r="CY385" s="47"/>
      <c r="DD385" s="47"/>
      <c r="DE385" s="47"/>
      <c r="DF385" s="47"/>
      <c r="DG385" s="47"/>
      <c r="DH385" s="47"/>
      <c r="DL385" s="47"/>
      <c r="DM385" s="47"/>
      <c r="DN385" s="47"/>
      <c r="DO385" s="47"/>
      <c r="DP385" s="47"/>
      <c r="DQ385" s="47"/>
    </row>
    <row r="386">
      <c r="CU386" s="47"/>
      <c r="CV386" s="47"/>
      <c r="CW386" s="47"/>
      <c r="CX386" s="47"/>
      <c r="CY386" s="47"/>
      <c r="DD386" s="47"/>
      <c r="DE386" s="47"/>
      <c r="DF386" s="47"/>
      <c r="DG386" s="47"/>
      <c r="DH386" s="47"/>
      <c r="DL386" s="47"/>
      <c r="DM386" s="47"/>
      <c r="DN386" s="47"/>
      <c r="DO386" s="47"/>
      <c r="DP386" s="47"/>
      <c r="DQ386" s="47"/>
    </row>
    <row r="387">
      <c r="CU387" s="47"/>
      <c r="CV387" s="47"/>
      <c r="CW387" s="47"/>
      <c r="CX387" s="47"/>
      <c r="CY387" s="47"/>
      <c r="DD387" s="47"/>
      <c r="DE387" s="47"/>
      <c r="DF387" s="47"/>
      <c r="DG387" s="47"/>
      <c r="DH387" s="47"/>
      <c r="DL387" s="47"/>
      <c r="DM387" s="47"/>
      <c r="DN387" s="47"/>
      <c r="DO387" s="47"/>
      <c r="DP387" s="47"/>
      <c r="DQ387" s="47"/>
    </row>
    <row r="388">
      <c r="CU388" s="47"/>
      <c r="CV388" s="47"/>
      <c r="CW388" s="47"/>
      <c r="CX388" s="47"/>
      <c r="CY388" s="47"/>
      <c r="DD388" s="47"/>
      <c r="DE388" s="47"/>
      <c r="DF388" s="47"/>
      <c r="DG388" s="47"/>
      <c r="DH388" s="47"/>
      <c r="DL388" s="47"/>
      <c r="DM388" s="47"/>
      <c r="DN388" s="47"/>
      <c r="DO388" s="47"/>
      <c r="DP388" s="47"/>
      <c r="DQ388" s="47"/>
    </row>
    <row r="389">
      <c r="CU389" s="47"/>
      <c r="CV389" s="47"/>
      <c r="CW389" s="47"/>
      <c r="CX389" s="47"/>
      <c r="CY389" s="47"/>
      <c r="DD389" s="47"/>
      <c r="DE389" s="47"/>
      <c r="DF389" s="47"/>
      <c r="DG389" s="47"/>
      <c r="DH389" s="47"/>
      <c r="DL389" s="47"/>
      <c r="DM389" s="47"/>
      <c r="DN389" s="47"/>
      <c r="DO389" s="47"/>
      <c r="DP389" s="47"/>
      <c r="DQ389" s="47"/>
    </row>
    <row r="390">
      <c r="CU390" s="47"/>
      <c r="CV390" s="47"/>
      <c r="CW390" s="47"/>
      <c r="CX390" s="47"/>
      <c r="CY390" s="47"/>
      <c r="DD390" s="47"/>
      <c r="DE390" s="47"/>
      <c r="DF390" s="47"/>
      <c r="DG390" s="47"/>
      <c r="DH390" s="47"/>
      <c r="DL390" s="47"/>
      <c r="DM390" s="47"/>
      <c r="DN390" s="47"/>
      <c r="DO390" s="47"/>
      <c r="DP390" s="47"/>
      <c r="DQ390" s="47"/>
    </row>
    <row r="391">
      <c r="CU391" s="47"/>
      <c r="CV391" s="47"/>
      <c r="CW391" s="47"/>
      <c r="CX391" s="47"/>
      <c r="CY391" s="47"/>
      <c r="DD391" s="47"/>
      <c r="DE391" s="47"/>
      <c r="DF391" s="47"/>
      <c r="DG391" s="47"/>
      <c r="DH391" s="47"/>
      <c r="DL391" s="47"/>
      <c r="DM391" s="47"/>
      <c r="DN391" s="47"/>
      <c r="DO391" s="47"/>
      <c r="DP391" s="47"/>
      <c r="DQ391" s="47"/>
    </row>
    <row r="392">
      <c r="CU392" s="47"/>
      <c r="CV392" s="47"/>
      <c r="CW392" s="47"/>
      <c r="CX392" s="47"/>
      <c r="CY392" s="47"/>
      <c r="DD392" s="47"/>
      <c r="DE392" s="47"/>
      <c r="DF392" s="47"/>
      <c r="DG392" s="47"/>
      <c r="DH392" s="47"/>
      <c r="DL392" s="47"/>
      <c r="DM392" s="47"/>
      <c r="DN392" s="47"/>
      <c r="DO392" s="47"/>
      <c r="DP392" s="47"/>
      <c r="DQ392" s="47"/>
    </row>
    <row r="393">
      <c r="CU393" s="47"/>
      <c r="CV393" s="47"/>
      <c r="CW393" s="47"/>
      <c r="CX393" s="47"/>
      <c r="CY393" s="47"/>
      <c r="DD393" s="47"/>
      <c r="DE393" s="47"/>
      <c r="DF393" s="47"/>
      <c r="DG393" s="47"/>
      <c r="DH393" s="47"/>
      <c r="DL393" s="47"/>
      <c r="DM393" s="47"/>
      <c r="DN393" s="47"/>
      <c r="DO393" s="47"/>
      <c r="DP393" s="47"/>
      <c r="DQ393" s="47"/>
    </row>
    <row r="394">
      <c r="CU394" s="47"/>
      <c r="CV394" s="47"/>
      <c r="CW394" s="47"/>
      <c r="CX394" s="47"/>
      <c r="CY394" s="47"/>
      <c r="DD394" s="47"/>
      <c r="DE394" s="47"/>
      <c r="DF394" s="47"/>
      <c r="DG394" s="47"/>
      <c r="DH394" s="47"/>
      <c r="DL394" s="47"/>
      <c r="DM394" s="47"/>
      <c r="DN394" s="47"/>
      <c r="DO394" s="47"/>
      <c r="DP394" s="47"/>
      <c r="DQ394" s="47"/>
    </row>
    <row r="395">
      <c r="CU395" s="47"/>
      <c r="CV395" s="47"/>
      <c r="CW395" s="47"/>
      <c r="CX395" s="47"/>
      <c r="CY395" s="47"/>
      <c r="DD395" s="47"/>
      <c r="DE395" s="47"/>
      <c r="DF395" s="47"/>
      <c r="DG395" s="47"/>
      <c r="DH395" s="47"/>
      <c r="DL395" s="47"/>
      <c r="DM395" s="47"/>
      <c r="DN395" s="47"/>
      <c r="DO395" s="47"/>
      <c r="DP395" s="47"/>
      <c r="DQ395" s="47"/>
    </row>
    <row r="396">
      <c r="CU396" s="47"/>
      <c r="CV396" s="47"/>
      <c r="CW396" s="47"/>
      <c r="CX396" s="47"/>
      <c r="CY396" s="47"/>
      <c r="DD396" s="47"/>
      <c r="DE396" s="47"/>
      <c r="DF396" s="47"/>
      <c r="DG396" s="47"/>
      <c r="DH396" s="47"/>
      <c r="DL396" s="47"/>
      <c r="DM396" s="47"/>
      <c r="DN396" s="47"/>
      <c r="DO396" s="47"/>
      <c r="DP396" s="47"/>
      <c r="DQ396" s="47"/>
    </row>
    <row r="397">
      <c r="CU397" s="47"/>
      <c r="CV397" s="47"/>
      <c r="CW397" s="47"/>
      <c r="CX397" s="47"/>
      <c r="CY397" s="47"/>
      <c r="DD397" s="47"/>
      <c r="DE397" s="47"/>
      <c r="DF397" s="47"/>
      <c r="DG397" s="47"/>
      <c r="DH397" s="47"/>
      <c r="DL397" s="47"/>
      <c r="DM397" s="47"/>
      <c r="DN397" s="47"/>
      <c r="DO397" s="47"/>
      <c r="DP397" s="47"/>
      <c r="DQ397" s="47"/>
    </row>
    <row r="398">
      <c r="CU398" s="47"/>
      <c r="CV398" s="47"/>
      <c r="CW398" s="47"/>
      <c r="CX398" s="47"/>
      <c r="CY398" s="47"/>
      <c r="DD398" s="47"/>
      <c r="DE398" s="47"/>
      <c r="DF398" s="47"/>
      <c r="DG398" s="47"/>
      <c r="DH398" s="47"/>
      <c r="DL398" s="47"/>
      <c r="DM398" s="47"/>
      <c r="DN398" s="47"/>
      <c r="DO398" s="47"/>
      <c r="DP398" s="47"/>
      <c r="DQ398" s="47"/>
    </row>
    <row r="399">
      <c r="CU399" s="47"/>
      <c r="CV399" s="47"/>
      <c r="CW399" s="47"/>
      <c r="CX399" s="47"/>
      <c r="CY399" s="47"/>
      <c r="DD399" s="47"/>
      <c r="DE399" s="47"/>
      <c r="DF399" s="47"/>
      <c r="DG399" s="47"/>
      <c r="DH399" s="47"/>
      <c r="DL399" s="47"/>
      <c r="DM399" s="47"/>
      <c r="DN399" s="47"/>
      <c r="DO399" s="47"/>
      <c r="DP399" s="47"/>
      <c r="DQ399" s="47"/>
    </row>
    <row r="400">
      <c r="CU400" s="47"/>
      <c r="CV400" s="47"/>
      <c r="CW400" s="47"/>
      <c r="CX400" s="47"/>
      <c r="CY400" s="47"/>
      <c r="DD400" s="47"/>
      <c r="DE400" s="47"/>
      <c r="DF400" s="47"/>
      <c r="DG400" s="47"/>
      <c r="DH400" s="47"/>
      <c r="DL400" s="47"/>
      <c r="DM400" s="47"/>
      <c r="DN400" s="47"/>
      <c r="DO400" s="47"/>
      <c r="DP400" s="47"/>
      <c r="DQ400" s="47"/>
    </row>
    <row r="401">
      <c r="CU401" s="47"/>
      <c r="CV401" s="47"/>
      <c r="CW401" s="47"/>
      <c r="CX401" s="47"/>
      <c r="CY401" s="47"/>
      <c r="DD401" s="47"/>
      <c r="DE401" s="47"/>
      <c r="DF401" s="47"/>
      <c r="DG401" s="47"/>
      <c r="DH401" s="47"/>
      <c r="DL401" s="47"/>
      <c r="DM401" s="47"/>
      <c r="DN401" s="47"/>
      <c r="DO401" s="47"/>
      <c r="DP401" s="47"/>
      <c r="DQ401" s="47"/>
    </row>
    <row r="402">
      <c r="CU402" s="47"/>
      <c r="CV402" s="47"/>
      <c r="CW402" s="47"/>
      <c r="CX402" s="47"/>
      <c r="CY402" s="47"/>
      <c r="DD402" s="47"/>
      <c r="DE402" s="47"/>
      <c r="DF402" s="47"/>
      <c r="DG402" s="47"/>
      <c r="DH402" s="47"/>
      <c r="DL402" s="47"/>
      <c r="DM402" s="47"/>
      <c r="DN402" s="47"/>
      <c r="DO402" s="47"/>
      <c r="DP402" s="47"/>
      <c r="DQ402" s="47"/>
    </row>
    <row r="403">
      <c r="CU403" s="47"/>
      <c r="CV403" s="47"/>
      <c r="CW403" s="47"/>
      <c r="CX403" s="47"/>
      <c r="CY403" s="47"/>
      <c r="DD403" s="47"/>
      <c r="DE403" s="47"/>
      <c r="DF403" s="47"/>
      <c r="DG403" s="47"/>
      <c r="DH403" s="47"/>
      <c r="DL403" s="47"/>
      <c r="DM403" s="47"/>
      <c r="DN403" s="47"/>
      <c r="DO403" s="47"/>
      <c r="DP403" s="47"/>
      <c r="DQ403" s="47"/>
    </row>
    <row r="404">
      <c r="CU404" s="47"/>
      <c r="CV404" s="47"/>
      <c r="CW404" s="47"/>
      <c r="CX404" s="47"/>
      <c r="CY404" s="47"/>
      <c r="DD404" s="47"/>
      <c r="DE404" s="47"/>
      <c r="DF404" s="47"/>
      <c r="DG404" s="47"/>
      <c r="DH404" s="47"/>
      <c r="DL404" s="47"/>
      <c r="DM404" s="47"/>
      <c r="DN404" s="47"/>
      <c r="DO404" s="47"/>
      <c r="DP404" s="47"/>
      <c r="DQ404" s="47"/>
    </row>
    <row r="405">
      <c r="CU405" s="47"/>
      <c r="CV405" s="47"/>
      <c r="CW405" s="47"/>
      <c r="CX405" s="47"/>
      <c r="CY405" s="47"/>
      <c r="DD405" s="47"/>
      <c r="DE405" s="47"/>
      <c r="DF405" s="47"/>
      <c r="DG405" s="47"/>
      <c r="DH405" s="47"/>
      <c r="DL405" s="47"/>
      <c r="DM405" s="47"/>
      <c r="DN405" s="47"/>
      <c r="DO405" s="47"/>
      <c r="DP405" s="47"/>
      <c r="DQ405" s="47"/>
    </row>
    <row r="406">
      <c r="CU406" s="47"/>
      <c r="CV406" s="47"/>
      <c r="CW406" s="47"/>
      <c r="CX406" s="47"/>
      <c r="CY406" s="47"/>
      <c r="DD406" s="47"/>
      <c r="DE406" s="47"/>
      <c r="DF406" s="47"/>
      <c r="DG406" s="47"/>
      <c r="DH406" s="47"/>
      <c r="DL406" s="47"/>
      <c r="DM406" s="47"/>
      <c r="DN406" s="47"/>
      <c r="DO406" s="47"/>
      <c r="DP406" s="47"/>
      <c r="DQ406" s="47"/>
    </row>
    <row r="407">
      <c r="CU407" s="47"/>
      <c r="CV407" s="47"/>
      <c r="CW407" s="47"/>
      <c r="CX407" s="47"/>
      <c r="CY407" s="47"/>
      <c r="DD407" s="47"/>
      <c r="DE407" s="47"/>
      <c r="DF407" s="47"/>
      <c r="DG407" s="47"/>
      <c r="DH407" s="47"/>
      <c r="DL407" s="47"/>
      <c r="DM407" s="47"/>
      <c r="DN407" s="47"/>
      <c r="DO407" s="47"/>
      <c r="DP407" s="47"/>
      <c r="DQ407" s="47"/>
    </row>
    <row r="408">
      <c r="CU408" s="47"/>
      <c r="CV408" s="47"/>
      <c r="CW408" s="47"/>
      <c r="CX408" s="47"/>
      <c r="CY408" s="47"/>
      <c r="DD408" s="47"/>
      <c r="DE408" s="47"/>
      <c r="DF408" s="47"/>
      <c r="DG408" s="47"/>
      <c r="DH408" s="47"/>
      <c r="DL408" s="47"/>
      <c r="DM408" s="47"/>
      <c r="DN408" s="47"/>
      <c r="DO408" s="47"/>
      <c r="DP408" s="47"/>
      <c r="DQ408" s="47"/>
    </row>
    <row r="409">
      <c r="CU409" s="47"/>
      <c r="CV409" s="47"/>
      <c r="CW409" s="47"/>
      <c r="CX409" s="47"/>
      <c r="CY409" s="47"/>
      <c r="DD409" s="47"/>
      <c r="DE409" s="47"/>
      <c r="DF409" s="47"/>
      <c r="DG409" s="47"/>
      <c r="DH409" s="47"/>
      <c r="DL409" s="47"/>
      <c r="DM409" s="47"/>
      <c r="DN409" s="47"/>
      <c r="DO409" s="47"/>
      <c r="DP409" s="47"/>
      <c r="DQ409" s="47"/>
    </row>
    <row r="410">
      <c r="CU410" s="47"/>
      <c r="CV410" s="47"/>
      <c r="CW410" s="47"/>
      <c r="CX410" s="47"/>
      <c r="CY410" s="47"/>
      <c r="DD410" s="47"/>
      <c r="DE410" s="47"/>
      <c r="DF410" s="47"/>
      <c r="DG410" s="47"/>
      <c r="DH410" s="47"/>
      <c r="DL410" s="47"/>
      <c r="DM410" s="47"/>
      <c r="DN410" s="47"/>
      <c r="DO410" s="47"/>
      <c r="DP410" s="47"/>
      <c r="DQ410" s="47"/>
    </row>
    <row r="411">
      <c r="CU411" s="47"/>
      <c r="CV411" s="47"/>
      <c r="CW411" s="47"/>
      <c r="CX411" s="47"/>
      <c r="CY411" s="47"/>
      <c r="DD411" s="47"/>
      <c r="DE411" s="47"/>
      <c r="DF411" s="47"/>
      <c r="DG411" s="47"/>
      <c r="DH411" s="47"/>
      <c r="DL411" s="47"/>
      <c r="DM411" s="47"/>
      <c r="DN411" s="47"/>
      <c r="DO411" s="47"/>
      <c r="DP411" s="47"/>
      <c r="DQ411" s="47"/>
    </row>
    <row r="412">
      <c r="CU412" s="47"/>
      <c r="CV412" s="47"/>
      <c r="CW412" s="47"/>
      <c r="CX412" s="47"/>
      <c r="CY412" s="47"/>
      <c r="DD412" s="47"/>
      <c r="DE412" s="47"/>
      <c r="DF412" s="47"/>
      <c r="DG412" s="47"/>
      <c r="DH412" s="47"/>
      <c r="DL412" s="47"/>
      <c r="DM412" s="47"/>
      <c r="DN412" s="47"/>
      <c r="DO412" s="47"/>
      <c r="DP412" s="47"/>
      <c r="DQ412" s="47"/>
    </row>
    <row r="413">
      <c r="CU413" s="47"/>
      <c r="CV413" s="47"/>
      <c r="CW413" s="47"/>
      <c r="CX413" s="47"/>
      <c r="CY413" s="47"/>
      <c r="DD413" s="47"/>
      <c r="DE413" s="47"/>
      <c r="DF413" s="47"/>
      <c r="DG413" s="47"/>
      <c r="DH413" s="47"/>
      <c r="DL413" s="47"/>
      <c r="DM413" s="47"/>
      <c r="DN413" s="47"/>
      <c r="DO413" s="47"/>
      <c r="DP413" s="47"/>
      <c r="DQ413" s="47"/>
    </row>
    <row r="414">
      <c r="CU414" s="47"/>
      <c r="CV414" s="47"/>
      <c r="CW414" s="47"/>
      <c r="CX414" s="47"/>
      <c r="CY414" s="47"/>
      <c r="DD414" s="47"/>
      <c r="DE414" s="47"/>
      <c r="DF414" s="47"/>
      <c r="DG414" s="47"/>
      <c r="DH414" s="47"/>
      <c r="DL414" s="47"/>
      <c r="DM414" s="47"/>
      <c r="DN414" s="47"/>
      <c r="DO414" s="47"/>
      <c r="DP414" s="47"/>
      <c r="DQ414" s="47"/>
    </row>
    <row r="415">
      <c r="CU415" s="47"/>
      <c r="CV415" s="47"/>
      <c r="CW415" s="47"/>
      <c r="CX415" s="47"/>
      <c r="CY415" s="47"/>
      <c r="DD415" s="47"/>
      <c r="DE415" s="47"/>
      <c r="DF415" s="47"/>
      <c r="DG415" s="47"/>
      <c r="DH415" s="47"/>
      <c r="DL415" s="47"/>
      <c r="DM415" s="47"/>
      <c r="DN415" s="47"/>
      <c r="DO415" s="47"/>
      <c r="DP415" s="47"/>
      <c r="DQ415" s="47"/>
    </row>
    <row r="416">
      <c r="CU416" s="47"/>
      <c r="CV416" s="47"/>
      <c r="CW416" s="47"/>
      <c r="CX416" s="47"/>
      <c r="CY416" s="47"/>
      <c r="DD416" s="47"/>
      <c r="DE416" s="47"/>
      <c r="DF416" s="47"/>
      <c r="DG416" s="47"/>
      <c r="DH416" s="47"/>
      <c r="DL416" s="47"/>
      <c r="DM416" s="47"/>
      <c r="DN416" s="47"/>
      <c r="DO416" s="47"/>
      <c r="DP416" s="47"/>
      <c r="DQ416" s="47"/>
    </row>
    <row r="417">
      <c r="CU417" s="47"/>
      <c r="CV417" s="47"/>
      <c r="CW417" s="47"/>
      <c r="CX417" s="47"/>
      <c r="CY417" s="47"/>
      <c r="DD417" s="47"/>
      <c r="DE417" s="47"/>
      <c r="DF417" s="47"/>
      <c r="DG417" s="47"/>
      <c r="DH417" s="47"/>
      <c r="DL417" s="47"/>
      <c r="DM417" s="47"/>
      <c r="DN417" s="47"/>
      <c r="DO417" s="47"/>
      <c r="DP417" s="47"/>
      <c r="DQ417" s="47"/>
    </row>
    <row r="418">
      <c r="CU418" s="47"/>
      <c r="CV418" s="47"/>
      <c r="CW418" s="47"/>
      <c r="CX418" s="47"/>
      <c r="CY418" s="47"/>
      <c r="DD418" s="47"/>
      <c r="DE418" s="47"/>
      <c r="DF418" s="47"/>
      <c r="DG418" s="47"/>
      <c r="DH418" s="47"/>
      <c r="DL418" s="47"/>
      <c r="DM418" s="47"/>
      <c r="DN418" s="47"/>
      <c r="DO418" s="47"/>
      <c r="DP418" s="47"/>
      <c r="DQ418" s="47"/>
    </row>
    <row r="419">
      <c r="CU419" s="47"/>
      <c r="CV419" s="47"/>
      <c r="CW419" s="47"/>
      <c r="CX419" s="47"/>
      <c r="CY419" s="47"/>
      <c r="DD419" s="47"/>
      <c r="DE419" s="47"/>
      <c r="DF419" s="47"/>
      <c r="DG419" s="47"/>
      <c r="DH419" s="47"/>
      <c r="DL419" s="47"/>
      <c r="DM419" s="47"/>
      <c r="DN419" s="47"/>
      <c r="DO419" s="47"/>
      <c r="DP419" s="47"/>
      <c r="DQ419" s="47"/>
    </row>
    <row r="420">
      <c r="CU420" s="47"/>
      <c r="CV420" s="47"/>
      <c r="CW420" s="47"/>
      <c r="CX420" s="47"/>
      <c r="CY420" s="47"/>
      <c r="DD420" s="47"/>
      <c r="DE420" s="47"/>
      <c r="DF420" s="47"/>
      <c r="DG420" s="47"/>
      <c r="DH420" s="47"/>
      <c r="DL420" s="47"/>
      <c r="DM420" s="47"/>
      <c r="DN420" s="47"/>
      <c r="DO420" s="47"/>
      <c r="DP420" s="47"/>
      <c r="DQ420" s="47"/>
    </row>
    <row r="421">
      <c r="CU421" s="47"/>
      <c r="CV421" s="47"/>
      <c r="CW421" s="47"/>
      <c r="CX421" s="47"/>
      <c r="CY421" s="47"/>
      <c r="DD421" s="47"/>
      <c r="DE421" s="47"/>
      <c r="DF421" s="47"/>
      <c r="DG421" s="47"/>
      <c r="DH421" s="47"/>
      <c r="DL421" s="47"/>
      <c r="DM421" s="47"/>
      <c r="DN421" s="47"/>
      <c r="DO421" s="47"/>
      <c r="DP421" s="47"/>
      <c r="DQ421" s="47"/>
    </row>
    <row r="422">
      <c r="CU422" s="47"/>
      <c r="CV422" s="47"/>
      <c r="CW422" s="47"/>
      <c r="CX422" s="47"/>
      <c r="CY422" s="47"/>
      <c r="DD422" s="47"/>
      <c r="DE422" s="47"/>
      <c r="DF422" s="47"/>
      <c r="DG422" s="47"/>
      <c r="DH422" s="47"/>
      <c r="DL422" s="47"/>
      <c r="DM422" s="47"/>
      <c r="DN422" s="47"/>
      <c r="DO422" s="47"/>
      <c r="DP422" s="47"/>
      <c r="DQ422" s="47"/>
    </row>
    <row r="423">
      <c r="CU423" s="47"/>
      <c r="CV423" s="47"/>
      <c r="CW423" s="47"/>
      <c r="CX423" s="47"/>
      <c r="CY423" s="47"/>
      <c r="DD423" s="47"/>
      <c r="DE423" s="47"/>
      <c r="DF423" s="47"/>
      <c r="DG423" s="47"/>
      <c r="DH423" s="47"/>
      <c r="DL423" s="47"/>
      <c r="DM423" s="47"/>
      <c r="DN423" s="47"/>
      <c r="DO423" s="47"/>
      <c r="DP423" s="47"/>
      <c r="DQ423" s="47"/>
    </row>
    <row r="424">
      <c r="CU424" s="47"/>
      <c r="CV424" s="47"/>
      <c r="CW424" s="47"/>
      <c r="CX424" s="47"/>
      <c r="CY424" s="47"/>
      <c r="DD424" s="47"/>
      <c r="DE424" s="47"/>
      <c r="DF424" s="47"/>
      <c r="DG424" s="47"/>
      <c r="DH424" s="47"/>
      <c r="DL424" s="47"/>
      <c r="DM424" s="47"/>
      <c r="DN424" s="47"/>
      <c r="DO424" s="47"/>
      <c r="DP424" s="47"/>
      <c r="DQ424" s="47"/>
    </row>
    <row r="425">
      <c r="CU425" s="47"/>
      <c r="CV425" s="47"/>
      <c r="CW425" s="47"/>
      <c r="CX425" s="47"/>
      <c r="CY425" s="47"/>
      <c r="DD425" s="47"/>
      <c r="DE425" s="47"/>
      <c r="DF425" s="47"/>
      <c r="DG425" s="47"/>
      <c r="DH425" s="47"/>
      <c r="DL425" s="47"/>
      <c r="DM425" s="47"/>
      <c r="DN425" s="47"/>
      <c r="DO425" s="47"/>
      <c r="DP425" s="47"/>
      <c r="DQ425" s="47"/>
    </row>
    <row r="426">
      <c r="CU426" s="47"/>
      <c r="CV426" s="47"/>
      <c r="CW426" s="47"/>
      <c r="CX426" s="47"/>
      <c r="CY426" s="47"/>
      <c r="DD426" s="47"/>
      <c r="DE426" s="47"/>
      <c r="DF426" s="47"/>
      <c r="DG426" s="47"/>
      <c r="DH426" s="47"/>
      <c r="DL426" s="47"/>
      <c r="DM426" s="47"/>
      <c r="DN426" s="47"/>
      <c r="DO426" s="47"/>
      <c r="DP426" s="47"/>
      <c r="DQ426" s="47"/>
    </row>
    <row r="427">
      <c r="CU427" s="47"/>
      <c r="CV427" s="47"/>
      <c r="CW427" s="47"/>
      <c r="CX427" s="47"/>
      <c r="CY427" s="47"/>
      <c r="DD427" s="47"/>
      <c r="DE427" s="47"/>
      <c r="DF427" s="47"/>
      <c r="DG427" s="47"/>
      <c r="DH427" s="47"/>
      <c r="DL427" s="47"/>
      <c r="DM427" s="47"/>
      <c r="DN427" s="47"/>
      <c r="DO427" s="47"/>
      <c r="DP427" s="47"/>
      <c r="DQ427" s="47"/>
    </row>
    <row r="428">
      <c r="CU428" s="47"/>
      <c r="CV428" s="47"/>
      <c r="CW428" s="47"/>
      <c r="CX428" s="47"/>
      <c r="CY428" s="47"/>
      <c r="DD428" s="47"/>
      <c r="DE428" s="47"/>
      <c r="DF428" s="47"/>
      <c r="DG428" s="47"/>
      <c r="DH428" s="47"/>
      <c r="DL428" s="47"/>
      <c r="DM428" s="47"/>
      <c r="DN428" s="47"/>
      <c r="DO428" s="47"/>
      <c r="DP428" s="47"/>
      <c r="DQ428" s="47"/>
    </row>
    <row r="429">
      <c r="CU429" s="47"/>
      <c r="CV429" s="47"/>
      <c r="CW429" s="47"/>
      <c r="CX429" s="47"/>
      <c r="CY429" s="47"/>
      <c r="DD429" s="47"/>
      <c r="DE429" s="47"/>
      <c r="DF429" s="47"/>
      <c r="DG429" s="47"/>
      <c r="DH429" s="47"/>
      <c r="DL429" s="47"/>
      <c r="DM429" s="47"/>
      <c r="DN429" s="47"/>
      <c r="DO429" s="47"/>
      <c r="DP429" s="47"/>
      <c r="DQ429" s="47"/>
    </row>
    <row r="430">
      <c r="CU430" s="47"/>
      <c r="CV430" s="47"/>
      <c r="CW430" s="47"/>
      <c r="CX430" s="47"/>
      <c r="CY430" s="47"/>
      <c r="DD430" s="47"/>
      <c r="DE430" s="47"/>
      <c r="DF430" s="47"/>
      <c r="DG430" s="47"/>
      <c r="DH430" s="47"/>
      <c r="DL430" s="47"/>
      <c r="DM430" s="47"/>
      <c r="DN430" s="47"/>
      <c r="DO430" s="47"/>
      <c r="DP430" s="47"/>
      <c r="DQ430" s="47"/>
    </row>
    <row r="431">
      <c r="CU431" s="47"/>
      <c r="CV431" s="47"/>
      <c r="CW431" s="47"/>
      <c r="CX431" s="47"/>
      <c r="CY431" s="47"/>
      <c r="DD431" s="47"/>
      <c r="DE431" s="47"/>
      <c r="DF431" s="47"/>
      <c r="DG431" s="47"/>
      <c r="DH431" s="47"/>
      <c r="DL431" s="47"/>
      <c r="DM431" s="47"/>
      <c r="DN431" s="47"/>
      <c r="DO431" s="47"/>
      <c r="DP431" s="47"/>
      <c r="DQ431" s="47"/>
    </row>
    <row r="432">
      <c r="CU432" s="47"/>
      <c r="CV432" s="47"/>
      <c r="CW432" s="47"/>
      <c r="CX432" s="47"/>
      <c r="CY432" s="47"/>
      <c r="DD432" s="47"/>
      <c r="DE432" s="47"/>
      <c r="DF432" s="47"/>
      <c r="DG432" s="47"/>
      <c r="DH432" s="47"/>
      <c r="DL432" s="47"/>
      <c r="DM432" s="47"/>
      <c r="DN432" s="47"/>
      <c r="DO432" s="47"/>
      <c r="DP432" s="47"/>
      <c r="DQ432" s="47"/>
    </row>
    <row r="433">
      <c r="CU433" s="47"/>
      <c r="CV433" s="47"/>
      <c r="CW433" s="47"/>
      <c r="CX433" s="47"/>
      <c r="CY433" s="47"/>
      <c r="DD433" s="47"/>
      <c r="DE433" s="47"/>
      <c r="DF433" s="47"/>
      <c r="DG433" s="47"/>
      <c r="DH433" s="47"/>
      <c r="DL433" s="47"/>
      <c r="DM433" s="47"/>
      <c r="DN433" s="47"/>
      <c r="DO433" s="47"/>
      <c r="DP433" s="47"/>
      <c r="DQ433" s="47"/>
    </row>
    <row r="434">
      <c r="CU434" s="47"/>
      <c r="CV434" s="47"/>
      <c r="CW434" s="47"/>
      <c r="CX434" s="47"/>
      <c r="CY434" s="47"/>
      <c r="DD434" s="47"/>
      <c r="DE434" s="47"/>
      <c r="DF434" s="47"/>
      <c r="DG434" s="47"/>
      <c r="DH434" s="47"/>
      <c r="DL434" s="47"/>
      <c r="DM434" s="47"/>
      <c r="DN434" s="47"/>
      <c r="DO434" s="47"/>
      <c r="DP434" s="47"/>
      <c r="DQ434" s="47"/>
    </row>
    <row r="435">
      <c r="CU435" s="47"/>
      <c r="CV435" s="47"/>
      <c r="CW435" s="47"/>
      <c r="CX435" s="47"/>
      <c r="CY435" s="47"/>
      <c r="DD435" s="47"/>
      <c r="DE435" s="47"/>
      <c r="DF435" s="47"/>
      <c r="DG435" s="47"/>
      <c r="DH435" s="47"/>
      <c r="DL435" s="47"/>
      <c r="DM435" s="47"/>
      <c r="DN435" s="47"/>
      <c r="DO435" s="47"/>
      <c r="DP435" s="47"/>
      <c r="DQ435" s="47"/>
    </row>
    <row r="436">
      <c r="CU436" s="47"/>
      <c r="CV436" s="47"/>
      <c r="CW436" s="47"/>
      <c r="CX436" s="47"/>
      <c r="CY436" s="47"/>
      <c r="DD436" s="47"/>
      <c r="DE436" s="47"/>
      <c r="DF436" s="47"/>
      <c r="DG436" s="47"/>
      <c r="DH436" s="47"/>
      <c r="DL436" s="47"/>
      <c r="DM436" s="47"/>
      <c r="DN436" s="47"/>
      <c r="DO436" s="47"/>
      <c r="DP436" s="47"/>
      <c r="DQ436" s="47"/>
    </row>
    <row r="437">
      <c r="CU437" s="47"/>
      <c r="CV437" s="47"/>
      <c r="CW437" s="47"/>
      <c r="CX437" s="47"/>
      <c r="CY437" s="47"/>
      <c r="DD437" s="47"/>
      <c r="DE437" s="47"/>
      <c r="DF437" s="47"/>
      <c r="DG437" s="47"/>
      <c r="DH437" s="47"/>
      <c r="DL437" s="47"/>
      <c r="DM437" s="47"/>
      <c r="DN437" s="47"/>
      <c r="DO437" s="47"/>
      <c r="DP437" s="47"/>
      <c r="DQ437" s="47"/>
    </row>
    <row r="438">
      <c r="CU438" s="47"/>
      <c r="CV438" s="47"/>
      <c r="CW438" s="47"/>
      <c r="CX438" s="47"/>
      <c r="CY438" s="47"/>
      <c r="DD438" s="47"/>
      <c r="DE438" s="47"/>
      <c r="DF438" s="47"/>
      <c r="DG438" s="47"/>
      <c r="DH438" s="47"/>
      <c r="DL438" s="47"/>
      <c r="DM438" s="47"/>
      <c r="DN438" s="47"/>
      <c r="DO438" s="47"/>
      <c r="DP438" s="47"/>
      <c r="DQ438" s="47"/>
    </row>
    <row r="439">
      <c r="CU439" s="47"/>
      <c r="CV439" s="47"/>
      <c r="CW439" s="47"/>
      <c r="CX439" s="47"/>
      <c r="CY439" s="47"/>
      <c r="DD439" s="47"/>
      <c r="DE439" s="47"/>
      <c r="DF439" s="47"/>
      <c r="DG439" s="47"/>
      <c r="DH439" s="47"/>
      <c r="DL439" s="47"/>
      <c r="DM439" s="47"/>
      <c r="DN439" s="47"/>
      <c r="DO439" s="47"/>
      <c r="DP439" s="47"/>
      <c r="DQ439" s="47"/>
    </row>
    <row r="440">
      <c r="CU440" s="47"/>
      <c r="CV440" s="47"/>
      <c r="CW440" s="47"/>
      <c r="CX440" s="47"/>
      <c r="CY440" s="47"/>
      <c r="DD440" s="47"/>
      <c r="DE440" s="47"/>
      <c r="DF440" s="47"/>
      <c r="DG440" s="47"/>
      <c r="DH440" s="47"/>
      <c r="DL440" s="47"/>
      <c r="DM440" s="47"/>
      <c r="DN440" s="47"/>
      <c r="DO440" s="47"/>
      <c r="DP440" s="47"/>
      <c r="DQ440" s="47"/>
    </row>
    <row r="441">
      <c r="CU441" s="47"/>
      <c r="CV441" s="47"/>
      <c r="CW441" s="47"/>
      <c r="CX441" s="47"/>
      <c r="CY441" s="47"/>
      <c r="DD441" s="47"/>
      <c r="DE441" s="47"/>
      <c r="DF441" s="47"/>
      <c r="DG441" s="47"/>
      <c r="DH441" s="47"/>
      <c r="DL441" s="47"/>
      <c r="DM441" s="47"/>
      <c r="DN441" s="47"/>
      <c r="DO441" s="47"/>
      <c r="DP441" s="47"/>
      <c r="DQ441" s="47"/>
    </row>
    <row r="442">
      <c r="CU442" s="47"/>
      <c r="CV442" s="47"/>
      <c r="CW442" s="47"/>
      <c r="CX442" s="47"/>
      <c r="CY442" s="47"/>
      <c r="DD442" s="47"/>
      <c r="DE442" s="47"/>
      <c r="DF442" s="47"/>
      <c r="DG442" s="47"/>
      <c r="DH442" s="47"/>
      <c r="DL442" s="47"/>
      <c r="DM442" s="47"/>
      <c r="DN442" s="47"/>
      <c r="DO442" s="47"/>
      <c r="DP442" s="47"/>
      <c r="DQ442" s="47"/>
    </row>
    <row r="443">
      <c r="CU443" s="47"/>
      <c r="CV443" s="47"/>
      <c r="CW443" s="47"/>
      <c r="CX443" s="47"/>
      <c r="CY443" s="47"/>
      <c r="DD443" s="47"/>
      <c r="DE443" s="47"/>
      <c r="DF443" s="47"/>
      <c r="DG443" s="47"/>
      <c r="DH443" s="47"/>
      <c r="DL443" s="47"/>
      <c r="DM443" s="47"/>
      <c r="DN443" s="47"/>
      <c r="DO443" s="47"/>
      <c r="DP443" s="47"/>
      <c r="DQ443" s="47"/>
    </row>
    <row r="444">
      <c r="CU444" s="47"/>
      <c r="CV444" s="47"/>
      <c r="CW444" s="47"/>
      <c r="CX444" s="47"/>
      <c r="CY444" s="47"/>
      <c r="DD444" s="47"/>
      <c r="DE444" s="47"/>
      <c r="DF444" s="47"/>
      <c r="DG444" s="47"/>
      <c r="DH444" s="47"/>
      <c r="DL444" s="47"/>
      <c r="DM444" s="47"/>
      <c r="DN444" s="47"/>
      <c r="DO444" s="47"/>
      <c r="DP444" s="47"/>
      <c r="DQ444" s="47"/>
    </row>
    <row r="445">
      <c r="CU445" s="47"/>
      <c r="CV445" s="47"/>
      <c r="CW445" s="47"/>
      <c r="CX445" s="47"/>
      <c r="CY445" s="47"/>
      <c r="DD445" s="47"/>
      <c r="DE445" s="47"/>
      <c r="DF445" s="47"/>
      <c r="DG445" s="47"/>
      <c r="DH445" s="47"/>
      <c r="DL445" s="47"/>
      <c r="DM445" s="47"/>
      <c r="DN445" s="47"/>
      <c r="DO445" s="47"/>
      <c r="DP445" s="47"/>
      <c r="DQ445" s="47"/>
    </row>
    <row r="446">
      <c r="CU446" s="47"/>
      <c r="CV446" s="47"/>
      <c r="CW446" s="47"/>
      <c r="CX446" s="47"/>
      <c r="CY446" s="47"/>
      <c r="DD446" s="47"/>
      <c r="DE446" s="47"/>
      <c r="DF446" s="47"/>
      <c r="DG446" s="47"/>
      <c r="DH446" s="47"/>
      <c r="DL446" s="47"/>
      <c r="DM446" s="47"/>
      <c r="DN446" s="47"/>
      <c r="DO446" s="47"/>
      <c r="DP446" s="47"/>
      <c r="DQ446" s="47"/>
    </row>
    <row r="447">
      <c r="CU447" s="47"/>
      <c r="CV447" s="47"/>
      <c r="CW447" s="47"/>
      <c r="CX447" s="47"/>
      <c r="CY447" s="47"/>
      <c r="DD447" s="47"/>
      <c r="DE447" s="47"/>
      <c r="DF447" s="47"/>
      <c r="DG447" s="47"/>
      <c r="DH447" s="47"/>
      <c r="DL447" s="47"/>
      <c r="DM447" s="47"/>
      <c r="DN447" s="47"/>
      <c r="DO447" s="47"/>
      <c r="DP447" s="47"/>
      <c r="DQ447" s="47"/>
    </row>
    <row r="448">
      <c r="CU448" s="47"/>
      <c r="CV448" s="47"/>
      <c r="CW448" s="47"/>
      <c r="CX448" s="47"/>
      <c r="CY448" s="47"/>
      <c r="DD448" s="47"/>
      <c r="DE448" s="47"/>
      <c r="DF448" s="47"/>
      <c r="DG448" s="47"/>
      <c r="DH448" s="47"/>
      <c r="DL448" s="47"/>
      <c r="DM448" s="47"/>
      <c r="DN448" s="47"/>
      <c r="DO448" s="47"/>
      <c r="DP448" s="47"/>
      <c r="DQ448" s="47"/>
    </row>
    <row r="449">
      <c r="CU449" s="47"/>
      <c r="CV449" s="47"/>
      <c r="CW449" s="47"/>
      <c r="CX449" s="47"/>
      <c r="CY449" s="47"/>
      <c r="DD449" s="47"/>
      <c r="DE449" s="47"/>
      <c r="DF449" s="47"/>
      <c r="DG449" s="47"/>
      <c r="DH449" s="47"/>
      <c r="DL449" s="47"/>
      <c r="DM449" s="47"/>
      <c r="DN449" s="47"/>
      <c r="DO449" s="47"/>
      <c r="DP449" s="47"/>
      <c r="DQ449" s="47"/>
    </row>
    <row r="450">
      <c r="CU450" s="47"/>
      <c r="CV450" s="47"/>
      <c r="CW450" s="47"/>
      <c r="CX450" s="47"/>
      <c r="CY450" s="47"/>
      <c r="DD450" s="47"/>
      <c r="DE450" s="47"/>
      <c r="DF450" s="47"/>
      <c r="DG450" s="47"/>
      <c r="DH450" s="47"/>
      <c r="DL450" s="47"/>
      <c r="DM450" s="47"/>
      <c r="DN450" s="47"/>
      <c r="DO450" s="47"/>
      <c r="DP450" s="47"/>
      <c r="DQ450" s="47"/>
    </row>
    <row r="451">
      <c r="CU451" s="47"/>
      <c r="CV451" s="47"/>
      <c r="CW451" s="47"/>
      <c r="CX451" s="47"/>
      <c r="CY451" s="47"/>
      <c r="DD451" s="47"/>
      <c r="DE451" s="47"/>
      <c r="DF451" s="47"/>
      <c r="DG451" s="47"/>
      <c r="DH451" s="47"/>
      <c r="DL451" s="47"/>
      <c r="DM451" s="47"/>
      <c r="DN451" s="47"/>
      <c r="DO451" s="47"/>
      <c r="DP451" s="47"/>
      <c r="DQ451" s="47"/>
    </row>
    <row r="452">
      <c r="CU452" s="47"/>
      <c r="CV452" s="47"/>
      <c r="CW452" s="47"/>
      <c r="CX452" s="47"/>
      <c r="CY452" s="47"/>
      <c r="DD452" s="47"/>
      <c r="DE452" s="47"/>
      <c r="DF452" s="47"/>
      <c r="DG452" s="47"/>
      <c r="DH452" s="47"/>
      <c r="DL452" s="47"/>
      <c r="DM452" s="47"/>
      <c r="DN452" s="47"/>
      <c r="DO452" s="47"/>
      <c r="DP452" s="47"/>
      <c r="DQ452" s="47"/>
    </row>
    <row r="453">
      <c r="CU453" s="47"/>
      <c r="CV453" s="47"/>
      <c r="CW453" s="47"/>
      <c r="CX453" s="47"/>
      <c r="CY453" s="47"/>
      <c r="DD453" s="47"/>
      <c r="DE453" s="47"/>
      <c r="DF453" s="47"/>
      <c r="DG453" s="47"/>
      <c r="DH453" s="47"/>
      <c r="DL453" s="47"/>
      <c r="DM453" s="47"/>
      <c r="DN453" s="47"/>
      <c r="DO453" s="47"/>
      <c r="DP453" s="47"/>
      <c r="DQ453" s="47"/>
    </row>
    <row r="454">
      <c r="CU454" s="47"/>
      <c r="CV454" s="47"/>
      <c r="CW454" s="47"/>
      <c r="CX454" s="47"/>
      <c r="CY454" s="47"/>
      <c r="DD454" s="47"/>
      <c r="DE454" s="47"/>
      <c r="DF454" s="47"/>
      <c r="DG454" s="47"/>
      <c r="DH454" s="47"/>
      <c r="DL454" s="47"/>
      <c r="DM454" s="47"/>
      <c r="DN454" s="47"/>
      <c r="DO454" s="47"/>
      <c r="DP454" s="47"/>
      <c r="DQ454" s="47"/>
    </row>
    <row r="455">
      <c r="CU455" s="47"/>
      <c r="CV455" s="47"/>
      <c r="CW455" s="47"/>
      <c r="CX455" s="47"/>
      <c r="CY455" s="47"/>
      <c r="DD455" s="47"/>
      <c r="DE455" s="47"/>
      <c r="DF455" s="47"/>
      <c r="DG455" s="47"/>
      <c r="DH455" s="47"/>
      <c r="DL455" s="47"/>
      <c r="DM455" s="47"/>
      <c r="DN455" s="47"/>
      <c r="DO455" s="47"/>
      <c r="DP455" s="47"/>
      <c r="DQ455" s="47"/>
    </row>
    <row r="456">
      <c r="CU456" s="47"/>
      <c r="CV456" s="47"/>
      <c r="CW456" s="47"/>
      <c r="CX456" s="47"/>
      <c r="CY456" s="47"/>
      <c r="DD456" s="47"/>
      <c r="DE456" s="47"/>
      <c r="DF456" s="47"/>
      <c r="DG456" s="47"/>
      <c r="DH456" s="47"/>
      <c r="DL456" s="47"/>
      <c r="DM456" s="47"/>
      <c r="DN456" s="47"/>
      <c r="DO456" s="47"/>
      <c r="DP456" s="47"/>
      <c r="DQ456" s="47"/>
    </row>
    <row r="457">
      <c r="CU457" s="47"/>
      <c r="CV457" s="47"/>
      <c r="CW457" s="47"/>
      <c r="CX457" s="47"/>
      <c r="CY457" s="47"/>
      <c r="DD457" s="47"/>
      <c r="DE457" s="47"/>
      <c r="DF457" s="47"/>
      <c r="DG457" s="47"/>
      <c r="DH457" s="47"/>
      <c r="DL457" s="47"/>
      <c r="DM457" s="47"/>
      <c r="DN457" s="47"/>
      <c r="DO457" s="47"/>
      <c r="DP457" s="47"/>
      <c r="DQ457" s="47"/>
    </row>
    <row r="458">
      <c r="CU458" s="47"/>
      <c r="CV458" s="47"/>
      <c r="CW458" s="47"/>
      <c r="CX458" s="47"/>
      <c r="CY458" s="47"/>
      <c r="DD458" s="47"/>
      <c r="DE458" s="47"/>
      <c r="DF458" s="47"/>
      <c r="DG458" s="47"/>
      <c r="DH458" s="47"/>
      <c r="DL458" s="47"/>
      <c r="DM458" s="47"/>
      <c r="DN458" s="47"/>
      <c r="DO458" s="47"/>
      <c r="DP458" s="47"/>
      <c r="DQ458" s="47"/>
    </row>
    <row r="459">
      <c r="CU459" s="47"/>
      <c r="CV459" s="47"/>
      <c r="CW459" s="47"/>
      <c r="CX459" s="47"/>
      <c r="CY459" s="47"/>
      <c r="DD459" s="47"/>
      <c r="DE459" s="47"/>
      <c r="DF459" s="47"/>
      <c r="DG459" s="47"/>
      <c r="DH459" s="47"/>
      <c r="DL459" s="47"/>
      <c r="DM459" s="47"/>
      <c r="DN459" s="47"/>
      <c r="DO459" s="47"/>
      <c r="DP459" s="47"/>
      <c r="DQ459" s="47"/>
    </row>
    <row r="460">
      <c r="CU460" s="47"/>
      <c r="CV460" s="47"/>
      <c r="CW460" s="47"/>
      <c r="CX460" s="47"/>
      <c r="CY460" s="47"/>
      <c r="DD460" s="47"/>
      <c r="DE460" s="47"/>
      <c r="DF460" s="47"/>
      <c r="DG460" s="47"/>
      <c r="DH460" s="47"/>
      <c r="DL460" s="47"/>
      <c r="DM460" s="47"/>
      <c r="DN460" s="47"/>
      <c r="DO460" s="47"/>
      <c r="DP460" s="47"/>
      <c r="DQ460" s="47"/>
    </row>
    <row r="461">
      <c r="CU461" s="47"/>
      <c r="CV461" s="47"/>
      <c r="CW461" s="47"/>
      <c r="CX461" s="47"/>
      <c r="CY461" s="47"/>
      <c r="DD461" s="47"/>
      <c r="DE461" s="47"/>
      <c r="DF461" s="47"/>
      <c r="DG461" s="47"/>
      <c r="DH461" s="47"/>
      <c r="DL461" s="47"/>
      <c r="DM461" s="47"/>
      <c r="DN461" s="47"/>
      <c r="DO461" s="47"/>
      <c r="DP461" s="47"/>
      <c r="DQ461" s="47"/>
    </row>
    <row r="462">
      <c r="CU462" s="47"/>
      <c r="CV462" s="47"/>
      <c r="CW462" s="47"/>
      <c r="CX462" s="47"/>
      <c r="CY462" s="47"/>
      <c r="DD462" s="47"/>
      <c r="DE462" s="47"/>
      <c r="DF462" s="47"/>
      <c r="DG462" s="47"/>
      <c r="DH462" s="47"/>
      <c r="DL462" s="47"/>
      <c r="DM462" s="47"/>
      <c r="DN462" s="47"/>
      <c r="DO462" s="47"/>
      <c r="DP462" s="47"/>
      <c r="DQ462" s="47"/>
    </row>
    <row r="463">
      <c r="CU463" s="47"/>
      <c r="CV463" s="47"/>
      <c r="CW463" s="47"/>
      <c r="CX463" s="47"/>
      <c r="CY463" s="47"/>
      <c r="DD463" s="47"/>
      <c r="DE463" s="47"/>
      <c r="DF463" s="47"/>
      <c r="DG463" s="47"/>
      <c r="DH463" s="47"/>
      <c r="DL463" s="47"/>
      <c r="DM463" s="47"/>
      <c r="DN463" s="47"/>
      <c r="DO463" s="47"/>
      <c r="DP463" s="47"/>
      <c r="DQ463" s="47"/>
    </row>
    <row r="464">
      <c r="CU464" s="47"/>
      <c r="CV464" s="47"/>
      <c r="CW464" s="47"/>
      <c r="CX464" s="47"/>
      <c r="CY464" s="47"/>
      <c r="DD464" s="47"/>
      <c r="DE464" s="47"/>
      <c r="DF464" s="47"/>
      <c r="DG464" s="47"/>
      <c r="DH464" s="47"/>
      <c r="DL464" s="47"/>
      <c r="DM464" s="47"/>
      <c r="DN464" s="47"/>
      <c r="DO464" s="47"/>
      <c r="DP464" s="47"/>
      <c r="DQ464" s="47"/>
    </row>
    <row r="465">
      <c r="CU465" s="47"/>
      <c r="CV465" s="47"/>
      <c r="CW465" s="47"/>
      <c r="CX465" s="47"/>
      <c r="CY465" s="47"/>
      <c r="DD465" s="47"/>
      <c r="DE465" s="47"/>
      <c r="DF465" s="47"/>
      <c r="DG465" s="47"/>
      <c r="DH465" s="47"/>
      <c r="DL465" s="47"/>
      <c r="DM465" s="47"/>
      <c r="DN465" s="47"/>
      <c r="DO465" s="47"/>
      <c r="DP465" s="47"/>
      <c r="DQ465" s="47"/>
    </row>
    <row r="466">
      <c r="CU466" s="47"/>
      <c r="CV466" s="47"/>
      <c r="CW466" s="47"/>
      <c r="CX466" s="47"/>
      <c r="CY466" s="47"/>
      <c r="DD466" s="47"/>
      <c r="DE466" s="47"/>
      <c r="DF466" s="47"/>
      <c r="DG466" s="47"/>
      <c r="DH466" s="47"/>
      <c r="DL466" s="47"/>
      <c r="DM466" s="47"/>
      <c r="DN466" s="47"/>
      <c r="DO466" s="47"/>
      <c r="DP466" s="47"/>
      <c r="DQ466" s="47"/>
    </row>
    <row r="467">
      <c r="CU467" s="47"/>
      <c r="CV467" s="47"/>
      <c r="CW467" s="47"/>
      <c r="CX467" s="47"/>
      <c r="CY467" s="47"/>
      <c r="DD467" s="47"/>
      <c r="DE467" s="47"/>
      <c r="DF467" s="47"/>
      <c r="DG467" s="47"/>
      <c r="DH467" s="47"/>
      <c r="DL467" s="47"/>
      <c r="DM467" s="47"/>
      <c r="DN467" s="47"/>
      <c r="DO467" s="47"/>
      <c r="DP467" s="47"/>
      <c r="DQ467" s="47"/>
    </row>
    <row r="468">
      <c r="CU468" s="47"/>
      <c r="CV468" s="47"/>
      <c r="CW468" s="47"/>
      <c r="CX468" s="47"/>
      <c r="CY468" s="47"/>
      <c r="DD468" s="47"/>
      <c r="DE468" s="47"/>
      <c r="DF468" s="47"/>
      <c r="DG468" s="47"/>
      <c r="DH468" s="47"/>
      <c r="DL468" s="47"/>
      <c r="DM468" s="47"/>
      <c r="DN468" s="47"/>
      <c r="DO468" s="47"/>
      <c r="DP468" s="47"/>
      <c r="DQ468" s="47"/>
    </row>
    <row r="469">
      <c r="CU469" s="47"/>
      <c r="CV469" s="47"/>
      <c r="CW469" s="47"/>
      <c r="CX469" s="47"/>
      <c r="CY469" s="47"/>
      <c r="DD469" s="47"/>
      <c r="DE469" s="47"/>
      <c r="DF469" s="47"/>
      <c r="DG469" s="47"/>
      <c r="DH469" s="47"/>
      <c r="DL469" s="47"/>
      <c r="DM469" s="47"/>
      <c r="DN469" s="47"/>
      <c r="DO469" s="47"/>
      <c r="DP469" s="47"/>
      <c r="DQ469" s="47"/>
    </row>
    <row r="470">
      <c r="CU470" s="47"/>
      <c r="CV470" s="47"/>
      <c r="CW470" s="47"/>
      <c r="CX470" s="47"/>
      <c r="CY470" s="47"/>
      <c r="DD470" s="47"/>
      <c r="DE470" s="47"/>
      <c r="DF470" s="47"/>
      <c r="DG470" s="47"/>
      <c r="DH470" s="47"/>
      <c r="DL470" s="47"/>
      <c r="DM470" s="47"/>
      <c r="DN470" s="47"/>
      <c r="DO470" s="47"/>
      <c r="DP470" s="47"/>
      <c r="DQ470" s="47"/>
    </row>
    <row r="471">
      <c r="CU471" s="47"/>
      <c r="CV471" s="47"/>
      <c r="CW471" s="47"/>
      <c r="CX471" s="47"/>
      <c r="CY471" s="47"/>
      <c r="DD471" s="47"/>
      <c r="DE471" s="47"/>
      <c r="DF471" s="47"/>
      <c r="DG471" s="47"/>
      <c r="DH471" s="47"/>
      <c r="DL471" s="47"/>
      <c r="DM471" s="47"/>
      <c r="DN471" s="47"/>
      <c r="DO471" s="47"/>
      <c r="DP471" s="47"/>
      <c r="DQ471" s="47"/>
    </row>
    <row r="472">
      <c r="CU472" s="47"/>
      <c r="CV472" s="47"/>
      <c r="CW472" s="47"/>
      <c r="CX472" s="47"/>
      <c r="CY472" s="47"/>
      <c r="DD472" s="47"/>
      <c r="DE472" s="47"/>
      <c r="DF472" s="47"/>
      <c r="DG472" s="47"/>
      <c r="DH472" s="47"/>
      <c r="DL472" s="47"/>
      <c r="DM472" s="47"/>
      <c r="DN472" s="47"/>
      <c r="DO472" s="47"/>
      <c r="DP472" s="47"/>
      <c r="DQ472" s="47"/>
    </row>
    <row r="473">
      <c r="CU473" s="47"/>
      <c r="CV473" s="47"/>
      <c r="CW473" s="47"/>
      <c r="CX473" s="47"/>
      <c r="CY473" s="47"/>
      <c r="DD473" s="47"/>
      <c r="DE473" s="47"/>
      <c r="DF473" s="47"/>
      <c r="DG473" s="47"/>
      <c r="DH473" s="47"/>
      <c r="DL473" s="47"/>
      <c r="DM473" s="47"/>
      <c r="DN473" s="47"/>
      <c r="DO473" s="47"/>
      <c r="DP473" s="47"/>
      <c r="DQ473" s="47"/>
    </row>
    <row r="474">
      <c r="CU474" s="47"/>
      <c r="CV474" s="47"/>
      <c r="CW474" s="47"/>
      <c r="CX474" s="47"/>
      <c r="CY474" s="47"/>
      <c r="DD474" s="47"/>
      <c r="DE474" s="47"/>
      <c r="DF474" s="47"/>
      <c r="DG474" s="47"/>
      <c r="DH474" s="47"/>
      <c r="DL474" s="47"/>
      <c r="DM474" s="47"/>
      <c r="DN474" s="47"/>
      <c r="DO474" s="47"/>
      <c r="DP474" s="47"/>
      <c r="DQ474" s="47"/>
    </row>
    <row r="475">
      <c r="CU475" s="47"/>
      <c r="CV475" s="47"/>
      <c r="CW475" s="47"/>
      <c r="CX475" s="47"/>
      <c r="CY475" s="47"/>
      <c r="DD475" s="47"/>
      <c r="DE475" s="47"/>
      <c r="DF475" s="47"/>
      <c r="DG475" s="47"/>
      <c r="DH475" s="47"/>
      <c r="DL475" s="47"/>
      <c r="DM475" s="47"/>
      <c r="DN475" s="47"/>
      <c r="DO475" s="47"/>
      <c r="DP475" s="47"/>
      <c r="DQ475" s="47"/>
    </row>
    <row r="476">
      <c r="CU476" s="47"/>
      <c r="CV476" s="47"/>
      <c r="CW476" s="47"/>
      <c r="CX476" s="47"/>
      <c r="CY476" s="47"/>
      <c r="DD476" s="47"/>
      <c r="DE476" s="47"/>
      <c r="DF476" s="47"/>
      <c r="DG476" s="47"/>
      <c r="DH476" s="47"/>
      <c r="DL476" s="47"/>
      <c r="DM476" s="47"/>
      <c r="DN476" s="47"/>
      <c r="DO476" s="47"/>
      <c r="DP476" s="47"/>
      <c r="DQ476" s="47"/>
    </row>
    <row r="477">
      <c r="CU477" s="47"/>
      <c r="CV477" s="47"/>
      <c r="CW477" s="47"/>
      <c r="CX477" s="47"/>
      <c r="CY477" s="47"/>
      <c r="DD477" s="47"/>
      <c r="DE477" s="47"/>
      <c r="DF477" s="47"/>
      <c r="DG477" s="47"/>
      <c r="DH477" s="47"/>
      <c r="DL477" s="47"/>
      <c r="DM477" s="47"/>
      <c r="DN477" s="47"/>
      <c r="DO477" s="47"/>
      <c r="DP477" s="47"/>
      <c r="DQ477" s="47"/>
    </row>
    <row r="478">
      <c r="CU478" s="47"/>
      <c r="CV478" s="47"/>
      <c r="CW478" s="47"/>
      <c r="CX478" s="47"/>
      <c r="CY478" s="47"/>
      <c r="DD478" s="47"/>
      <c r="DE478" s="47"/>
      <c r="DF478" s="47"/>
      <c r="DG478" s="47"/>
      <c r="DH478" s="47"/>
      <c r="DL478" s="47"/>
      <c r="DM478" s="47"/>
      <c r="DN478" s="47"/>
      <c r="DO478" s="47"/>
      <c r="DP478" s="47"/>
      <c r="DQ478" s="47"/>
    </row>
    <row r="479">
      <c r="CU479" s="47"/>
      <c r="CV479" s="47"/>
      <c r="CW479" s="47"/>
      <c r="CX479" s="47"/>
      <c r="CY479" s="47"/>
      <c r="DD479" s="47"/>
      <c r="DE479" s="47"/>
      <c r="DF479" s="47"/>
      <c r="DG479" s="47"/>
      <c r="DH479" s="47"/>
      <c r="DL479" s="47"/>
      <c r="DM479" s="47"/>
      <c r="DN479" s="47"/>
      <c r="DO479" s="47"/>
      <c r="DP479" s="47"/>
      <c r="DQ479" s="47"/>
    </row>
    <row r="480">
      <c r="CU480" s="47"/>
      <c r="CV480" s="47"/>
      <c r="CW480" s="47"/>
      <c r="CX480" s="47"/>
      <c r="CY480" s="47"/>
      <c r="DD480" s="47"/>
      <c r="DE480" s="47"/>
      <c r="DF480" s="47"/>
      <c r="DG480" s="47"/>
      <c r="DH480" s="47"/>
      <c r="DL480" s="47"/>
      <c r="DM480" s="47"/>
      <c r="DN480" s="47"/>
      <c r="DO480" s="47"/>
      <c r="DP480" s="47"/>
      <c r="DQ480" s="47"/>
    </row>
    <row r="481">
      <c r="CU481" s="47"/>
      <c r="CV481" s="47"/>
      <c r="CW481" s="47"/>
      <c r="CX481" s="47"/>
      <c r="CY481" s="47"/>
      <c r="DD481" s="47"/>
      <c r="DE481" s="47"/>
      <c r="DF481" s="47"/>
      <c r="DG481" s="47"/>
      <c r="DH481" s="47"/>
      <c r="DL481" s="47"/>
      <c r="DM481" s="47"/>
      <c r="DN481" s="47"/>
      <c r="DO481" s="47"/>
      <c r="DP481" s="47"/>
      <c r="DQ481" s="47"/>
    </row>
    <row r="482">
      <c r="CU482" s="47"/>
      <c r="CV482" s="47"/>
      <c r="CW482" s="47"/>
      <c r="CX482" s="47"/>
      <c r="CY482" s="47"/>
      <c r="DD482" s="47"/>
      <c r="DE482" s="47"/>
      <c r="DF482" s="47"/>
      <c r="DG482" s="47"/>
      <c r="DH482" s="47"/>
      <c r="DL482" s="47"/>
      <c r="DM482" s="47"/>
      <c r="DN482" s="47"/>
      <c r="DO482" s="47"/>
      <c r="DP482" s="47"/>
      <c r="DQ482" s="47"/>
    </row>
    <row r="483">
      <c r="CU483" s="47"/>
      <c r="CV483" s="47"/>
      <c r="CW483" s="47"/>
      <c r="CX483" s="47"/>
      <c r="CY483" s="47"/>
      <c r="DD483" s="47"/>
      <c r="DE483" s="47"/>
      <c r="DF483" s="47"/>
      <c r="DG483" s="47"/>
      <c r="DH483" s="47"/>
      <c r="DL483" s="47"/>
      <c r="DM483" s="47"/>
      <c r="DN483" s="47"/>
      <c r="DO483" s="47"/>
      <c r="DP483" s="47"/>
      <c r="DQ483" s="47"/>
    </row>
    <row r="484">
      <c r="CU484" s="47"/>
      <c r="CV484" s="47"/>
      <c r="CW484" s="47"/>
      <c r="CX484" s="47"/>
      <c r="CY484" s="47"/>
      <c r="DD484" s="47"/>
      <c r="DE484" s="47"/>
      <c r="DF484" s="47"/>
      <c r="DG484" s="47"/>
      <c r="DH484" s="47"/>
      <c r="DL484" s="47"/>
      <c r="DM484" s="47"/>
      <c r="DN484" s="47"/>
      <c r="DO484" s="47"/>
      <c r="DP484" s="47"/>
      <c r="DQ484" s="47"/>
    </row>
    <row r="485">
      <c r="CU485" s="47"/>
      <c r="CV485" s="47"/>
      <c r="CW485" s="47"/>
      <c r="CX485" s="47"/>
      <c r="CY485" s="47"/>
      <c r="DD485" s="47"/>
      <c r="DE485" s="47"/>
      <c r="DF485" s="47"/>
      <c r="DG485" s="47"/>
      <c r="DH485" s="47"/>
      <c r="DL485" s="47"/>
      <c r="DM485" s="47"/>
      <c r="DN485" s="47"/>
      <c r="DO485" s="47"/>
      <c r="DP485" s="47"/>
      <c r="DQ485" s="47"/>
    </row>
    <row r="486">
      <c r="CU486" s="47"/>
      <c r="CV486" s="47"/>
      <c r="CW486" s="47"/>
      <c r="CX486" s="47"/>
      <c r="CY486" s="47"/>
      <c r="DD486" s="47"/>
      <c r="DE486" s="47"/>
      <c r="DF486" s="47"/>
      <c r="DG486" s="47"/>
      <c r="DH486" s="47"/>
      <c r="DL486" s="47"/>
      <c r="DM486" s="47"/>
      <c r="DN486" s="47"/>
      <c r="DO486" s="47"/>
      <c r="DP486" s="47"/>
      <c r="DQ486" s="47"/>
    </row>
    <row r="487">
      <c r="CU487" s="47"/>
      <c r="CV487" s="47"/>
      <c r="CW487" s="47"/>
      <c r="CX487" s="47"/>
      <c r="CY487" s="47"/>
      <c r="DD487" s="47"/>
      <c r="DE487" s="47"/>
      <c r="DF487" s="47"/>
      <c r="DG487" s="47"/>
      <c r="DH487" s="47"/>
      <c r="DL487" s="47"/>
      <c r="DM487" s="47"/>
      <c r="DN487" s="47"/>
      <c r="DO487" s="47"/>
      <c r="DP487" s="47"/>
      <c r="DQ487" s="47"/>
    </row>
    <row r="488">
      <c r="CU488" s="47"/>
      <c r="CV488" s="47"/>
      <c r="CW488" s="47"/>
      <c r="CX488" s="47"/>
      <c r="CY488" s="47"/>
      <c r="DD488" s="47"/>
      <c r="DE488" s="47"/>
      <c r="DF488" s="47"/>
      <c r="DG488" s="47"/>
      <c r="DH488" s="47"/>
      <c r="DL488" s="47"/>
      <c r="DM488" s="47"/>
      <c r="DN488" s="47"/>
      <c r="DO488" s="47"/>
      <c r="DP488" s="47"/>
      <c r="DQ488" s="47"/>
    </row>
    <row r="489">
      <c r="CU489" s="47"/>
      <c r="CV489" s="47"/>
      <c r="CW489" s="47"/>
      <c r="CX489" s="47"/>
      <c r="CY489" s="47"/>
      <c r="DD489" s="47"/>
      <c r="DE489" s="47"/>
      <c r="DF489" s="47"/>
      <c r="DG489" s="47"/>
      <c r="DH489" s="47"/>
      <c r="DL489" s="47"/>
      <c r="DM489" s="47"/>
      <c r="DN489" s="47"/>
      <c r="DO489" s="47"/>
      <c r="DP489" s="47"/>
      <c r="DQ489" s="47"/>
    </row>
    <row r="490">
      <c r="CU490" s="47"/>
      <c r="CV490" s="47"/>
      <c r="CW490" s="47"/>
      <c r="CX490" s="47"/>
      <c r="CY490" s="47"/>
      <c r="DD490" s="47"/>
      <c r="DE490" s="47"/>
      <c r="DF490" s="47"/>
      <c r="DG490" s="47"/>
      <c r="DH490" s="47"/>
      <c r="DL490" s="47"/>
      <c r="DM490" s="47"/>
      <c r="DN490" s="47"/>
      <c r="DO490" s="47"/>
      <c r="DP490" s="47"/>
      <c r="DQ490" s="47"/>
    </row>
    <row r="491">
      <c r="CU491" s="47"/>
      <c r="CV491" s="47"/>
      <c r="CW491" s="47"/>
      <c r="CX491" s="47"/>
      <c r="CY491" s="47"/>
      <c r="DD491" s="47"/>
      <c r="DE491" s="47"/>
      <c r="DF491" s="47"/>
      <c r="DG491" s="47"/>
      <c r="DH491" s="47"/>
      <c r="DL491" s="47"/>
      <c r="DM491" s="47"/>
      <c r="DN491" s="47"/>
      <c r="DO491" s="47"/>
      <c r="DP491" s="47"/>
      <c r="DQ491" s="47"/>
    </row>
    <row r="492">
      <c r="CU492" s="47"/>
      <c r="CV492" s="47"/>
      <c r="CW492" s="47"/>
      <c r="CX492" s="47"/>
      <c r="CY492" s="47"/>
      <c r="DD492" s="47"/>
      <c r="DE492" s="47"/>
      <c r="DF492" s="47"/>
      <c r="DG492" s="47"/>
      <c r="DH492" s="47"/>
      <c r="DL492" s="47"/>
      <c r="DM492" s="47"/>
      <c r="DN492" s="47"/>
      <c r="DO492" s="47"/>
      <c r="DP492" s="47"/>
      <c r="DQ492" s="47"/>
    </row>
    <row r="493">
      <c r="CU493" s="47"/>
      <c r="CV493" s="47"/>
      <c r="CW493" s="47"/>
      <c r="CX493" s="47"/>
      <c r="CY493" s="47"/>
      <c r="DD493" s="47"/>
      <c r="DE493" s="47"/>
      <c r="DF493" s="47"/>
      <c r="DG493" s="47"/>
      <c r="DH493" s="47"/>
      <c r="DL493" s="47"/>
      <c r="DM493" s="47"/>
      <c r="DN493" s="47"/>
      <c r="DO493" s="47"/>
      <c r="DP493" s="47"/>
      <c r="DQ493" s="47"/>
    </row>
    <row r="494">
      <c r="CU494" s="47"/>
      <c r="CV494" s="47"/>
      <c r="CW494" s="47"/>
      <c r="CX494" s="47"/>
      <c r="CY494" s="47"/>
      <c r="DD494" s="47"/>
      <c r="DE494" s="47"/>
      <c r="DF494" s="47"/>
      <c r="DG494" s="47"/>
      <c r="DH494" s="47"/>
      <c r="DL494" s="47"/>
      <c r="DM494" s="47"/>
      <c r="DN494" s="47"/>
      <c r="DO494" s="47"/>
      <c r="DP494" s="47"/>
      <c r="DQ494" s="47"/>
    </row>
    <row r="495">
      <c r="CU495" s="47"/>
      <c r="CV495" s="47"/>
      <c r="CW495" s="47"/>
      <c r="CX495" s="47"/>
      <c r="CY495" s="47"/>
      <c r="DD495" s="47"/>
      <c r="DE495" s="47"/>
      <c r="DF495" s="47"/>
      <c r="DG495" s="47"/>
      <c r="DH495" s="47"/>
      <c r="DL495" s="47"/>
      <c r="DM495" s="47"/>
      <c r="DN495" s="47"/>
      <c r="DO495" s="47"/>
      <c r="DP495" s="47"/>
      <c r="DQ495" s="47"/>
    </row>
    <row r="496">
      <c r="CU496" s="47"/>
      <c r="CV496" s="47"/>
      <c r="CW496" s="47"/>
      <c r="CX496" s="47"/>
      <c r="CY496" s="47"/>
      <c r="DD496" s="47"/>
      <c r="DE496" s="47"/>
      <c r="DF496" s="47"/>
      <c r="DG496" s="47"/>
      <c r="DH496" s="47"/>
      <c r="DL496" s="47"/>
      <c r="DM496" s="47"/>
      <c r="DN496" s="47"/>
      <c r="DO496" s="47"/>
      <c r="DP496" s="47"/>
      <c r="DQ496" s="47"/>
    </row>
    <row r="497">
      <c r="CU497" s="47"/>
      <c r="CV497" s="47"/>
      <c r="CW497" s="47"/>
      <c r="CX497" s="47"/>
      <c r="CY497" s="47"/>
      <c r="DD497" s="47"/>
      <c r="DE497" s="47"/>
      <c r="DF497" s="47"/>
      <c r="DG497" s="47"/>
      <c r="DH497" s="47"/>
      <c r="DL497" s="47"/>
      <c r="DM497" s="47"/>
      <c r="DN497" s="47"/>
      <c r="DO497" s="47"/>
      <c r="DP497" s="47"/>
      <c r="DQ497" s="47"/>
    </row>
    <row r="498">
      <c r="CU498" s="47"/>
      <c r="CV498" s="47"/>
      <c r="CW498" s="47"/>
      <c r="CX498" s="47"/>
      <c r="CY498" s="47"/>
      <c r="DD498" s="47"/>
      <c r="DE498" s="47"/>
      <c r="DF498" s="47"/>
      <c r="DG498" s="47"/>
      <c r="DH498" s="47"/>
      <c r="DL498" s="47"/>
      <c r="DM498" s="47"/>
      <c r="DN498" s="47"/>
      <c r="DO498" s="47"/>
      <c r="DP498" s="47"/>
      <c r="DQ498" s="47"/>
    </row>
    <row r="499">
      <c r="CU499" s="47"/>
      <c r="CV499" s="47"/>
      <c r="CW499" s="47"/>
      <c r="CX499" s="47"/>
      <c r="CY499" s="47"/>
      <c r="DD499" s="47"/>
      <c r="DE499" s="47"/>
      <c r="DF499" s="47"/>
      <c r="DG499" s="47"/>
      <c r="DH499" s="47"/>
      <c r="DL499" s="47"/>
      <c r="DM499" s="47"/>
      <c r="DN499" s="47"/>
      <c r="DO499" s="47"/>
      <c r="DP499" s="47"/>
      <c r="DQ499" s="47"/>
    </row>
    <row r="500">
      <c r="CU500" s="47"/>
      <c r="CV500" s="47"/>
      <c r="CW500" s="47"/>
      <c r="CX500" s="47"/>
      <c r="CY500" s="47"/>
      <c r="DD500" s="47"/>
      <c r="DE500" s="47"/>
      <c r="DF500" s="47"/>
      <c r="DG500" s="47"/>
      <c r="DH500" s="47"/>
      <c r="DL500" s="47"/>
      <c r="DM500" s="47"/>
      <c r="DN500" s="47"/>
      <c r="DO500" s="47"/>
      <c r="DP500" s="47"/>
      <c r="DQ500" s="47"/>
    </row>
    <row r="501">
      <c r="CU501" s="47"/>
      <c r="CV501" s="47"/>
      <c r="CW501" s="47"/>
      <c r="CX501" s="47"/>
      <c r="CY501" s="47"/>
      <c r="DD501" s="47"/>
      <c r="DE501" s="47"/>
      <c r="DF501" s="47"/>
      <c r="DG501" s="47"/>
      <c r="DH501" s="47"/>
      <c r="DL501" s="47"/>
      <c r="DM501" s="47"/>
      <c r="DN501" s="47"/>
      <c r="DO501" s="47"/>
      <c r="DP501" s="47"/>
      <c r="DQ501" s="47"/>
    </row>
    <row r="502">
      <c r="CU502" s="47"/>
      <c r="CV502" s="47"/>
      <c r="CW502" s="47"/>
      <c r="CX502" s="47"/>
      <c r="CY502" s="47"/>
      <c r="DD502" s="47"/>
      <c r="DE502" s="47"/>
      <c r="DF502" s="47"/>
      <c r="DG502" s="47"/>
      <c r="DH502" s="47"/>
      <c r="DL502" s="47"/>
      <c r="DM502" s="47"/>
      <c r="DN502" s="47"/>
      <c r="DO502" s="47"/>
      <c r="DP502" s="47"/>
      <c r="DQ502" s="47"/>
    </row>
    <row r="503">
      <c r="CU503" s="47"/>
      <c r="CV503" s="47"/>
      <c r="CW503" s="47"/>
      <c r="CX503" s="47"/>
      <c r="CY503" s="47"/>
      <c r="DD503" s="47"/>
      <c r="DE503" s="47"/>
      <c r="DF503" s="47"/>
      <c r="DG503" s="47"/>
      <c r="DH503" s="47"/>
      <c r="DL503" s="47"/>
      <c r="DM503" s="47"/>
      <c r="DN503" s="47"/>
      <c r="DO503" s="47"/>
      <c r="DP503" s="47"/>
      <c r="DQ503" s="47"/>
    </row>
    <row r="504">
      <c r="CU504" s="47"/>
      <c r="CV504" s="47"/>
      <c r="CW504" s="47"/>
      <c r="CX504" s="47"/>
      <c r="CY504" s="47"/>
      <c r="DD504" s="47"/>
      <c r="DE504" s="47"/>
      <c r="DF504" s="47"/>
      <c r="DG504" s="47"/>
      <c r="DH504" s="47"/>
      <c r="DL504" s="47"/>
      <c r="DM504" s="47"/>
      <c r="DN504" s="47"/>
      <c r="DO504" s="47"/>
      <c r="DP504" s="47"/>
      <c r="DQ504" s="47"/>
    </row>
    <row r="505">
      <c r="CU505" s="47"/>
      <c r="CV505" s="47"/>
      <c r="CW505" s="47"/>
      <c r="CX505" s="47"/>
      <c r="CY505" s="47"/>
      <c r="DD505" s="47"/>
      <c r="DE505" s="47"/>
      <c r="DF505" s="47"/>
      <c r="DG505" s="47"/>
      <c r="DH505" s="47"/>
      <c r="DL505" s="47"/>
      <c r="DM505" s="47"/>
      <c r="DN505" s="47"/>
      <c r="DO505" s="47"/>
      <c r="DP505" s="47"/>
      <c r="DQ505" s="47"/>
    </row>
    <row r="506">
      <c r="CU506" s="47"/>
      <c r="CV506" s="47"/>
      <c r="CW506" s="47"/>
      <c r="CX506" s="47"/>
      <c r="CY506" s="47"/>
      <c r="DD506" s="47"/>
      <c r="DE506" s="47"/>
      <c r="DF506" s="47"/>
      <c r="DG506" s="47"/>
      <c r="DH506" s="47"/>
      <c r="DL506" s="47"/>
      <c r="DM506" s="47"/>
      <c r="DN506" s="47"/>
      <c r="DO506" s="47"/>
      <c r="DP506" s="47"/>
      <c r="DQ506" s="47"/>
    </row>
    <row r="507">
      <c r="CU507" s="47"/>
      <c r="CV507" s="47"/>
      <c r="CW507" s="47"/>
      <c r="CX507" s="47"/>
      <c r="CY507" s="47"/>
      <c r="DD507" s="47"/>
      <c r="DE507" s="47"/>
      <c r="DF507" s="47"/>
      <c r="DG507" s="47"/>
      <c r="DH507" s="47"/>
      <c r="DL507" s="47"/>
      <c r="DM507" s="47"/>
      <c r="DN507" s="47"/>
      <c r="DO507" s="47"/>
      <c r="DP507" s="47"/>
      <c r="DQ507" s="47"/>
    </row>
    <row r="508">
      <c r="CU508" s="47"/>
      <c r="CV508" s="47"/>
      <c r="CW508" s="47"/>
      <c r="CX508" s="47"/>
      <c r="CY508" s="47"/>
      <c r="DD508" s="47"/>
      <c r="DE508" s="47"/>
      <c r="DF508" s="47"/>
      <c r="DG508" s="47"/>
      <c r="DH508" s="47"/>
      <c r="DL508" s="47"/>
      <c r="DM508" s="47"/>
      <c r="DN508" s="47"/>
      <c r="DO508" s="47"/>
      <c r="DP508" s="47"/>
      <c r="DQ508" s="47"/>
    </row>
    <row r="509">
      <c r="CU509" s="47"/>
      <c r="CV509" s="47"/>
      <c r="CW509" s="47"/>
      <c r="CX509" s="47"/>
      <c r="CY509" s="47"/>
      <c r="DD509" s="47"/>
      <c r="DE509" s="47"/>
      <c r="DF509" s="47"/>
      <c r="DG509" s="47"/>
      <c r="DH509" s="47"/>
      <c r="DL509" s="47"/>
      <c r="DM509" s="47"/>
      <c r="DN509" s="47"/>
      <c r="DO509" s="47"/>
      <c r="DP509" s="47"/>
      <c r="DQ509" s="47"/>
    </row>
    <row r="510">
      <c r="CU510" s="47"/>
      <c r="CV510" s="47"/>
      <c r="CW510" s="47"/>
      <c r="CX510" s="47"/>
      <c r="CY510" s="47"/>
      <c r="DD510" s="47"/>
      <c r="DE510" s="47"/>
      <c r="DF510" s="47"/>
      <c r="DG510" s="47"/>
      <c r="DH510" s="47"/>
      <c r="DL510" s="47"/>
      <c r="DM510" s="47"/>
      <c r="DN510" s="47"/>
      <c r="DO510" s="47"/>
      <c r="DP510" s="47"/>
      <c r="DQ510" s="47"/>
    </row>
    <row r="511">
      <c r="CU511" s="47"/>
      <c r="CV511" s="47"/>
      <c r="CW511" s="47"/>
      <c r="CX511" s="47"/>
      <c r="CY511" s="47"/>
      <c r="DD511" s="47"/>
      <c r="DE511" s="47"/>
      <c r="DF511" s="47"/>
      <c r="DG511" s="47"/>
      <c r="DH511" s="47"/>
      <c r="DL511" s="47"/>
      <c r="DM511" s="47"/>
      <c r="DN511" s="47"/>
      <c r="DO511" s="47"/>
      <c r="DP511" s="47"/>
      <c r="DQ511" s="47"/>
    </row>
    <row r="512">
      <c r="CU512" s="47"/>
      <c r="CV512" s="47"/>
      <c r="CW512" s="47"/>
      <c r="CX512" s="47"/>
      <c r="CY512" s="47"/>
      <c r="DD512" s="47"/>
      <c r="DE512" s="47"/>
      <c r="DF512" s="47"/>
      <c r="DG512" s="47"/>
      <c r="DH512" s="47"/>
      <c r="DL512" s="47"/>
      <c r="DM512" s="47"/>
      <c r="DN512" s="47"/>
      <c r="DO512" s="47"/>
      <c r="DP512" s="47"/>
      <c r="DQ512" s="47"/>
    </row>
    <row r="513">
      <c r="CU513" s="47"/>
      <c r="CV513" s="47"/>
      <c r="CW513" s="47"/>
      <c r="CX513" s="47"/>
      <c r="CY513" s="47"/>
      <c r="DD513" s="47"/>
      <c r="DE513" s="47"/>
      <c r="DF513" s="47"/>
      <c r="DG513" s="47"/>
      <c r="DH513" s="47"/>
      <c r="DL513" s="47"/>
      <c r="DM513" s="47"/>
      <c r="DN513" s="47"/>
      <c r="DO513" s="47"/>
      <c r="DP513" s="47"/>
      <c r="DQ513" s="47"/>
    </row>
    <row r="514">
      <c r="CU514" s="47"/>
      <c r="CV514" s="47"/>
      <c r="CW514" s="47"/>
      <c r="CX514" s="47"/>
      <c r="CY514" s="47"/>
      <c r="DD514" s="47"/>
      <c r="DE514" s="47"/>
      <c r="DF514" s="47"/>
      <c r="DG514" s="47"/>
      <c r="DH514" s="47"/>
      <c r="DL514" s="47"/>
      <c r="DM514" s="47"/>
      <c r="DN514" s="47"/>
      <c r="DO514" s="47"/>
      <c r="DP514" s="47"/>
      <c r="DQ514" s="47"/>
    </row>
    <row r="515">
      <c r="CU515" s="47"/>
      <c r="CV515" s="47"/>
      <c r="CW515" s="47"/>
      <c r="CX515" s="47"/>
      <c r="CY515" s="47"/>
      <c r="DD515" s="47"/>
      <c r="DE515" s="47"/>
      <c r="DF515" s="47"/>
      <c r="DG515" s="47"/>
      <c r="DH515" s="47"/>
      <c r="DL515" s="47"/>
      <c r="DM515" s="47"/>
      <c r="DN515" s="47"/>
      <c r="DO515" s="47"/>
      <c r="DP515" s="47"/>
      <c r="DQ515" s="47"/>
    </row>
    <row r="516">
      <c r="CU516" s="47"/>
      <c r="CV516" s="47"/>
      <c r="CW516" s="47"/>
      <c r="CX516" s="47"/>
      <c r="CY516" s="47"/>
      <c r="DD516" s="47"/>
      <c r="DE516" s="47"/>
      <c r="DF516" s="47"/>
      <c r="DG516" s="47"/>
      <c r="DH516" s="47"/>
      <c r="DL516" s="47"/>
      <c r="DM516" s="47"/>
      <c r="DN516" s="47"/>
      <c r="DO516" s="47"/>
      <c r="DP516" s="47"/>
      <c r="DQ516" s="47"/>
    </row>
    <row r="517">
      <c r="CU517" s="47"/>
      <c r="CV517" s="47"/>
      <c r="CW517" s="47"/>
      <c r="CX517" s="47"/>
      <c r="CY517" s="47"/>
      <c r="DD517" s="47"/>
      <c r="DE517" s="47"/>
      <c r="DF517" s="47"/>
      <c r="DG517" s="47"/>
      <c r="DH517" s="47"/>
      <c r="DL517" s="47"/>
      <c r="DM517" s="47"/>
      <c r="DN517" s="47"/>
      <c r="DO517" s="47"/>
      <c r="DP517" s="47"/>
      <c r="DQ517" s="47"/>
    </row>
    <row r="518">
      <c r="CU518" s="47"/>
      <c r="CV518" s="47"/>
      <c r="CW518" s="47"/>
      <c r="CX518" s="47"/>
      <c r="CY518" s="47"/>
      <c r="DD518" s="47"/>
      <c r="DE518" s="47"/>
      <c r="DF518" s="47"/>
      <c r="DG518" s="47"/>
      <c r="DH518" s="47"/>
      <c r="DL518" s="47"/>
      <c r="DM518" s="47"/>
      <c r="DN518" s="47"/>
      <c r="DO518" s="47"/>
      <c r="DP518" s="47"/>
      <c r="DQ518" s="47"/>
    </row>
    <row r="519">
      <c r="CU519" s="47"/>
      <c r="CV519" s="47"/>
      <c r="CW519" s="47"/>
      <c r="CX519" s="47"/>
      <c r="CY519" s="47"/>
      <c r="DD519" s="47"/>
      <c r="DE519" s="47"/>
      <c r="DF519" s="47"/>
      <c r="DG519" s="47"/>
      <c r="DH519" s="47"/>
      <c r="DL519" s="47"/>
      <c r="DM519" s="47"/>
      <c r="DN519" s="47"/>
      <c r="DO519" s="47"/>
      <c r="DP519" s="47"/>
      <c r="DQ519" s="47"/>
    </row>
    <row r="520">
      <c r="CU520" s="47"/>
      <c r="CV520" s="47"/>
      <c r="CW520" s="47"/>
      <c r="CX520" s="47"/>
      <c r="CY520" s="47"/>
      <c r="DD520" s="47"/>
      <c r="DE520" s="47"/>
      <c r="DF520" s="47"/>
      <c r="DG520" s="47"/>
      <c r="DH520" s="47"/>
      <c r="DL520" s="47"/>
      <c r="DM520" s="47"/>
      <c r="DN520" s="47"/>
      <c r="DO520" s="47"/>
      <c r="DP520" s="47"/>
      <c r="DQ520" s="47"/>
    </row>
    <row r="521">
      <c r="CU521" s="47"/>
      <c r="CV521" s="47"/>
      <c r="CW521" s="47"/>
      <c r="CX521" s="47"/>
      <c r="CY521" s="47"/>
      <c r="DD521" s="47"/>
      <c r="DE521" s="47"/>
      <c r="DF521" s="47"/>
      <c r="DG521" s="47"/>
      <c r="DH521" s="47"/>
      <c r="DL521" s="47"/>
      <c r="DM521" s="47"/>
      <c r="DN521" s="47"/>
      <c r="DO521" s="47"/>
      <c r="DP521" s="47"/>
      <c r="DQ521" s="47"/>
    </row>
    <row r="522">
      <c r="CU522" s="47"/>
      <c r="CV522" s="47"/>
      <c r="CW522" s="47"/>
      <c r="CX522" s="47"/>
      <c r="CY522" s="47"/>
      <c r="DD522" s="47"/>
      <c r="DE522" s="47"/>
      <c r="DF522" s="47"/>
      <c r="DG522" s="47"/>
      <c r="DH522" s="47"/>
      <c r="DL522" s="47"/>
      <c r="DM522" s="47"/>
      <c r="DN522" s="47"/>
      <c r="DO522" s="47"/>
      <c r="DP522" s="47"/>
      <c r="DQ522" s="47"/>
    </row>
    <row r="523">
      <c r="CU523" s="47"/>
      <c r="CV523" s="47"/>
      <c r="CW523" s="47"/>
      <c r="CX523" s="47"/>
      <c r="CY523" s="47"/>
      <c r="DD523" s="47"/>
      <c r="DE523" s="47"/>
      <c r="DF523" s="47"/>
      <c r="DG523" s="47"/>
      <c r="DH523" s="47"/>
      <c r="DL523" s="47"/>
      <c r="DM523" s="47"/>
      <c r="DN523" s="47"/>
      <c r="DO523" s="47"/>
      <c r="DP523" s="47"/>
      <c r="DQ523" s="47"/>
    </row>
    <row r="524">
      <c r="CU524" s="47"/>
      <c r="CV524" s="47"/>
      <c r="CW524" s="47"/>
      <c r="CX524" s="47"/>
      <c r="CY524" s="47"/>
      <c r="DD524" s="47"/>
      <c r="DE524" s="47"/>
      <c r="DF524" s="47"/>
      <c r="DG524" s="47"/>
      <c r="DH524" s="47"/>
      <c r="DL524" s="47"/>
      <c r="DM524" s="47"/>
      <c r="DN524" s="47"/>
      <c r="DO524" s="47"/>
      <c r="DP524" s="47"/>
      <c r="DQ524" s="47"/>
    </row>
    <row r="525">
      <c r="CU525" s="47"/>
      <c r="CV525" s="47"/>
      <c r="CW525" s="47"/>
      <c r="CX525" s="47"/>
      <c r="CY525" s="47"/>
      <c r="DD525" s="47"/>
      <c r="DE525" s="47"/>
      <c r="DF525" s="47"/>
      <c r="DG525" s="47"/>
      <c r="DH525" s="47"/>
      <c r="DL525" s="47"/>
      <c r="DM525" s="47"/>
      <c r="DN525" s="47"/>
      <c r="DO525" s="47"/>
      <c r="DP525" s="47"/>
      <c r="DQ525" s="47"/>
    </row>
    <row r="526">
      <c r="CU526" s="47"/>
      <c r="CV526" s="47"/>
      <c r="CW526" s="47"/>
      <c r="CX526" s="47"/>
      <c r="CY526" s="47"/>
      <c r="DD526" s="47"/>
      <c r="DE526" s="47"/>
      <c r="DF526" s="47"/>
      <c r="DG526" s="47"/>
      <c r="DH526" s="47"/>
      <c r="DL526" s="47"/>
      <c r="DM526" s="47"/>
      <c r="DN526" s="47"/>
      <c r="DO526" s="47"/>
      <c r="DP526" s="47"/>
      <c r="DQ526" s="47"/>
    </row>
    <row r="527">
      <c r="CU527" s="47"/>
      <c r="CV527" s="47"/>
      <c r="CW527" s="47"/>
      <c r="CX527" s="47"/>
      <c r="CY527" s="47"/>
      <c r="DD527" s="47"/>
      <c r="DE527" s="47"/>
      <c r="DF527" s="47"/>
      <c r="DG527" s="47"/>
      <c r="DH527" s="47"/>
      <c r="DL527" s="47"/>
      <c r="DM527" s="47"/>
      <c r="DN527" s="47"/>
      <c r="DO527" s="47"/>
      <c r="DP527" s="47"/>
      <c r="DQ527" s="47"/>
    </row>
    <row r="528">
      <c r="CU528" s="47"/>
      <c r="CV528" s="47"/>
      <c r="CW528" s="47"/>
      <c r="CX528" s="47"/>
      <c r="CY528" s="47"/>
      <c r="DD528" s="47"/>
      <c r="DE528" s="47"/>
      <c r="DF528" s="47"/>
      <c r="DG528" s="47"/>
      <c r="DH528" s="47"/>
      <c r="DL528" s="47"/>
      <c r="DM528" s="47"/>
      <c r="DN528" s="47"/>
      <c r="DO528" s="47"/>
      <c r="DP528" s="47"/>
      <c r="DQ528" s="47"/>
    </row>
    <row r="529">
      <c r="CU529" s="47"/>
      <c r="CV529" s="47"/>
      <c r="CW529" s="47"/>
      <c r="CX529" s="47"/>
      <c r="CY529" s="47"/>
      <c r="DD529" s="47"/>
      <c r="DE529" s="47"/>
      <c r="DF529" s="47"/>
      <c r="DG529" s="47"/>
      <c r="DH529" s="47"/>
      <c r="DL529" s="47"/>
      <c r="DM529" s="47"/>
      <c r="DN529" s="47"/>
      <c r="DO529" s="47"/>
      <c r="DP529" s="47"/>
      <c r="DQ529" s="47"/>
    </row>
    <row r="530">
      <c r="CU530" s="47"/>
      <c r="CV530" s="47"/>
      <c r="CW530" s="47"/>
      <c r="CX530" s="47"/>
      <c r="CY530" s="47"/>
      <c r="DD530" s="47"/>
      <c r="DE530" s="47"/>
      <c r="DF530" s="47"/>
      <c r="DG530" s="47"/>
      <c r="DH530" s="47"/>
      <c r="DL530" s="47"/>
      <c r="DM530" s="47"/>
      <c r="DN530" s="47"/>
      <c r="DO530" s="47"/>
      <c r="DP530" s="47"/>
      <c r="DQ530" s="47"/>
    </row>
    <row r="531">
      <c r="CU531" s="47"/>
      <c r="CV531" s="47"/>
      <c r="CW531" s="47"/>
      <c r="CX531" s="47"/>
      <c r="CY531" s="47"/>
      <c r="DD531" s="47"/>
      <c r="DE531" s="47"/>
      <c r="DF531" s="47"/>
      <c r="DG531" s="47"/>
      <c r="DH531" s="47"/>
      <c r="DL531" s="47"/>
      <c r="DM531" s="47"/>
      <c r="DN531" s="47"/>
      <c r="DO531" s="47"/>
      <c r="DP531" s="47"/>
      <c r="DQ531" s="47"/>
    </row>
    <row r="532">
      <c r="CU532" s="47"/>
      <c r="CV532" s="47"/>
      <c r="CW532" s="47"/>
      <c r="CX532" s="47"/>
      <c r="CY532" s="47"/>
      <c r="DD532" s="47"/>
      <c r="DE532" s="47"/>
      <c r="DF532" s="47"/>
      <c r="DG532" s="47"/>
      <c r="DH532" s="47"/>
      <c r="DL532" s="47"/>
      <c r="DM532" s="47"/>
      <c r="DN532" s="47"/>
      <c r="DO532" s="47"/>
      <c r="DP532" s="47"/>
      <c r="DQ532" s="47"/>
    </row>
    <row r="533">
      <c r="CU533" s="47"/>
      <c r="CV533" s="47"/>
      <c r="CW533" s="47"/>
      <c r="CX533" s="47"/>
      <c r="CY533" s="47"/>
      <c r="DD533" s="47"/>
      <c r="DE533" s="47"/>
      <c r="DF533" s="47"/>
      <c r="DG533" s="47"/>
      <c r="DH533" s="47"/>
      <c r="DL533" s="47"/>
      <c r="DM533" s="47"/>
      <c r="DN533" s="47"/>
      <c r="DO533" s="47"/>
      <c r="DP533" s="47"/>
      <c r="DQ533" s="47"/>
    </row>
    <row r="534">
      <c r="CU534" s="47"/>
      <c r="CV534" s="47"/>
      <c r="CW534" s="47"/>
      <c r="CX534" s="47"/>
      <c r="CY534" s="47"/>
      <c r="DD534" s="47"/>
      <c r="DE534" s="47"/>
      <c r="DF534" s="47"/>
      <c r="DG534" s="47"/>
      <c r="DH534" s="47"/>
      <c r="DL534" s="47"/>
      <c r="DM534" s="47"/>
      <c r="DN534" s="47"/>
      <c r="DO534" s="47"/>
      <c r="DP534" s="47"/>
      <c r="DQ534" s="47"/>
    </row>
    <row r="535">
      <c r="CU535" s="47"/>
      <c r="CV535" s="47"/>
      <c r="CW535" s="47"/>
      <c r="CX535" s="47"/>
      <c r="CY535" s="47"/>
      <c r="DD535" s="47"/>
      <c r="DE535" s="47"/>
      <c r="DF535" s="47"/>
      <c r="DG535" s="47"/>
      <c r="DH535" s="47"/>
      <c r="DL535" s="47"/>
      <c r="DM535" s="47"/>
      <c r="DN535" s="47"/>
      <c r="DO535" s="47"/>
      <c r="DP535" s="47"/>
      <c r="DQ535" s="47"/>
    </row>
    <row r="536">
      <c r="CU536" s="47"/>
      <c r="CV536" s="47"/>
      <c r="CW536" s="47"/>
      <c r="CX536" s="47"/>
      <c r="CY536" s="47"/>
      <c r="DD536" s="47"/>
      <c r="DE536" s="47"/>
      <c r="DF536" s="47"/>
      <c r="DG536" s="47"/>
      <c r="DH536" s="47"/>
      <c r="DL536" s="47"/>
      <c r="DM536" s="47"/>
      <c r="DN536" s="47"/>
      <c r="DO536" s="47"/>
      <c r="DP536" s="47"/>
      <c r="DQ536" s="47"/>
    </row>
    <row r="537">
      <c r="CU537" s="47"/>
      <c r="CV537" s="47"/>
      <c r="CW537" s="47"/>
      <c r="CX537" s="47"/>
      <c r="CY537" s="47"/>
      <c r="DD537" s="47"/>
      <c r="DE537" s="47"/>
      <c r="DF537" s="47"/>
      <c r="DG537" s="47"/>
      <c r="DH537" s="47"/>
      <c r="DL537" s="47"/>
      <c r="DM537" s="47"/>
      <c r="DN537" s="47"/>
      <c r="DO537" s="47"/>
      <c r="DP537" s="47"/>
      <c r="DQ537" s="47"/>
    </row>
    <row r="538">
      <c r="CU538" s="47"/>
      <c r="CV538" s="47"/>
      <c r="CW538" s="47"/>
      <c r="CX538" s="47"/>
      <c r="CY538" s="47"/>
      <c r="DD538" s="47"/>
      <c r="DE538" s="47"/>
      <c r="DF538" s="47"/>
      <c r="DG538" s="47"/>
      <c r="DH538" s="47"/>
      <c r="DL538" s="47"/>
      <c r="DM538" s="47"/>
      <c r="DN538" s="47"/>
      <c r="DO538" s="47"/>
      <c r="DP538" s="47"/>
      <c r="DQ538" s="47"/>
    </row>
    <row r="539">
      <c r="CU539" s="47"/>
      <c r="CV539" s="47"/>
      <c r="CW539" s="47"/>
      <c r="CX539" s="47"/>
      <c r="CY539" s="47"/>
      <c r="DD539" s="47"/>
      <c r="DE539" s="47"/>
      <c r="DF539" s="47"/>
      <c r="DG539" s="47"/>
      <c r="DH539" s="47"/>
      <c r="DL539" s="47"/>
      <c r="DM539" s="47"/>
      <c r="DN539" s="47"/>
      <c r="DO539" s="47"/>
      <c r="DP539" s="47"/>
      <c r="DQ539" s="47"/>
    </row>
    <row r="540">
      <c r="CU540" s="47"/>
      <c r="CV540" s="47"/>
      <c r="CW540" s="47"/>
      <c r="CX540" s="47"/>
      <c r="CY540" s="47"/>
      <c r="DD540" s="47"/>
      <c r="DE540" s="47"/>
      <c r="DF540" s="47"/>
      <c r="DG540" s="47"/>
      <c r="DH540" s="47"/>
      <c r="DL540" s="47"/>
      <c r="DM540" s="47"/>
      <c r="DN540" s="47"/>
      <c r="DO540" s="47"/>
      <c r="DP540" s="47"/>
      <c r="DQ540" s="47"/>
    </row>
    <row r="541">
      <c r="CU541" s="47"/>
      <c r="CV541" s="47"/>
      <c r="CW541" s="47"/>
      <c r="CX541" s="47"/>
      <c r="CY541" s="47"/>
      <c r="DD541" s="47"/>
      <c r="DE541" s="47"/>
      <c r="DF541" s="47"/>
      <c r="DG541" s="47"/>
      <c r="DH541" s="47"/>
      <c r="DL541" s="47"/>
      <c r="DM541" s="47"/>
      <c r="DN541" s="47"/>
      <c r="DO541" s="47"/>
      <c r="DP541" s="47"/>
      <c r="DQ541" s="47"/>
    </row>
    <row r="542">
      <c r="CU542" s="47"/>
      <c r="CV542" s="47"/>
      <c r="CW542" s="47"/>
      <c r="CX542" s="47"/>
      <c r="CY542" s="47"/>
      <c r="DD542" s="47"/>
      <c r="DE542" s="47"/>
      <c r="DF542" s="47"/>
      <c r="DG542" s="47"/>
      <c r="DH542" s="47"/>
      <c r="DL542" s="47"/>
      <c r="DM542" s="47"/>
      <c r="DN542" s="47"/>
      <c r="DO542" s="47"/>
      <c r="DP542" s="47"/>
      <c r="DQ542" s="47"/>
    </row>
    <row r="543">
      <c r="CU543" s="47"/>
      <c r="CV543" s="47"/>
      <c r="CW543" s="47"/>
      <c r="CX543" s="47"/>
      <c r="CY543" s="47"/>
      <c r="DD543" s="47"/>
      <c r="DE543" s="47"/>
      <c r="DF543" s="47"/>
      <c r="DG543" s="47"/>
      <c r="DH543" s="47"/>
      <c r="DL543" s="47"/>
      <c r="DM543" s="47"/>
      <c r="DN543" s="47"/>
      <c r="DO543" s="47"/>
      <c r="DP543" s="47"/>
      <c r="DQ543" s="47"/>
    </row>
    <row r="544">
      <c r="CU544" s="47"/>
      <c r="CV544" s="47"/>
      <c r="CW544" s="47"/>
      <c r="CX544" s="47"/>
      <c r="CY544" s="47"/>
      <c r="DD544" s="47"/>
      <c r="DE544" s="47"/>
      <c r="DF544" s="47"/>
      <c r="DG544" s="47"/>
      <c r="DH544" s="47"/>
      <c r="DL544" s="47"/>
      <c r="DM544" s="47"/>
      <c r="DN544" s="47"/>
      <c r="DO544" s="47"/>
      <c r="DP544" s="47"/>
      <c r="DQ544" s="47"/>
    </row>
    <row r="545">
      <c r="CU545" s="47"/>
      <c r="CV545" s="47"/>
      <c r="CW545" s="47"/>
      <c r="CX545" s="47"/>
      <c r="CY545" s="47"/>
      <c r="DD545" s="47"/>
      <c r="DE545" s="47"/>
      <c r="DF545" s="47"/>
      <c r="DG545" s="47"/>
      <c r="DH545" s="47"/>
      <c r="DL545" s="47"/>
      <c r="DM545" s="47"/>
      <c r="DN545" s="47"/>
      <c r="DO545" s="47"/>
      <c r="DP545" s="47"/>
      <c r="DQ545" s="47"/>
    </row>
    <row r="546">
      <c r="CU546" s="47"/>
      <c r="CV546" s="47"/>
      <c r="CW546" s="47"/>
      <c r="CX546" s="47"/>
      <c r="CY546" s="47"/>
      <c r="DD546" s="47"/>
      <c r="DE546" s="47"/>
      <c r="DF546" s="47"/>
      <c r="DG546" s="47"/>
      <c r="DH546" s="47"/>
      <c r="DL546" s="47"/>
      <c r="DM546" s="47"/>
      <c r="DN546" s="47"/>
      <c r="DO546" s="47"/>
      <c r="DP546" s="47"/>
      <c r="DQ546" s="47"/>
    </row>
    <row r="547">
      <c r="CU547" s="47"/>
      <c r="CV547" s="47"/>
      <c r="CW547" s="47"/>
      <c r="CX547" s="47"/>
      <c r="CY547" s="47"/>
      <c r="DD547" s="47"/>
      <c r="DE547" s="47"/>
      <c r="DF547" s="47"/>
      <c r="DG547" s="47"/>
      <c r="DH547" s="47"/>
      <c r="DL547" s="47"/>
      <c r="DM547" s="47"/>
      <c r="DN547" s="47"/>
      <c r="DO547" s="47"/>
      <c r="DP547" s="47"/>
      <c r="DQ547" s="47"/>
    </row>
    <row r="548">
      <c r="CU548" s="47"/>
      <c r="CV548" s="47"/>
      <c r="CW548" s="47"/>
      <c r="CX548" s="47"/>
      <c r="CY548" s="47"/>
      <c r="DD548" s="47"/>
      <c r="DE548" s="47"/>
      <c r="DF548" s="47"/>
      <c r="DG548" s="47"/>
      <c r="DH548" s="47"/>
      <c r="DL548" s="47"/>
      <c r="DM548" s="47"/>
      <c r="DN548" s="47"/>
      <c r="DO548" s="47"/>
      <c r="DP548" s="47"/>
      <c r="DQ548" s="47"/>
    </row>
    <row r="549">
      <c r="CU549" s="47"/>
      <c r="CV549" s="47"/>
      <c r="CW549" s="47"/>
      <c r="CX549" s="47"/>
      <c r="CY549" s="47"/>
      <c r="DD549" s="47"/>
      <c r="DE549" s="47"/>
      <c r="DF549" s="47"/>
      <c r="DG549" s="47"/>
      <c r="DH549" s="47"/>
      <c r="DL549" s="47"/>
      <c r="DM549" s="47"/>
      <c r="DN549" s="47"/>
      <c r="DO549" s="47"/>
      <c r="DP549" s="47"/>
      <c r="DQ549" s="47"/>
    </row>
    <row r="550">
      <c r="CU550" s="47"/>
      <c r="CV550" s="47"/>
      <c r="CW550" s="47"/>
      <c r="CX550" s="47"/>
      <c r="CY550" s="47"/>
      <c r="DD550" s="47"/>
      <c r="DE550" s="47"/>
      <c r="DF550" s="47"/>
      <c r="DG550" s="47"/>
      <c r="DH550" s="47"/>
      <c r="DL550" s="47"/>
      <c r="DM550" s="47"/>
      <c r="DN550" s="47"/>
      <c r="DO550" s="47"/>
      <c r="DP550" s="47"/>
      <c r="DQ550" s="47"/>
    </row>
    <row r="551">
      <c r="CU551" s="47"/>
      <c r="CV551" s="47"/>
      <c r="CW551" s="47"/>
      <c r="CX551" s="47"/>
      <c r="CY551" s="47"/>
      <c r="DD551" s="47"/>
      <c r="DE551" s="47"/>
      <c r="DF551" s="47"/>
      <c r="DG551" s="47"/>
      <c r="DH551" s="47"/>
      <c r="DL551" s="47"/>
      <c r="DM551" s="47"/>
      <c r="DN551" s="47"/>
      <c r="DO551" s="47"/>
      <c r="DP551" s="47"/>
      <c r="DQ551" s="47"/>
    </row>
    <row r="552">
      <c r="CU552" s="47"/>
      <c r="CV552" s="47"/>
      <c r="CW552" s="47"/>
      <c r="CX552" s="47"/>
      <c r="CY552" s="47"/>
      <c r="DD552" s="47"/>
      <c r="DE552" s="47"/>
      <c r="DF552" s="47"/>
      <c r="DG552" s="47"/>
      <c r="DH552" s="47"/>
      <c r="DL552" s="47"/>
      <c r="DM552" s="47"/>
      <c r="DN552" s="47"/>
      <c r="DO552" s="47"/>
      <c r="DP552" s="47"/>
      <c r="DQ552" s="47"/>
    </row>
    <row r="553">
      <c r="CU553" s="47"/>
      <c r="CV553" s="47"/>
      <c r="CW553" s="47"/>
      <c r="CX553" s="47"/>
      <c r="CY553" s="47"/>
      <c r="DD553" s="47"/>
      <c r="DE553" s="47"/>
      <c r="DF553" s="47"/>
      <c r="DG553" s="47"/>
      <c r="DH553" s="47"/>
      <c r="DL553" s="47"/>
      <c r="DM553" s="47"/>
      <c r="DN553" s="47"/>
      <c r="DO553" s="47"/>
      <c r="DP553" s="47"/>
      <c r="DQ553" s="47"/>
    </row>
    <row r="554">
      <c r="CU554" s="47"/>
      <c r="CV554" s="47"/>
      <c r="CW554" s="47"/>
      <c r="CX554" s="47"/>
      <c r="CY554" s="47"/>
      <c r="DD554" s="47"/>
      <c r="DE554" s="47"/>
      <c r="DF554" s="47"/>
      <c r="DG554" s="47"/>
      <c r="DH554" s="47"/>
      <c r="DL554" s="47"/>
      <c r="DM554" s="47"/>
      <c r="DN554" s="47"/>
      <c r="DO554" s="47"/>
      <c r="DP554" s="47"/>
      <c r="DQ554" s="47"/>
    </row>
    <row r="555">
      <c r="CU555" s="47"/>
      <c r="CV555" s="47"/>
      <c r="CW555" s="47"/>
      <c r="CX555" s="47"/>
      <c r="CY555" s="47"/>
      <c r="DD555" s="47"/>
      <c r="DE555" s="47"/>
      <c r="DF555" s="47"/>
      <c r="DG555" s="47"/>
      <c r="DH555" s="47"/>
      <c r="DL555" s="47"/>
      <c r="DM555" s="47"/>
      <c r="DN555" s="47"/>
      <c r="DO555" s="47"/>
      <c r="DP555" s="47"/>
      <c r="DQ555" s="47"/>
    </row>
    <row r="556">
      <c r="CU556" s="47"/>
      <c r="CV556" s="47"/>
      <c r="CW556" s="47"/>
      <c r="CX556" s="47"/>
      <c r="CY556" s="47"/>
      <c r="DD556" s="47"/>
      <c r="DE556" s="47"/>
      <c r="DF556" s="47"/>
      <c r="DG556" s="47"/>
      <c r="DH556" s="47"/>
      <c r="DL556" s="47"/>
      <c r="DM556" s="47"/>
      <c r="DN556" s="47"/>
      <c r="DO556" s="47"/>
      <c r="DP556" s="47"/>
      <c r="DQ556" s="47"/>
    </row>
    <row r="557">
      <c r="CU557" s="47"/>
      <c r="CV557" s="47"/>
      <c r="CW557" s="47"/>
      <c r="CX557" s="47"/>
      <c r="CY557" s="47"/>
      <c r="DD557" s="47"/>
      <c r="DE557" s="47"/>
      <c r="DF557" s="47"/>
      <c r="DG557" s="47"/>
      <c r="DH557" s="47"/>
      <c r="DL557" s="47"/>
      <c r="DM557" s="47"/>
      <c r="DN557" s="47"/>
      <c r="DO557" s="47"/>
      <c r="DP557" s="47"/>
      <c r="DQ557" s="47"/>
    </row>
    <row r="558">
      <c r="CU558" s="47"/>
      <c r="CV558" s="47"/>
      <c r="CW558" s="47"/>
      <c r="CX558" s="47"/>
      <c r="CY558" s="47"/>
      <c r="DD558" s="47"/>
      <c r="DE558" s="47"/>
      <c r="DF558" s="47"/>
      <c r="DG558" s="47"/>
      <c r="DH558" s="47"/>
      <c r="DL558" s="47"/>
      <c r="DM558" s="47"/>
      <c r="DN558" s="47"/>
      <c r="DO558" s="47"/>
      <c r="DP558" s="47"/>
      <c r="DQ558" s="47"/>
    </row>
    <row r="559">
      <c r="CU559" s="47"/>
      <c r="CV559" s="47"/>
      <c r="CW559" s="47"/>
      <c r="CX559" s="47"/>
      <c r="CY559" s="47"/>
      <c r="DD559" s="47"/>
      <c r="DE559" s="47"/>
      <c r="DF559" s="47"/>
      <c r="DG559" s="47"/>
      <c r="DH559" s="47"/>
      <c r="DL559" s="47"/>
      <c r="DM559" s="47"/>
      <c r="DN559" s="47"/>
      <c r="DO559" s="47"/>
      <c r="DP559" s="47"/>
      <c r="DQ559" s="47"/>
    </row>
    <row r="560">
      <c r="CU560" s="47"/>
      <c r="CV560" s="47"/>
      <c r="CW560" s="47"/>
      <c r="CX560" s="47"/>
      <c r="CY560" s="47"/>
      <c r="DD560" s="47"/>
      <c r="DE560" s="47"/>
      <c r="DF560" s="47"/>
      <c r="DG560" s="47"/>
      <c r="DH560" s="47"/>
      <c r="DL560" s="47"/>
      <c r="DM560" s="47"/>
      <c r="DN560" s="47"/>
      <c r="DO560" s="47"/>
      <c r="DP560" s="47"/>
      <c r="DQ560" s="47"/>
    </row>
    <row r="561">
      <c r="CU561" s="47"/>
      <c r="CV561" s="47"/>
      <c r="CW561" s="47"/>
      <c r="CX561" s="47"/>
      <c r="CY561" s="47"/>
      <c r="DD561" s="47"/>
      <c r="DE561" s="47"/>
      <c r="DF561" s="47"/>
      <c r="DG561" s="47"/>
      <c r="DH561" s="47"/>
      <c r="DL561" s="47"/>
      <c r="DM561" s="47"/>
      <c r="DN561" s="47"/>
      <c r="DO561" s="47"/>
      <c r="DP561" s="47"/>
      <c r="DQ561" s="47"/>
    </row>
    <row r="562">
      <c r="CU562" s="47"/>
      <c r="CV562" s="47"/>
      <c r="CW562" s="47"/>
      <c r="CX562" s="47"/>
      <c r="CY562" s="47"/>
      <c r="DD562" s="47"/>
      <c r="DE562" s="47"/>
      <c r="DF562" s="47"/>
      <c r="DG562" s="47"/>
      <c r="DH562" s="47"/>
      <c r="DL562" s="47"/>
      <c r="DM562" s="47"/>
      <c r="DN562" s="47"/>
      <c r="DO562" s="47"/>
      <c r="DP562" s="47"/>
      <c r="DQ562" s="47"/>
    </row>
    <row r="563">
      <c r="CU563" s="47"/>
      <c r="CV563" s="47"/>
      <c r="CW563" s="47"/>
      <c r="CX563" s="47"/>
      <c r="CY563" s="47"/>
      <c r="DD563" s="47"/>
      <c r="DE563" s="47"/>
      <c r="DF563" s="47"/>
      <c r="DG563" s="47"/>
      <c r="DH563" s="47"/>
      <c r="DL563" s="47"/>
      <c r="DM563" s="47"/>
      <c r="DN563" s="47"/>
      <c r="DO563" s="47"/>
      <c r="DP563" s="47"/>
      <c r="DQ563" s="47"/>
    </row>
    <row r="564">
      <c r="CU564" s="47"/>
      <c r="CV564" s="47"/>
      <c r="CW564" s="47"/>
      <c r="CX564" s="47"/>
      <c r="CY564" s="47"/>
      <c r="DD564" s="47"/>
      <c r="DE564" s="47"/>
      <c r="DF564" s="47"/>
      <c r="DG564" s="47"/>
      <c r="DH564" s="47"/>
      <c r="DL564" s="47"/>
      <c r="DM564" s="47"/>
      <c r="DN564" s="47"/>
      <c r="DO564" s="47"/>
      <c r="DP564" s="47"/>
      <c r="DQ564" s="47"/>
    </row>
    <row r="565">
      <c r="CU565" s="47"/>
      <c r="CV565" s="47"/>
      <c r="CW565" s="47"/>
      <c r="CX565" s="47"/>
      <c r="CY565" s="47"/>
      <c r="DD565" s="47"/>
      <c r="DE565" s="47"/>
      <c r="DF565" s="47"/>
      <c r="DG565" s="47"/>
      <c r="DH565" s="47"/>
      <c r="DL565" s="47"/>
      <c r="DM565" s="47"/>
      <c r="DN565" s="47"/>
      <c r="DO565" s="47"/>
      <c r="DP565" s="47"/>
      <c r="DQ565" s="47"/>
    </row>
    <row r="566">
      <c r="CU566" s="47"/>
      <c r="CV566" s="47"/>
      <c r="CW566" s="47"/>
      <c r="CX566" s="47"/>
      <c r="CY566" s="47"/>
      <c r="DD566" s="47"/>
      <c r="DE566" s="47"/>
      <c r="DF566" s="47"/>
      <c r="DG566" s="47"/>
      <c r="DH566" s="47"/>
      <c r="DL566" s="47"/>
      <c r="DM566" s="47"/>
      <c r="DN566" s="47"/>
      <c r="DO566" s="47"/>
      <c r="DP566" s="47"/>
      <c r="DQ566" s="47"/>
    </row>
    <row r="567">
      <c r="CU567" s="47"/>
      <c r="CV567" s="47"/>
      <c r="CW567" s="47"/>
      <c r="CX567" s="47"/>
      <c r="CY567" s="47"/>
      <c r="DD567" s="47"/>
      <c r="DE567" s="47"/>
      <c r="DF567" s="47"/>
      <c r="DG567" s="47"/>
      <c r="DH567" s="47"/>
      <c r="DL567" s="47"/>
      <c r="DM567" s="47"/>
      <c r="DN567" s="47"/>
      <c r="DO567" s="47"/>
      <c r="DP567" s="47"/>
      <c r="DQ567" s="47"/>
    </row>
    <row r="568">
      <c r="CU568" s="47"/>
      <c r="CV568" s="47"/>
      <c r="CW568" s="47"/>
      <c r="CX568" s="47"/>
      <c r="CY568" s="47"/>
      <c r="DD568" s="47"/>
      <c r="DE568" s="47"/>
      <c r="DF568" s="47"/>
      <c r="DG568" s="47"/>
      <c r="DH568" s="47"/>
      <c r="DL568" s="47"/>
      <c r="DM568" s="47"/>
      <c r="DN568" s="47"/>
      <c r="DO568" s="47"/>
      <c r="DP568" s="47"/>
      <c r="DQ568" s="47"/>
    </row>
    <row r="569">
      <c r="CU569" s="47"/>
      <c r="CV569" s="47"/>
      <c r="CW569" s="47"/>
      <c r="CX569" s="47"/>
      <c r="CY569" s="47"/>
      <c r="DD569" s="47"/>
      <c r="DE569" s="47"/>
      <c r="DF569" s="47"/>
      <c r="DG569" s="47"/>
      <c r="DH569" s="47"/>
      <c r="DL569" s="47"/>
      <c r="DM569" s="47"/>
      <c r="DN569" s="47"/>
      <c r="DO569" s="47"/>
      <c r="DP569" s="47"/>
      <c r="DQ569" s="47"/>
    </row>
    <row r="570">
      <c r="CU570" s="47"/>
      <c r="CV570" s="47"/>
      <c r="CW570" s="47"/>
      <c r="CX570" s="47"/>
      <c r="CY570" s="47"/>
      <c r="DD570" s="47"/>
      <c r="DE570" s="47"/>
      <c r="DF570" s="47"/>
      <c r="DG570" s="47"/>
      <c r="DH570" s="47"/>
      <c r="DL570" s="47"/>
      <c r="DM570" s="47"/>
      <c r="DN570" s="47"/>
      <c r="DO570" s="47"/>
      <c r="DP570" s="47"/>
      <c r="DQ570" s="47"/>
    </row>
    <row r="571">
      <c r="CU571" s="47"/>
      <c r="CV571" s="47"/>
      <c r="CW571" s="47"/>
      <c r="CX571" s="47"/>
      <c r="CY571" s="47"/>
      <c r="DD571" s="47"/>
      <c r="DE571" s="47"/>
      <c r="DF571" s="47"/>
      <c r="DG571" s="47"/>
      <c r="DH571" s="47"/>
      <c r="DL571" s="47"/>
      <c r="DM571" s="47"/>
      <c r="DN571" s="47"/>
      <c r="DO571" s="47"/>
      <c r="DP571" s="47"/>
      <c r="DQ571" s="47"/>
    </row>
    <row r="572">
      <c r="CU572" s="47"/>
      <c r="CV572" s="47"/>
      <c r="CW572" s="47"/>
      <c r="CX572" s="47"/>
      <c r="CY572" s="47"/>
      <c r="DD572" s="47"/>
      <c r="DE572" s="47"/>
      <c r="DF572" s="47"/>
      <c r="DG572" s="47"/>
      <c r="DH572" s="47"/>
      <c r="DL572" s="47"/>
      <c r="DM572" s="47"/>
      <c r="DN572" s="47"/>
      <c r="DO572" s="47"/>
      <c r="DP572" s="47"/>
      <c r="DQ572" s="47"/>
    </row>
    <row r="573">
      <c r="CU573" s="47"/>
      <c r="CV573" s="47"/>
      <c r="CW573" s="47"/>
      <c r="CX573" s="47"/>
      <c r="CY573" s="47"/>
      <c r="DD573" s="47"/>
      <c r="DE573" s="47"/>
      <c r="DF573" s="47"/>
      <c r="DG573" s="47"/>
      <c r="DH573" s="47"/>
      <c r="DL573" s="47"/>
      <c r="DM573" s="47"/>
      <c r="DN573" s="47"/>
      <c r="DO573" s="47"/>
      <c r="DP573" s="47"/>
      <c r="DQ573" s="47"/>
    </row>
    <row r="574">
      <c r="CU574" s="47"/>
      <c r="CV574" s="47"/>
      <c r="CW574" s="47"/>
      <c r="CX574" s="47"/>
      <c r="CY574" s="47"/>
      <c r="DD574" s="47"/>
      <c r="DE574" s="47"/>
      <c r="DF574" s="47"/>
      <c r="DG574" s="47"/>
      <c r="DH574" s="47"/>
      <c r="DL574" s="47"/>
      <c r="DM574" s="47"/>
      <c r="DN574" s="47"/>
      <c r="DO574" s="47"/>
      <c r="DP574" s="47"/>
      <c r="DQ574" s="47"/>
    </row>
    <row r="575">
      <c r="CU575" s="47"/>
      <c r="CV575" s="47"/>
      <c r="CW575" s="47"/>
      <c r="CX575" s="47"/>
      <c r="CY575" s="47"/>
      <c r="DD575" s="47"/>
      <c r="DE575" s="47"/>
      <c r="DF575" s="47"/>
      <c r="DG575" s="47"/>
      <c r="DH575" s="47"/>
      <c r="DL575" s="47"/>
      <c r="DM575" s="47"/>
      <c r="DN575" s="47"/>
      <c r="DO575" s="47"/>
      <c r="DP575" s="47"/>
      <c r="DQ575" s="47"/>
    </row>
    <row r="576">
      <c r="CU576" s="47"/>
      <c r="CV576" s="47"/>
      <c r="CW576" s="47"/>
      <c r="CX576" s="47"/>
      <c r="CY576" s="47"/>
      <c r="DD576" s="47"/>
      <c r="DE576" s="47"/>
      <c r="DF576" s="47"/>
      <c r="DG576" s="47"/>
      <c r="DH576" s="47"/>
      <c r="DL576" s="47"/>
      <c r="DM576" s="47"/>
      <c r="DN576" s="47"/>
      <c r="DO576" s="47"/>
      <c r="DP576" s="47"/>
      <c r="DQ576" s="47"/>
    </row>
    <row r="577">
      <c r="CU577" s="47"/>
      <c r="CV577" s="47"/>
      <c r="CW577" s="47"/>
      <c r="CX577" s="47"/>
      <c r="CY577" s="47"/>
      <c r="DD577" s="47"/>
      <c r="DE577" s="47"/>
      <c r="DF577" s="47"/>
      <c r="DG577" s="47"/>
      <c r="DH577" s="47"/>
      <c r="DL577" s="47"/>
      <c r="DM577" s="47"/>
      <c r="DN577" s="47"/>
      <c r="DO577" s="47"/>
      <c r="DP577" s="47"/>
      <c r="DQ577" s="47"/>
    </row>
    <row r="578">
      <c r="CU578" s="47"/>
      <c r="CV578" s="47"/>
      <c r="CW578" s="47"/>
      <c r="CX578" s="47"/>
      <c r="CY578" s="47"/>
      <c r="DD578" s="47"/>
      <c r="DE578" s="47"/>
      <c r="DF578" s="47"/>
      <c r="DG578" s="47"/>
      <c r="DH578" s="47"/>
      <c r="DL578" s="47"/>
      <c r="DM578" s="47"/>
      <c r="DN578" s="47"/>
      <c r="DO578" s="47"/>
      <c r="DP578" s="47"/>
      <c r="DQ578" s="47"/>
    </row>
    <row r="579">
      <c r="CU579" s="47"/>
      <c r="CV579" s="47"/>
      <c r="CW579" s="47"/>
      <c r="CX579" s="47"/>
      <c r="CY579" s="47"/>
      <c r="DD579" s="47"/>
      <c r="DE579" s="47"/>
      <c r="DF579" s="47"/>
      <c r="DG579" s="47"/>
      <c r="DH579" s="47"/>
      <c r="DL579" s="47"/>
      <c r="DM579" s="47"/>
      <c r="DN579" s="47"/>
      <c r="DO579" s="47"/>
      <c r="DP579" s="47"/>
      <c r="DQ579" s="47"/>
    </row>
    <row r="580">
      <c r="CU580" s="47"/>
      <c r="CV580" s="47"/>
      <c r="CW580" s="47"/>
      <c r="CX580" s="47"/>
      <c r="CY580" s="47"/>
      <c r="DD580" s="47"/>
      <c r="DE580" s="47"/>
      <c r="DF580" s="47"/>
      <c r="DG580" s="47"/>
      <c r="DH580" s="47"/>
      <c r="DL580" s="47"/>
      <c r="DM580" s="47"/>
      <c r="DN580" s="47"/>
      <c r="DO580" s="47"/>
      <c r="DP580" s="47"/>
      <c r="DQ580" s="47"/>
    </row>
    <row r="581">
      <c r="CU581" s="47"/>
      <c r="CV581" s="47"/>
      <c r="CW581" s="47"/>
      <c r="CX581" s="47"/>
      <c r="CY581" s="47"/>
      <c r="DD581" s="47"/>
      <c r="DE581" s="47"/>
      <c r="DF581" s="47"/>
      <c r="DG581" s="47"/>
      <c r="DH581" s="47"/>
      <c r="DL581" s="47"/>
      <c r="DM581" s="47"/>
      <c r="DN581" s="47"/>
      <c r="DO581" s="47"/>
      <c r="DP581" s="47"/>
      <c r="DQ581" s="47"/>
    </row>
    <row r="582">
      <c r="CU582" s="47"/>
      <c r="CV582" s="47"/>
      <c r="CW582" s="47"/>
      <c r="CX582" s="47"/>
      <c r="CY582" s="47"/>
      <c r="DD582" s="47"/>
      <c r="DE582" s="47"/>
      <c r="DF582" s="47"/>
      <c r="DG582" s="47"/>
      <c r="DH582" s="47"/>
      <c r="DL582" s="47"/>
      <c r="DM582" s="47"/>
      <c r="DN582" s="47"/>
      <c r="DO582" s="47"/>
      <c r="DP582" s="47"/>
      <c r="DQ582" s="47"/>
    </row>
    <row r="583">
      <c r="CU583" s="47"/>
      <c r="CV583" s="47"/>
      <c r="CW583" s="47"/>
      <c r="CX583" s="47"/>
      <c r="CY583" s="47"/>
      <c r="DD583" s="47"/>
      <c r="DE583" s="47"/>
      <c r="DF583" s="47"/>
      <c r="DG583" s="47"/>
      <c r="DH583" s="47"/>
      <c r="DL583" s="47"/>
      <c r="DM583" s="47"/>
      <c r="DN583" s="47"/>
      <c r="DO583" s="47"/>
      <c r="DP583" s="47"/>
      <c r="DQ583" s="47"/>
    </row>
    <row r="584">
      <c r="CU584" s="47"/>
      <c r="CV584" s="47"/>
      <c r="CW584" s="47"/>
      <c r="CX584" s="47"/>
      <c r="CY584" s="47"/>
      <c r="DD584" s="47"/>
      <c r="DE584" s="47"/>
      <c r="DF584" s="47"/>
      <c r="DG584" s="47"/>
      <c r="DH584" s="47"/>
      <c r="DL584" s="47"/>
      <c r="DM584" s="47"/>
      <c r="DN584" s="47"/>
      <c r="DO584" s="47"/>
      <c r="DP584" s="47"/>
      <c r="DQ584" s="47"/>
    </row>
    <row r="585">
      <c r="CU585" s="47"/>
      <c r="CV585" s="47"/>
      <c r="CW585" s="47"/>
      <c r="CX585" s="47"/>
      <c r="CY585" s="47"/>
      <c r="DD585" s="47"/>
      <c r="DE585" s="47"/>
      <c r="DF585" s="47"/>
      <c r="DG585" s="47"/>
      <c r="DH585" s="47"/>
      <c r="DL585" s="47"/>
      <c r="DM585" s="47"/>
      <c r="DN585" s="47"/>
      <c r="DO585" s="47"/>
      <c r="DP585" s="47"/>
      <c r="DQ585" s="47"/>
    </row>
    <row r="586">
      <c r="CU586" s="47"/>
      <c r="CV586" s="47"/>
      <c r="CW586" s="47"/>
      <c r="CX586" s="47"/>
      <c r="CY586" s="47"/>
      <c r="DD586" s="47"/>
      <c r="DE586" s="47"/>
      <c r="DF586" s="47"/>
      <c r="DG586" s="47"/>
      <c r="DH586" s="47"/>
      <c r="DL586" s="47"/>
      <c r="DM586" s="47"/>
      <c r="DN586" s="47"/>
      <c r="DO586" s="47"/>
      <c r="DP586" s="47"/>
      <c r="DQ586" s="47"/>
    </row>
    <row r="587">
      <c r="CU587" s="47"/>
      <c r="CV587" s="47"/>
      <c r="CW587" s="47"/>
      <c r="CX587" s="47"/>
      <c r="CY587" s="47"/>
      <c r="DD587" s="47"/>
      <c r="DE587" s="47"/>
      <c r="DF587" s="47"/>
      <c r="DG587" s="47"/>
      <c r="DH587" s="47"/>
      <c r="DL587" s="47"/>
      <c r="DM587" s="47"/>
      <c r="DN587" s="47"/>
      <c r="DO587" s="47"/>
      <c r="DP587" s="47"/>
      <c r="DQ587" s="47"/>
    </row>
    <row r="588">
      <c r="CU588" s="47"/>
      <c r="CV588" s="47"/>
      <c r="CW588" s="47"/>
      <c r="CX588" s="47"/>
      <c r="CY588" s="47"/>
      <c r="DD588" s="47"/>
      <c r="DE588" s="47"/>
      <c r="DF588" s="47"/>
      <c r="DG588" s="47"/>
      <c r="DH588" s="47"/>
      <c r="DL588" s="47"/>
      <c r="DM588" s="47"/>
      <c r="DN588" s="47"/>
      <c r="DO588" s="47"/>
      <c r="DP588" s="47"/>
      <c r="DQ588" s="47"/>
    </row>
    <row r="589">
      <c r="CU589" s="47"/>
      <c r="CV589" s="47"/>
      <c r="CW589" s="47"/>
      <c r="CX589" s="47"/>
      <c r="CY589" s="47"/>
      <c r="DD589" s="47"/>
      <c r="DE589" s="47"/>
      <c r="DF589" s="47"/>
      <c r="DG589" s="47"/>
      <c r="DH589" s="47"/>
      <c r="DL589" s="47"/>
      <c r="DM589" s="47"/>
      <c r="DN589" s="47"/>
      <c r="DO589" s="47"/>
      <c r="DP589" s="47"/>
      <c r="DQ589" s="47"/>
    </row>
    <row r="590">
      <c r="CU590" s="47"/>
      <c r="CV590" s="47"/>
      <c r="CW590" s="47"/>
      <c r="CX590" s="47"/>
      <c r="CY590" s="47"/>
      <c r="DD590" s="47"/>
      <c r="DE590" s="47"/>
      <c r="DF590" s="47"/>
      <c r="DG590" s="47"/>
      <c r="DH590" s="47"/>
      <c r="DL590" s="47"/>
      <c r="DM590" s="47"/>
      <c r="DN590" s="47"/>
      <c r="DO590" s="47"/>
      <c r="DP590" s="47"/>
      <c r="DQ590" s="47"/>
    </row>
    <row r="591">
      <c r="CU591" s="47"/>
      <c r="CV591" s="47"/>
      <c r="CW591" s="47"/>
      <c r="CX591" s="47"/>
      <c r="CY591" s="47"/>
      <c r="DD591" s="47"/>
      <c r="DE591" s="47"/>
      <c r="DF591" s="47"/>
      <c r="DG591" s="47"/>
      <c r="DH591" s="47"/>
      <c r="DL591" s="47"/>
      <c r="DM591" s="47"/>
      <c r="DN591" s="47"/>
      <c r="DO591" s="47"/>
      <c r="DP591" s="47"/>
      <c r="DQ591" s="47"/>
    </row>
    <row r="592">
      <c r="CU592" s="47"/>
      <c r="CV592" s="47"/>
      <c r="CW592" s="47"/>
      <c r="CX592" s="47"/>
      <c r="CY592" s="47"/>
      <c r="DD592" s="47"/>
      <c r="DE592" s="47"/>
      <c r="DF592" s="47"/>
      <c r="DG592" s="47"/>
      <c r="DH592" s="47"/>
      <c r="DL592" s="47"/>
      <c r="DM592" s="47"/>
      <c r="DN592" s="47"/>
      <c r="DO592" s="47"/>
      <c r="DP592" s="47"/>
      <c r="DQ592" s="47"/>
    </row>
    <row r="593">
      <c r="CU593" s="47"/>
      <c r="CV593" s="47"/>
      <c r="CW593" s="47"/>
      <c r="CX593" s="47"/>
      <c r="CY593" s="47"/>
      <c r="DD593" s="47"/>
      <c r="DE593" s="47"/>
      <c r="DF593" s="47"/>
      <c r="DG593" s="47"/>
      <c r="DH593" s="47"/>
      <c r="DL593" s="47"/>
      <c r="DM593" s="47"/>
      <c r="DN593" s="47"/>
      <c r="DO593" s="47"/>
      <c r="DP593" s="47"/>
      <c r="DQ593" s="47"/>
    </row>
    <row r="594">
      <c r="CU594" s="47"/>
      <c r="CV594" s="47"/>
      <c r="CW594" s="47"/>
      <c r="CX594" s="47"/>
      <c r="CY594" s="47"/>
      <c r="DD594" s="47"/>
      <c r="DE594" s="47"/>
      <c r="DF594" s="47"/>
      <c r="DG594" s="47"/>
      <c r="DH594" s="47"/>
      <c r="DL594" s="47"/>
      <c r="DM594" s="47"/>
      <c r="DN594" s="47"/>
      <c r="DO594" s="47"/>
      <c r="DP594" s="47"/>
      <c r="DQ594" s="47"/>
    </row>
    <row r="595">
      <c r="CU595" s="47"/>
      <c r="CV595" s="47"/>
      <c r="CW595" s="47"/>
      <c r="CX595" s="47"/>
      <c r="CY595" s="47"/>
      <c r="DD595" s="47"/>
      <c r="DE595" s="47"/>
      <c r="DF595" s="47"/>
      <c r="DG595" s="47"/>
      <c r="DH595" s="47"/>
      <c r="DL595" s="47"/>
      <c r="DM595" s="47"/>
      <c r="DN595" s="47"/>
      <c r="DO595" s="47"/>
      <c r="DP595" s="47"/>
      <c r="DQ595" s="47"/>
    </row>
    <row r="596">
      <c r="CU596" s="47"/>
      <c r="CV596" s="47"/>
      <c r="CW596" s="47"/>
      <c r="CX596" s="47"/>
      <c r="CY596" s="47"/>
      <c r="DD596" s="47"/>
      <c r="DE596" s="47"/>
      <c r="DF596" s="47"/>
      <c r="DG596" s="47"/>
      <c r="DH596" s="47"/>
      <c r="DL596" s="47"/>
      <c r="DM596" s="47"/>
      <c r="DN596" s="47"/>
      <c r="DO596" s="47"/>
      <c r="DP596" s="47"/>
      <c r="DQ596" s="47"/>
    </row>
    <row r="597">
      <c r="CU597" s="47"/>
      <c r="CV597" s="47"/>
      <c r="CW597" s="47"/>
      <c r="CX597" s="47"/>
      <c r="CY597" s="47"/>
      <c r="DD597" s="47"/>
      <c r="DE597" s="47"/>
      <c r="DF597" s="47"/>
      <c r="DG597" s="47"/>
      <c r="DH597" s="47"/>
      <c r="DL597" s="47"/>
      <c r="DM597" s="47"/>
      <c r="DN597" s="47"/>
      <c r="DO597" s="47"/>
      <c r="DP597" s="47"/>
      <c r="DQ597" s="47"/>
    </row>
    <row r="598">
      <c r="CU598" s="47"/>
      <c r="CV598" s="47"/>
      <c r="CW598" s="47"/>
      <c r="CX598" s="47"/>
      <c r="CY598" s="47"/>
      <c r="DD598" s="47"/>
      <c r="DE598" s="47"/>
      <c r="DF598" s="47"/>
      <c r="DG598" s="47"/>
      <c r="DH598" s="47"/>
      <c r="DL598" s="47"/>
      <c r="DM598" s="47"/>
      <c r="DN598" s="47"/>
      <c r="DO598" s="47"/>
      <c r="DP598" s="47"/>
      <c r="DQ598" s="47"/>
    </row>
    <row r="599">
      <c r="CU599" s="47"/>
      <c r="CV599" s="47"/>
      <c r="CW599" s="47"/>
      <c r="CX599" s="47"/>
      <c r="CY599" s="47"/>
      <c r="DD599" s="47"/>
      <c r="DE599" s="47"/>
      <c r="DF599" s="47"/>
      <c r="DG599" s="47"/>
      <c r="DH599" s="47"/>
      <c r="DL599" s="47"/>
      <c r="DM599" s="47"/>
      <c r="DN599" s="47"/>
      <c r="DO599" s="47"/>
      <c r="DP599" s="47"/>
      <c r="DQ599" s="47"/>
    </row>
    <row r="600">
      <c r="CU600" s="47"/>
      <c r="CV600" s="47"/>
      <c r="CW600" s="47"/>
      <c r="CX600" s="47"/>
      <c r="CY600" s="47"/>
      <c r="DD600" s="47"/>
      <c r="DE600" s="47"/>
      <c r="DF600" s="47"/>
      <c r="DG600" s="47"/>
      <c r="DH600" s="47"/>
      <c r="DL600" s="47"/>
      <c r="DM600" s="47"/>
      <c r="DN600" s="47"/>
      <c r="DO600" s="47"/>
      <c r="DP600" s="47"/>
      <c r="DQ600" s="47"/>
    </row>
    <row r="601">
      <c r="CU601" s="47"/>
      <c r="CV601" s="47"/>
      <c r="CW601" s="47"/>
      <c r="CX601" s="47"/>
      <c r="CY601" s="47"/>
      <c r="DD601" s="47"/>
      <c r="DE601" s="47"/>
      <c r="DF601" s="47"/>
      <c r="DG601" s="47"/>
      <c r="DH601" s="47"/>
      <c r="DL601" s="47"/>
      <c r="DM601" s="47"/>
      <c r="DN601" s="47"/>
      <c r="DO601" s="47"/>
      <c r="DP601" s="47"/>
      <c r="DQ601" s="47"/>
    </row>
    <row r="602">
      <c r="CU602" s="47"/>
      <c r="CV602" s="47"/>
      <c r="CW602" s="47"/>
      <c r="CX602" s="47"/>
      <c r="CY602" s="47"/>
      <c r="DD602" s="47"/>
      <c r="DE602" s="47"/>
      <c r="DF602" s="47"/>
      <c r="DG602" s="47"/>
      <c r="DH602" s="47"/>
      <c r="DL602" s="47"/>
      <c r="DM602" s="47"/>
      <c r="DN602" s="47"/>
      <c r="DO602" s="47"/>
      <c r="DP602" s="47"/>
      <c r="DQ602" s="47"/>
    </row>
    <row r="603">
      <c r="CU603" s="47"/>
      <c r="CV603" s="47"/>
      <c r="CW603" s="47"/>
      <c r="CX603" s="47"/>
      <c r="CY603" s="47"/>
      <c r="DD603" s="47"/>
      <c r="DE603" s="47"/>
      <c r="DF603" s="47"/>
      <c r="DG603" s="47"/>
      <c r="DH603" s="47"/>
      <c r="DL603" s="47"/>
      <c r="DM603" s="47"/>
      <c r="DN603" s="47"/>
      <c r="DO603" s="47"/>
      <c r="DP603" s="47"/>
      <c r="DQ603" s="47"/>
    </row>
    <row r="604">
      <c r="CU604" s="47"/>
      <c r="CV604" s="47"/>
      <c r="CW604" s="47"/>
      <c r="CX604" s="47"/>
      <c r="CY604" s="47"/>
      <c r="DD604" s="47"/>
      <c r="DE604" s="47"/>
      <c r="DF604" s="47"/>
      <c r="DG604" s="47"/>
      <c r="DH604" s="47"/>
      <c r="DL604" s="47"/>
      <c r="DM604" s="47"/>
      <c r="DN604" s="47"/>
      <c r="DO604" s="47"/>
      <c r="DP604" s="47"/>
      <c r="DQ604" s="47"/>
    </row>
    <row r="605">
      <c r="CU605" s="47"/>
      <c r="CV605" s="47"/>
      <c r="CW605" s="47"/>
      <c r="CX605" s="47"/>
      <c r="CY605" s="47"/>
      <c r="DD605" s="47"/>
      <c r="DE605" s="47"/>
      <c r="DF605" s="47"/>
      <c r="DG605" s="47"/>
      <c r="DH605" s="47"/>
      <c r="DL605" s="47"/>
      <c r="DM605" s="47"/>
      <c r="DN605" s="47"/>
      <c r="DO605" s="47"/>
      <c r="DP605" s="47"/>
      <c r="DQ605" s="47"/>
    </row>
    <row r="606">
      <c r="CU606" s="47"/>
      <c r="CV606" s="47"/>
      <c r="CW606" s="47"/>
      <c r="CX606" s="47"/>
      <c r="CY606" s="47"/>
      <c r="DD606" s="47"/>
      <c r="DE606" s="47"/>
      <c r="DF606" s="47"/>
      <c r="DG606" s="47"/>
      <c r="DH606" s="47"/>
      <c r="DL606" s="47"/>
      <c r="DM606" s="47"/>
      <c r="DN606" s="47"/>
      <c r="DO606" s="47"/>
      <c r="DP606" s="47"/>
      <c r="DQ606" s="47"/>
    </row>
    <row r="607">
      <c r="CU607" s="47"/>
      <c r="CV607" s="47"/>
      <c r="CW607" s="47"/>
      <c r="CX607" s="47"/>
      <c r="CY607" s="47"/>
      <c r="DD607" s="47"/>
      <c r="DE607" s="47"/>
      <c r="DF607" s="47"/>
      <c r="DG607" s="47"/>
      <c r="DH607" s="47"/>
      <c r="DL607" s="47"/>
      <c r="DM607" s="47"/>
      <c r="DN607" s="47"/>
      <c r="DO607" s="47"/>
      <c r="DP607" s="47"/>
      <c r="DQ607" s="47"/>
    </row>
    <row r="608">
      <c r="CU608" s="47"/>
      <c r="CV608" s="47"/>
      <c r="CW608" s="47"/>
      <c r="CX608" s="47"/>
      <c r="CY608" s="47"/>
      <c r="DD608" s="47"/>
      <c r="DE608" s="47"/>
      <c r="DF608" s="47"/>
      <c r="DG608" s="47"/>
      <c r="DH608" s="47"/>
      <c r="DL608" s="47"/>
      <c r="DM608" s="47"/>
      <c r="DN608" s="47"/>
      <c r="DO608" s="47"/>
      <c r="DP608" s="47"/>
      <c r="DQ608" s="47"/>
    </row>
    <row r="609">
      <c r="CU609" s="47"/>
      <c r="CV609" s="47"/>
      <c r="CW609" s="47"/>
      <c r="CX609" s="47"/>
      <c r="CY609" s="47"/>
      <c r="DD609" s="47"/>
      <c r="DE609" s="47"/>
      <c r="DF609" s="47"/>
      <c r="DG609" s="47"/>
      <c r="DH609" s="47"/>
      <c r="DL609" s="47"/>
      <c r="DM609" s="47"/>
      <c r="DN609" s="47"/>
      <c r="DO609" s="47"/>
      <c r="DP609" s="47"/>
      <c r="DQ609" s="47"/>
    </row>
    <row r="610">
      <c r="CU610" s="47"/>
      <c r="CV610" s="47"/>
      <c r="CW610" s="47"/>
      <c r="CX610" s="47"/>
      <c r="CY610" s="47"/>
      <c r="DD610" s="47"/>
      <c r="DE610" s="47"/>
      <c r="DF610" s="47"/>
      <c r="DG610" s="47"/>
      <c r="DH610" s="47"/>
      <c r="DL610" s="47"/>
      <c r="DM610" s="47"/>
      <c r="DN610" s="47"/>
      <c r="DO610" s="47"/>
      <c r="DP610" s="47"/>
      <c r="DQ610" s="47"/>
    </row>
    <row r="611">
      <c r="CU611" s="47"/>
      <c r="CV611" s="47"/>
      <c r="CW611" s="47"/>
      <c r="CX611" s="47"/>
      <c r="CY611" s="47"/>
      <c r="DD611" s="47"/>
      <c r="DE611" s="47"/>
      <c r="DF611" s="47"/>
      <c r="DG611" s="47"/>
      <c r="DH611" s="47"/>
      <c r="DL611" s="47"/>
      <c r="DM611" s="47"/>
      <c r="DN611" s="47"/>
      <c r="DO611" s="47"/>
      <c r="DP611" s="47"/>
      <c r="DQ611" s="47"/>
    </row>
    <row r="612">
      <c r="CU612" s="47"/>
      <c r="CV612" s="47"/>
      <c r="CW612" s="47"/>
      <c r="CX612" s="47"/>
      <c r="CY612" s="47"/>
      <c r="DD612" s="47"/>
      <c r="DE612" s="47"/>
      <c r="DF612" s="47"/>
      <c r="DG612" s="47"/>
      <c r="DH612" s="47"/>
      <c r="DL612" s="47"/>
      <c r="DM612" s="47"/>
      <c r="DN612" s="47"/>
      <c r="DO612" s="47"/>
      <c r="DP612" s="47"/>
      <c r="DQ612" s="47"/>
    </row>
    <row r="613">
      <c r="CU613" s="47"/>
      <c r="CV613" s="47"/>
      <c r="CW613" s="47"/>
      <c r="CX613" s="47"/>
      <c r="CY613" s="47"/>
      <c r="DD613" s="47"/>
      <c r="DE613" s="47"/>
      <c r="DF613" s="47"/>
      <c r="DG613" s="47"/>
      <c r="DH613" s="47"/>
      <c r="DL613" s="47"/>
      <c r="DM613" s="47"/>
      <c r="DN613" s="47"/>
      <c r="DO613" s="47"/>
      <c r="DP613" s="47"/>
      <c r="DQ613" s="47"/>
    </row>
    <row r="614">
      <c r="CU614" s="47"/>
      <c r="CV614" s="47"/>
      <c r="CW614" s="47"/>
      <c r="CX614" s="47"/>
      <c r="CY614" s="47"/>
      <c r="DD614" s="47"/>
      <c r="DE614" s="47"/>
      <c r="DF614" s="47"/>
      <c r="DG614" s="47"/>
      <c r="DH614" s="47"/>
      <c r="DL614" s="47"/>
      <c r="DM614" s="47"/>
      <c r="DN614" s="47"/>
      <c r="DO614" s="47"/>
      <c r="DP614" s="47"/>
      <c r="DQ614" s="47"/>
    </row>
    <row r="615">
      <c r="CU615" s="47"/>
      <c r="CV615" s="47"/>
      <c r="CW615" s="47"/>
      <c r="CX615" s="47"/>
      <c r="CY615" s="47"/>
      <c r="DD615" s="47"/>
      <c r="DE615" s="47"/>
      <c r="DF615" s="47"/>
      <c r="DG615" s="47"/>
      <c r="DH615" s="47"/>
      <c r="DL615" s="47"/>
      <c r="DM615" s="47"/>
      <c r="DN615" s="47"/>
      <c r="DO615" s="47"/>
      <c r="DP615" s="47"/>
      <c r="DQ615" s="47"/>
    </row>
    <row r="616">
      <c r="CU616" s="47"/>
      <c r="CV616" s="47"/>
      <c r="CW616" s="47"/>
      <c r="CX616" s="47"/>
      <c r="CY616" s="47"/>
      <c r="DD616" s="47"/>
      <c r="DE616" s="47"/>
      <c r="DF616" s="47"/>
      <c r="DG616" s="47"/>
      <c r="DH616" s="47"/>
      <c r="DL616" s="47"/>
      <c r="DM616" s="47"/>
      <c r="DN616" s="47"/>
      <c r="DO616" s="47"/>
      <c r="DP616" s="47"/>
      <c r="DQ616" s="47"/>
    </row>
    <row r="617">
      <c r="CU617" s="47"/>
      <c r="CV617" s="47"/>
      <c r="CW617" s="47"/>
      <c r="CX617" s="47"/>
      <c r="CY617" s="47"/>
      <c r="DD617" s="47"/>
      <c r="DE617" s="47"/>
      <c r="DF617" s="47"/>
      <c r="DG617" s="47"/>
      <c r="DH617" s="47"/>
      <c r="DL617" s="47"/>
      <c r="DM617" s="47"/>
      <c r="DN617" s="47"/>
      <c r="DO617" s="47"/>
      <c r="DP617" s="47"/>
      <c r="DQ617" s="47"/>
    </row>
    <row r="618">
      <c r="CU618" s="47"/>
      <c r="CV618" s="47"/>
      <c r="CW618" s="47"/>
      <c r="CX618" s="47"/>
      <c r="CY618" s="47"/>
      <c r="DD618" s="47"/>
      <c r="DE618" s="47"/>
      <c r="DF618" s="47"/>
      <c r="DG618" s="47"/>
      <c r="DH618" s="47"/>
      <c r="DL618" s="47"/>
      <c r="DM618" s="47"/>
      <c r="DN618" s="47"/>
      <c r="DO618" s="47"/>
      <c r="DP618" s="47"/>
      <c r="DQ618" s="47"/>
    </row>
    <row r="619">
      <c r="CU619" s="47"/>
      <c r="CV619" s="47"/>
      <c r="CW619" s="47"/>
      <c r="CX619" s="47"/>
      <c r="CY619" s="47"/>
      <c r="DD619" s="47"/>
      <c r="DE619" s="47"/>
      <c r="DF619" s="47"/>
      <c r="DG619" s="47"/>
      <c r="DH619" s="47"/>
      <c r="DL619" s="47"/>
      <c r="DM619" s="47"/>
      <c r="DN619" s="47"/>
      <c r="DO619" s="47"/>
      <c r="DP619" s="47"/>
      <c r="DQ619" s="47"/>
    </row>
    <row r="620">
      <c r="CU620" s="47"/>
      <c r="CV620" s="47"/>
      <c r="CW620" s="47"/>
      <c r="CX620" s="47"/>
      <c r="CY620" s="47"/>
      <c r="DD620" s="47"/>
      <c r="DE620" s="47"/>
      <c r="DF620" s="47"/>
      <c r="DG620" s="47"/>
      <c r="DH620" s="47"/>
      <c r="DL620" s="47"/>
      <c r="DM620" s="47"/>
      <c r="DN620" s="47"/>
      <c r="DO620" s="47"/>
      <c r="DP620" s="47"/>
      <c r="DQ620" s="47"/>
    </row>
    <row r="621">
      <c r="CU621" s="47"/>
      <c r="CV621" s="47"/>
      <c r="CW621" s="47"/>
      <c r="CX621" s="47"/>
      <c r="CY621" s="47"/>
      <c r="DD621" s="47"/>
      <c r="DE621" s="47"/>
      <c r="DF621" s="47"/>
      <c r="DG621" s="47"/>
      <c r="DH621" s="47"/>
      <c r="DL621" s="47"/>
      <c r="DM621" s="47"/>
      <c r="DN621" s="47"/>
      <c r="DO621" s="47"/>
      <c r="DP621" s="47"/>
      <c r="DQ621" s="47"/>
    </row>
    <row r="622">
      <c r="CU622" s="47"/>
      <c r="CV622" s="47"/>
      <c r="CW622" s="47"/>
      <c r="CX622" s="47"/>
      <c r="CY622" s="47"/>
      <c r="DD622" s="47"/>
      <c r="DE622" s="47"/>
      <c r="DF622" s="47"/>
      <c r="DG622" s="47"/>
      <c r="DH622" s="47"/>
      <c r="DL622" s="47"/>
      <c r="DM622" s="47"/>
      <c r="DN622" s="47"/>
      <c r="DO622" s="47"/>
      <c r="DP622" s="47"/>
      <c r="DQ622" s="47"/>
    </row>
    <row r="623">
      <c r="CU623" s="47"/>
      <c r="CV623" s="47"/>
      <c r="CW623" s="47"/>
      <c r="CX623" s="47"/>
      <c r="CY623" s="47"/>
      <c r="DD623" s="47"/>
      <c r="DE623" s="47"/>
      <c r="DF623" s="47"/>
      <c r="DG623" s="47"/>
      <c r="DH623" s="47"/>
      <c r="DL623" s="47"/>
      <c r="DM623" s="47"/>
      <c r="DN623" s="47"/>
      <c r="DO623" s="47"/>
      <c r="DP623" s="47"/>
      <c r="DQ623" s="47"/>
    </row>
    <row r="624">
      <c r="CU624" s="47"/>
      <c r="CV624" s="47"/>
      <c r="CW624" s="47"/>
      <c r="CX624" s="47"/>
      <c r="CY624" s="47"/>
      <c r="DD624" s="47"/>
      <c r="DE624" s="47"/>
      <c r="DF624" s="47"/>
      <c r="DG624" s="47"/>
      <c r="DH624" s="47"/>
      <c r="DL624" s="47"/>
      <c r="DM624" s="47"/>
      <c r="DN624" s="47"/>
      <c r="DO624" s="47"/>
      <c r="DP624" s="47"/>
      <c r="DQ624" s="47"/>
    </row>
    <row r="625">
      <c r="CU625" s="47"/>
      <c r="CV625" s="47"/>
      <c r="CW625" s="47"/>
      <c r="CX625" s="47"/>
      <c r="CY625" s="47"/>
      <c r="DD625" s="47"/>
      <c r="DE625" s="47"/>
      <c r="DF625" s="47"/>
      <c r="DG625" s="47"/>
      <c r="DH625" s="47"/>
      <c r="DL625" s="47"/>
      <c r="DM625" s="47"/>
      <c r="DN625" s="47"/>
      <c r="DO625" s="47"/>
      <c r="DP625" s="47"/>
      <c r="DQ625" s="47"/>
    </row>
    <row r="626">
      <c r="CU626" s="47"/>
      <c r="CV626" s="47"/>
      <c r="CW626" s="47"/>
      <c r="CX626" s="47"/>
      <c r="CY626" s="47"/>
      <c r="DD626" s="47"/>
      <c r="DE626" s="47"/>
      <c r="DF626" s="47"/>
      <c r="DG626" s="47"/>
      <c r="DH626" s="47"/>
      <c r="DL626" s="47"/>
      <c r="DM626" s="47"/>
      <c r="DN626" s="47"/>
      <c r="DO626" s="47"/>
      <c r="DP626" s="47"/>
      <c r="DQ626" s="47"/>
    </row>
    <row r="627">
      <c r="CU627" s="47"/>
      <c r="CV627" s="47"/>
      <c r="CW627" s="47"/>
      <c r="CX627" s="47"/>
      <c r="CY627" s="47"/>
      <c r="DD627" s="47"/>
      <c r="DE627" s="47"/>
      <c r="DF627" s="47"/>
      <c r="DG627" s="47"/>
      <c r="DH627" s="47"/>
      <c r="DL627" s="47"/>
      <c r="DM627" s="47"/>
      <c r="DN627" s="47"/>
      <c r="DO627" s="47"/>
      <c r="DP627" s="47"/>
      <c r="DQ627" s="47"/>
    </row>
    <row r="628">
      <c r="CU628" s="47"/>
      <c r="CV628" s="47"/>
      <c r="CW628" s="47"/>
      <c r="CX628" s="47"/>
      <c r="CY628" s="47"/>
      <c r="DD628" s="47"/>
      <c r="DE628" s="47"/>
      <c r="DF628" s="47"/>
      <c r="DG628" s="47"/>
      <c r="DH628" s="47"/>
      <c r="DL628" s="47"/>
      <c r="DM628" s="47"/>
      <c r="DN628" s="47"/>
      <c r="DO628" s="47"/>
      <c r="DP628" s="47"/>
      <c r="DQ628" s="47"/>
    </row>
    <row r="629">
      <c r="CU629" s="47"/>
      <c r="CV629" s="47"/>
      <c r="CW629" s="47"/>
      <c r="CX629" s="47"/>
      <c r="CY629" s="47"/>
      <c r="DD629" s="47"/>
      <c r="DE629" s="47"/>
      <c r="DF629" s="47"/>
      <c r="DG629" s="47"/>
      <c r="DH629" s="47"/>
      <c r="DL629" s="47"/>
      <c r="DM629" s="47"/>
      <c r="DN629" s="47"/>
      <c r="DO629" s="47"/>
      <c r="DP629" s="47"/>
      <c r="DQ629" s="47"/>
    </row>
    <row r="630">
      <c r="CU630" s="47"/>
      <c r="CV630" s="47"/>
      <c r="CW630" s="47"/>
      <c r="CX630" s="47"/>
      <c r="CY630" s="47"/>
      <c r="DD630" s="47"/>
      <c r="DE630" s="47"/>
      <c r="DF630" s="47"/>
      <c r="DG630" s="47"/>
      <c r="DH630" s="47"/>
      <c r="DL630" s="47"/>
      <c r="DM630" s="47"/>
      <c r="DN630" s="47"/>
      <c r="DO630" s="47"/>
      <c r="DP630" s="47"/>
      <c r="DQ630" s="47"/>
    </row>
    <row r="631">
      <c r="CU631" s="47"/>
      <c r="CV631" s="47"/>
      <c r="CW631" s="47"/>
      <c r="CX631" s="47"/>
      <c r="CY631" s="47"/>
      <c r="DD631" s="47"/>
      <c r="DE631" s="47"/>
      <c r="DF631" s="47"/>
      <c r="DG631" s="47"/>
      <c r="DH631" s="47"/>
      <c r="DL631" s="47"/>
      <c r="DM631" s="47"/>
      <c r="DN631" s="47"/>
      <c r="DO631" s="47"/>
      <c r="DP631" s="47"/>
      <c r="DQ631" s="47"/>
    </row>
    <row r="632">
      <c r="CU632" s="47"/>
      <c r="CV632" s="47"/>
      <c r="CW632" s="47"/>
      <c r="CX632" s="47"/>
      <c r="CY632" s="47"/>
      <c r="DD632" s="47"/>
      <c r="DE632" s="47"/>
      <c r="DF632" s="47"/>
      <c r="DG632" s="47"/>
      <c r="DH632" s="47"/>
      <c r="DL632" s="47"/>
      <c r="DM632" s="47"/>
      <c r="DN632" s="47"/>
      <c r="DO632" s="47"/>
      <c r="DP632" s="47"/>
      <c r="DQ632" s="47"/>
    </row>
    <row r="633">
      <c r="CU633" s="47"/>
      <c r="CV633" s="47"/>
      <c r="CW633" s="47"/>
      <c r="CX633" s="47"/>
      <c r="CY633" s="47"/>
      <c r="DD633" s="47"/>
      <c r="DE633" s="47"/>
      <c r="DF633" s="47"/>
      <c r="DG633" s="47"/>
      <c r="DH633" s="47"/>
      <c r="DL633" s="47"/>
      <c r="DM633" s="47"/>
      <c r="DN633" s="47"/>
      <c r="DO633" s="47"/>
      <c r="DP633" s="47"/>
      <c r="DQ633" s="47"/>
    </row>
    <row r="634">
      <c r="CU634" s="47"/>
      <c r="CV634" s="47"/>
      <c r="CW634" s="47"/>
      <c r="CX634" s="47"/>
      <c r="CY634" s="47"/>
      <c r="DD634" s="47"/>
      <c r="DE634" s="47"/>
      <c r="DF634" s="47"/>
      <c r="DG634" s="47"/>
      <c r="DH634" s="47"/>
      <c r="DL634" s="47"/>
      <c r="DM634" s="47"/>
      <c r="DN634" s="47"/>
      <c r="DO634" s="47"/>
      <c r="DP634" s="47"/>
      <c r="DQ634" s="47"/>
    </row>
    <row r="635">
      <c r="CU635" s="47"/>
      <c r="CV635" s="47"/>
      <c r="CW635" s="47"/>
      <c r="CX635" s="47"/>
      <c r="CY635" s="47"/>
      <c r="DD635" s="47"/>
      <c r="DE635" s="47"/>
      <c r="DF635" s="47"/>
      <c r="DG635" s="47"/>
      <c r="DH635" s="47"/>
      <c r="DL635" s="47"/>
      <c r="DM635" s="47"/>
      <c r="DN635" s="47"/>
      <c r="DO635" s="47"/>
      <c r="DP635" s="47"/>
      <c r="DQ635" s="47"/>
    </row>
    <row r="636">
      <c r="CU636" s="47"/>
      <c r="CV636" s="47"/>
      <c r="CW636" s="47"/>
      <c r="CX636" s="47"/>
      <c r="CY636" s="47"/>
      <c r="DD636" s="47"/>
      <c r="DE636" s="47"/>
      <c r="DF636" s="47"/>
      <c r="DG636" s="47"/>
      <c r="DH636" s="47"/>
      <c r="DL636" s="47"/>
      <c r="DM636" s="47"/>
      <c r="DN636" s="47"/>
      <c r="DO636" s="47"/>
      <c r="DP636" s="47"/>
      <c r="DQ636" s="47"/>
    </row>
    <row r="637">
      <c r="CU637" s="47"/>
      <c r="CV637" s="47"/>
      <c r="CW637" s="47"/>
      <c r="CX637" s="47"/>
      <c r="CY637" s="47"/>
      <c r="DD637" s="47"/>
      <c r="DE637" s="47"/>
      <c r="DF637" s="47"/>
      <c r="DG637" s="47"/>
      <c r="DH637" s="47"/>
      <c r="DL637" s="47"/>
      <c r="DM637" s="47"/>
      <c r="DN637" s="47"/>
      <c r="DO637" s="47"/>
      <c r="DP637" s="47"/>
      <c r="DQ637" s="47"/>
    </row>
    <row r="638">
      <c r="CU638" s="47"/>
      <c r="CV638" s="47"/>
      <c r="CW638" s="47"/>
      <c r="CX638" s="47"/>
      <c r="CY638" s="47"/>
      <c r="DD638" s="47"/>
      <c r="DE638" s="47"/>
      <c r="DF638" s="47"/>
      <c r="DG638" s="47"/>
      <c r="DH638" s="47"/>
      <c r="DL638" s="47"/>
      <c r="DM638" s="47"/>
      <c r="DN638" s="47"/>
      <c r="DO638" s="47"/>
      <c r="DP638" s="47"/>
      <c r="DQ638" s="47"/>
    </row>
    <row r="639">
      <c r="CU639" s="47"/>
      <c r="CV639" s="47"/>
      <c r="CW639" s="47"/>
      <c r="CX639" s="47"/>
      <c r="CY639" s="47"/>
      <c r="DD639" s="47"/>
      <c r="DE639" s="47"/>
      <c r="DF639" s="47"/>
      <c r="DG639" s="47"/>
      <c r="DH639" s="47"/>
      <c r="DL639" s="47"/>
      <c r="DM639" s="47"/>
      <c r="DN639" s="47"/>
      <c r="DO639" s="47"/>
      <c r="DP639" s="47"/>
      <c r="DQ639" s="47"/>
    </row>
    <row r="640">
      <c r="CU640" s="47"/>
      <c r="CV640" s="47"/>
      <c r="CW640" s="47"/>
      <c r="CX640" s="47"/>
      <c r="CY640" s="47"/>
      <c r="DD640" s="47"/>
      <c r="DE640" s="47"/>
      <c r="DF640" s="47"/>
      <c r="DG640" s="47"/>
      <c r="DH640" s="47"/>
      <c r="DL640" s="47"/>
      <c r="DM640" s="47"/>
      <c r="DN640" s="47"/>
      <c r="DO640" s="47"/>
      <c r="DP640" s="47"/>
      <c r="DQ640" s="47"/>
    </row>
    <row r="641">
      <c r="CU641" s="47"/>
      <c r="CV641" s="47"/>
      <c r="CW641" s="47"/>
      <c r="CX641" s="47"/>
      <c r="CY641" s="47"/>
      <c r="DD641" s="47"/>
      <c r="DE641" s="47"/>
      <c r="DF641" s="47"/>
      <c r="DG641" s="47"/>
      <c r="DH641" s="47"/>
      <c r="DL641" s="47"/>
      <c r="DM641" s="47"/>
      <c r="DN641" s="47"/>
      <c r="DO641" s="47"/>
      <c r="DP641" s="47"/>
      <c r="DQ641" s="47"/>
    </row>
    <row r="642">
      <c r="CU642" s="47"/>
      <c r="CV642" s="47"/>
      <c r="CW642" s="47"/>
      <c r="CX642" s="47"/>
      <c r="CY642" s="47"/>
      <c r="DD642" s="47"/>
      <c r="DE642" s="47"/>
      <c r="DF642" s="47"/>
      <c r="DG642" s="47"/>
      <c r="DH642" s="47"/>
      <c r="DL642" s="47"/>
      <c r="DM642" s="47"/>
      <c r="DN642" s="47"/>
      <c r="DO642" s="47"/>
      <c r="DP642" s="47"/>
      <c r="DQ642" s="47"/>
    </row>
    <row r="643">
      <c r="CU643" s="47"/>
      <c r="CV643" s="47"/>
      <c r="CW643" s="47"/>
      <c r="CX643" s="47"/>
      <c r="CY643" s="47"/>
      <c r="DD643" s="47"/>
      <c r="DE643" s="47"/>
      <c r="DF643" s="47"/>
      <c r="DG643" s="47"/>
      <c r="DH643" s="47"/>
      <c r="DL643" s="47"/>
      <c r="DM643" s="47"/>
      <c r="DN643" s="47"/>
      <c r="DO643" s="47"/>
      <c r="DP643" s="47"/>
      <c r="DQ643" s="47"/>
    </row>
    <row r="644">
      <c r="CU644" s="47"/>
      <c r="CV644" s="47"/>
      <c r="CW644" s="47"/>
      <c r="CX644" s="47"/>
      <c r="CY644" s="47"/>
      <c r="DD644" s="47"/>
      <c r="DE644" s="47"/>
      <c r="DF644" s="47"/>
      <c r="DG644" s="47"/>
      <c r="DH644" s="47"/>
      <c r="DL644" s="47"/>
      <c r="DM644" s="47"/>
      <c r="DN644" s="47"/>
      <c r="DO644" s="47"/>
      <c r="DP644" s="47"/>
      <c r="DQ644" s="47"/>
    </row>
    <row r="645">
      <c r="CU645" s="47"/>
      <c r="CV645" s="47"/>
      <c r="CW645" s="47"/>
      <c r="CX645" s="47"/>
      <c r="CY645" s="47"/>
      <c r="DD645" s="47"/>
      <c r="DE645" s="47"/>
      <c r="DF645" s="47"/>
      <c r="DG645" s="47"/>
      <c r="DH645" s="47"/>
      <c r="DL645" s="47"/>
      <c r="DM645" s="47"/>
      <c r="DN645" s="47"/>
      <c r="DO645" s="47"/>
      <c r="DP645" s="47"/>
      <c r="DQ645" s="47"/>
    </row>
    <row r="646">
      <c r="CU646" s="47"/>
      <c r="CV646" s="47"/>
      <c r="CW646" s="47"/>
      <c r="CX646" s="47"/>
      <c r="CY646" s="47"/>
      <c r="DD646" s="47"/>
      <c r="DE646" s="47"/>
      <c r="DF646" s="47"/>
      <c r="DG646" s="47"/>
      <c r="DH646" s="47"/>
      <c r="DL646" s="47"/>
      <c r="DM646" s="47"/>
      <c r="DN646" s="47"/>
      <c r="DO646" s="47"/>
      <c r="DP646" s="47"/>
      <c r="DQ646" s="47"/>
    </row>
    <row r="647">
      <c r="CU647" s="47"/>
      <c r="CV647" s="47"/>
      <c r="CW647" s="47"/>
      <c r="CX647" s="47"/>
      <c r="CY647" s="47"/>
      <c r="DD647" s="47"/>
      <c r="DE647" s="47"/>
      <c r="DF647" s="47"/>
      <c r="DG647" s="47"/>
      <c r="DH647" s="47"/>
      <c r="DL647" s="47"/>
      <c r="DM647" s="47"/>
      <c r="DN647" s="47"/>
      <c r="DO647" s="47"/>
      <c r="DP647" s="47"/>
      <c r="DQ647" s="47"/>
    </row>
    <row r="648">
      <c r="CU648" s="47"/>
      <c r="CV648" s="47"/>
      <c r="CW648" s="47"/>
      <c r="CX648" s="47"/>
      <c r="CY648" s="47"/>
      <c r="DD648" s="47"/>
      <c r="DE648" s="47"/>
      <c r="DF648" s="47"/>
      <c r="DG648" s="47"/>
      <c r="DH648" s="47"/>
      <c r="DL648" s="47"/>
      <c r="DM648" s="47"/>
      <c r="DN648" s="47"/>
      <c r="DO648" s="47"/>
      <c r="DP648" s="47"/>
      <c r="DQ648" s="47"/>
    </row>
    <row r="649">
      <c r="CU649" s="47"/>
      <c r="CV649" s="47"/>
      <c r="CW649" s="47"/>
      <c r="CX649" s="47"/>
      <c r="CY649" s="47"/>
      <c r="DD649" s="47"/>
      <c r="DE649" s="47"/>
      <c r="DF649" s="47"/>
      <c r="DG649" s="47"/>
      <c r="DH649" s="47"/>
      <c r="DL649" s="47"/>
      <c r="DM649" s="47"/>
      <c r="DN649" s="47"/>
      <c r="DO649" s="47"/>
      <c r="DP649" s="47"/>
      <c r="DQ649" s="47"/>
    </row>
    <row r="650">
      <c r="CU650" s="47"/>
      <c r="CV650" s="47"/>
      <c r="CW650" s="47"/>
      <c r="CX650" s="47"/>
      <c r="CY650" s="47"/>
      <c r="DD650" s="47"/>
      <c r="DE650" s="47"/>
      <c r="DF650" s="47"/>
      <c r="DG650" s="47"/>
      <c r="DH650" s="47"/>
      <c r="DL650" s="47"/>
      <c r="DM650" s="47"/>
      <c r="DN650" s="47"/>
      <c r="DO650" s="47"/>
      <c r="DP650" s="47"/>
      <c r="DQ650" s="47"/>
    </row>
    <row r="651">
      <c r="CU651" s="47"/>
      <c r="CV651" s="47"/>
      <c r="CW651" s="47"/>
      <c r="CX651" s="47"/>
      <c r="CY651" s="47"/>
      <c r="DD651" s="47"/>
      <c r="DE651" s="47"/>
      <c r="DF651" s="47"/>
      <c r="DG651" s="47"/>
      <c r="DH651" s="47"/>
      <c r="DL651" s="47"/>
      <c r="DM651" s="47"/>
      <c r="DN651" s="47"/>
      <c r="DO651" s="47"/>
      <c r="DP651" s="47"/>
      <c r="DQ651" s="47"/>
    </row>
    <row r="652">
      <c r="CU652" s="47"/>
      <c r="CV652" s="47"/>
      <c r="CW652" s="47"/>
      <c r="CX652" s="47"/>
      <c r="CY652" s="47"/>
      <c r="DD652" s="47"/>
      <c r="DE652" s="47"/>
      <c r="DF652" s="47"/>
      <c r="DG652" s="47"/>
      <c r="DH652" s="47"/>
      <c r="DL652" s="47"/>
      <c r="DM652" s="47"/>
      <c r="DN652" s="47"/>
      <c r="DO652" s="47"/>
      <c r="DP652" s="47"/>
      <c r="DQ652" s="47"/>
    </row>
    <row r="653">
      <c r="CU653" s="47"/>
      <c r="CV653" s="47"/>
      <c r="CW653" s="47"/>
      <c r="CX653" s="47"/>
      <c r="CY653" s="47"/>
      <c r="DD653" s="47"/>
      <c r="DE653" s="47"/>
      <c r="DF653" s="47"/>
      <c r="DG653" s="47"/>
      <c r="DH653" s="47"/>
      <c r="DL653" s="47"/>
      <c r="DM653" s="47"/>
      <c r="DN653" s="47"/>
      <c r="DO653" s="47"/>
      <c r="DP653" s="47"/>
      <c r="DQ653" s="47"/>
    </row>
    <row r="654">
      <c r="CU654" s="47"/>
      <c r="CV654" s="47"/>
      <c r="CW654" s="47"/>
      <c r="CX654" s="47"/>
      <c r="CY654" s="47"/>
      <c r="DD654" s="47"/>
      <c r="DE654" s="47"/>
      <c r="DF654" s="47"/>
      <c r="DG654" s="47"/>
      <c r="DH654" s="47"/>
      <c r="DL654" s="47"/>
      <c r="DM654" s="47"/>
      <c r="DN654" s="47"/>
      <c r="DO654" s="47"/>
      <c r="DP654" s="47"/>
      <c r="DQ654" s="47"/>
    </row>
    <row r="655">
      <c r="CU655" s="47"/>
      <c r="CV655" s="47"/>
      <c r="CW655" s="47"/>
      <c r="CX655" s="47"/>
      <c r="CY655" s="47"/>
      <c r="DD655" s="47"/>
      <c r="DE655" s="47"/>
      <c r="DF655" s="47"/>
      <c r="DG655" s="47"/>
      <c r="DH655" s="47"/>
      <c r="DL655" s="47"/>
      <c r="DM655" s="47"/>
      <c r="DN655" s="47"/>
      <c r="DO655" s="47"/>
      <c r="DP655" s="47"/>
      <c r="DQ655" s="47"/>
    </row>
    <row r="656">
      <c r="CU656" s="47"/>
      <c r="CV656" s="47"/>
      <c r="CW656" s="47"/>
      <c r="CX656" s="47"/>
      <c r="CY656" s="47"/>
      <c r="DD656" s="47"/>
      <c r="DE656" s="47"/>
      <c r="DF656" s="47"/>
      <c r="DG656" s="47"/>
      <c r="DH656" s="47"/>
      <c r="DL656" s="47"/>
      <c r="DM656" s="47"/>
      <c r="DN656" s="47"/>
      <c r="DO656" s="47"/>
      <c r="DP656" s="47"/>
      <c r="DQ656" s="47"/>
    </row>
    <row r="657">
      <c r="CU657" s="47"/>
      <c r="CV657" s="47"/>
      <c r="CW657" s="47"/>
      <c r="CX657" s="47"/>
      <c r="CY657" s="47"/>
      <c r="DD657" s="47"/>
      <c r="DE657" s="47"/>
      <c r="DF657" s="47"/>
      <c r="DG657" s="47"/>
      <c r="DH657" s="47"/>
      <c r="DL657" s="47"/>
      <c r="DM657" s="47"/>
      <c r="DN657" s="47"/>
      <c r="DO657" s="47"/>
      <c r="DP657" s="47"/>
      <c r="DQ657" s="47"/>
    </row>
    <row r="658">
      <c r="CU658" s="47"/>
      <c r="CV658" s="47"/>
      <c r="CW658" s="47"/>
      <c r="CX658" s="47"/>
      <c r="CY658" s="47"/>
      <c r="DD658" s="47"/>
      <c r="DE658" s="47"/>
      <c r="DF658" s="47"/>
      <c r="DG658" s="47"/>
      <c r="DH658" s="47"/>
      <c r="DL658" s="47"/>
      <c r="DM658" s="47"/>
      <c r="DN658" s="47"/>
      <c r="DO658" s="47"/>
      <c r="DP658" s="47"/>
      <c r="DQ658" s="47"/>
    </row>
    <row r="659">
      <c r="CU659" s="47"/>
      <c r="CV659" s="47"/>
      <c r="CW659" s="47"/>
      <c r="CX659" s="47"/>
      <c r="CY659" s="47"/>
      <c r="DD659" s="47"/>
      <c r="DE659" s="47"/>
      <c r="DF659" s="47"/>
      <c r="DG659" s="47"/>
      <c r="DH659" s="47"/>
      <c r="DL659" s="47"/>
      <c r="DM659" s="47"/>
      <c r="DN659" s="47"/>
      <c r="DO659" s="47"/>
      <c r="DP659" s="47"/>
      <c r="DQ659" s="47"/>
    </row>
    <row r="660">
      <c r="CU660" s="47"/>
      <c r="CV660" s="47"/>
      <c r="CW660" s="47"/>
      <c r="CX660" s="47"/>
      <c r="CY660" s="47"/>
      <c r="DD660" s="47"/>
      <c r="DE660" s="47"/>
      <c r="DF660" s="47"/>
      <c r="DG660" s="47"/>
      <c r="DH660" s="47"/>
      <c r="DL660" s="47"/>
      <c r="DM660" s="47"/>
      <c r="DN660" s="47"/>
      <c r="DO660" s="47"/>
      <c r="DP660" s="47"/>
      <c r="DQ660" s="47"/>
    </row>
    <row r="661">
      <c r="CU661" s="47"/>
      <c r="CV661" s="47"/>
      <c r="CW661" s="47"/>
      <c r="CX661" s="47"/>
      <c r="CY661" s="47"/>
      <c r="DD661" s="47"/>
      <c r="DE661" s="47"/>
      <c r="DF661" s="47"/>
      <c r="DG661" s="47"/>
      <c r="DH661" s="47"/>
      <c r="DL661" s="47"/>
      <c r="DM661" s="47"/>
      <c r="DN661" s="47"/>
      <c r="DO661" s="47"/>
      <c r="DP661" s="47"/>
      <c r="DQ661" s="47"/>
    </row>
    <row r="662">
      <c r="CU662" s="47"/>
      <c r="CV662" s="47"/>
      <c r="CW662" s="47"/>
      <c r="CX662" s="47"/>
      <c r="CY662" s="47"/>
      <c r="DD662" s="47"/>
      <c r="DE662" s="47"/>
      <c r="DF662" s="47"/>
      <c r="DG662" s="47"/>
      <c r="DH662" s="47"/>
      <c r="DL662" s="47"/>
      <c r="DM662" s="47"/>
      <c r="DN662" s="47"/>
      <c r="DO662" s="47"/>
      <c r="DP662" s="47"/>
      <c r="DQ662" s="47"/>
    </row>
    <row r="663">
      <c r="CU663" s="47"/>
      <c r="CV663" s="47"/>
      <c r="CW663" s="47"/>
      <c r="CX663" s="47"/>
      <c r="CY663" s="47"/>
      <c r="DD663" s="47"/>
      <c r="DE663" s="47"/>
      <c r="DF663" s="47"/>
      <c r="DG663" s="47"/>
      <c r="DH663" s="47"/>
      <c r="DL663" s="47"/>
      <c r="DM663" s="47"/>
      <c r="DN663" s="47"/>
      <c r="DO663" s="47"/>
      <c r="DP663" s="47"/>
      <c r="DQ663" s="47"/>
    </row>
    <row r="664">
      <c r="CU664" s="47"/>
      <c r="CV664" s="47"/>
      <c r="CW664" s="47"/>
      <c r="CX664" s="47"/>
      <c r="CY664" s="47"/>
      <c r="DD664" s="47"/>
      <c r="DE664" s="47"/>
      <c r="DF664" s="47"/>
      <c r="DG664" s="47"/>
      <c r="DH664" s="47"/>
      <c r="DL664" s="47"/>
      <c r="DM664" s="47"/>
      <c r="DN664" s="47"/>
      <c r="DO664" s="47"/>
      <c r="DP664" s="47"/>
      <c r="DQ664" s="47"/>
    </row>
    <row r="665">
      <c r="CU665" s="47"/>
      <c r="CV665" s="47"/>
      <c r="CW665" s="47"/>
      <c r="CX665" s="47"/>
      <c r="CY665" s="47"/>
      <c r="DD665" s="47"/>
      <c r="DE665" s="47"/>
      <c r="DF665" s="47"/>
      <c r="DG665" s="47"/>
      <c r="DH665" s="47"/>
      <c r="DL665" s="47"/>
      <c r="DM665" s="47"/>
      <c r="DN665" s="47"/>
      <c r="DO665" s="47"/>
      <c r="DP665" s="47"/>
      <c r="DQ665" s="47"/>
    </row>
    <row r="666">
      <c r="CU666" s="47"/>
      <c r="CV666" s="47"/>
      <c r="CW666" s="47"/>
      <c r="CX666" s="47"/>
      <c r="CY666" s="47"/>
      <c r="DD666" s="47"/>
      <c r="DE666" s="47"/>
      <c r="DF666" s="47"/>
      <c r="DG666" s="47"/>
      <c r="DH666" s="47"/>
      <c r="DL666" s="47"/>
      <c r="DM666" s="47"/>
      <c r="DN666" s="47"/>
      <c r="DO666" s="47"/>
      <c r="DP666" s="47"/>
      <c r="DQ666" s="47"/>
    </row>
    <row r="667">
      <c r="CU667" s="47"/>
      <c r="CV667" s="47"/>
      <c r="CW667" s="47"/>
      <c r="CX667" s="47"/>
      <c r="CY667" s="47"/>
      <c r="DD667" s="47"/>
      <c r="DE667" s="47"/>
      <c r="DF667" s="47"/>
      <c r="DG667" s="47"/>
      <c r="DH667" s="47"/>
      <c r="DL667" s="47"/>
      <c r="DM667" s="47"/>
      <c r="DN667" s="47"/>
      <c r="DO667" s="47"/>
      <c r="DP667" s="47"/>
      <c r="DQ667" s="47"/>
    </row>
    <row r="668">
      <c r="CU668" s="47"/>
      <c r="CV668" s="47"/>
      <c r="CW668" s="47"/>
      <c r="CX668" s="47"/>
      <c r="CY668" s="47"/>
      <c r="DD668" s="47"/>
      <c r="DE668" s="47"/>
      <c r="DF668" s="47"/>
      <c r="DG668" s="47"/>
      <c r="DH668" s="47"/>
      <c r="DL668" s="47"/>
      <c r="DM668" s="47"/>
      <c r="DN668" s="47"/>
      <c r="DO668" s="47"/>
      <c r="DP668" s="47"/>
      <c r="DQ668" s="47"/>
    </row>
    <row r="669">
      <c r="CU669" s="47"/>
      <c r="CV669" s="47"/>
      <c r="CW669" s="47"/>
      <c r="CX669" s="47"/>
      <c r="CY669" s="47"/>
      <c r="DD669" s="47"/>
      <c r="DE669" s="47"/>
      <c r="DF669" s="47"/>
      <c r="DG669" s="47"/>
      <c r="DH669" s="47"/>
      <c r="DL669" s="47"/>
      <c r="DM669" s="47"/>
      <c r="DN669" s="47"/>
      <c r="DO669" s="47"/>
      <c r="DP669" s="47"/>
      <c r="DQ669" s="47"/>
    </row>
    <row r="670">
      <c r="CU670" s="47"/>
      <c r="CV670" s="47"/>
      <c r="CW670" s="47"/>
      <c r="CX670" s="47"/>
      <c r="CY670" s="47"/>
      <c r="DD670" s="47"/>
      <c r="DE670" s="47"/>
      <c r="DF670" s="47"/>
      <c r="DG670" s="47"/>
      <c r="DH670" s="47"/>
      <c r="DL670" s="47"/>
      <c r="DM670" s="47"/>
      <c r="DN670" s="47"/>
      <c r="DO670" s="47"/>
      <c r="DP670" s="47"/>
      <c r="DQ670" s="47"/>
    </row>
    <row r="671">
      <c r="CU671" s="47"/>
      <c r="CV671" s="47"/>
      <c r="CW671" s="47"/>
      <c r="CX671" s="47"/>
      <c r="CY671" s="47"/>
      <c r="DD671" s="47"/>
      <c r="DE671" s="47"/>
      <c r="DF671" s="47"/>
      <c r="DG671" s="47"/>
      <c r="DH671" s="47"/>
      <c r="DL671" s="47"/>
      <c r="DM671" s="47"/>
      <c r="DN671" s="47"/>
      <c r="DO671" s="47"/>
      <c r="DP671" s="47"/>
      <c r="DQ671" s="47"/>
    </row>
    <row r="672">
      <c r="CU672" s="47"/>
      <c r="CV672" s="47"/>
      <c r="CW672" s="47"/>
      <c r="CX672" s="47"/>
      <c r="CY672" s="47"/>
      <c r="DD672" s="47"/>
      <c r="DE672" s="47"/>
      <c r="DF672" s="47"/>
      <c r="DG672" s="47"/>
      <c r="DH672" s="47"/>
      <c r="DL672" s="47"/>
      <c r="DM672" s="47"/>
      <c r="DN672" s="47"/>
      <c r="DO672" s="47"/>
      <c r="DP672" s="47"/>
      <c r="DQ672" s="47"/>
    </row>
    <row r="673">
      <c r="CU673" s="47"/>
      <c r="CV673" s="47"/>
      <c r="CW673" s="47"/>
      <c r="CX673" s="47"/>
      <c r="CY673" s="47"/>
      <c r="DD673" s="47"/>
      <c r="DE673" s="47"/>
      <c r="DF673" s="47"/>
      <c r="DG673" s="47"/>
      <c r="DH673" s="47"/>
      <c r="DL673" s="47"/>
      <c r="DM673" s="47"/>
      <c r="DN673" s="47"/>
      <c r="DO673" s="47"/>
      <c r="DP673" s="47"/>
      <c r="DQ673" s="47"/>
    </row>
    <row r="674">
      <c r="CU674" s="47"/>
      <c r="CV674" s="47"/>
      <c r="CW674" s="47"/>
      <c r="CX674" s="47"/>
      <c r="CY674" s="47"/>
      <c r="DD674" s="47"/>
      <c r="DE674" s="47"/>
      <c r="DF674" s="47"/>
      <c r="DG674" s="47"/>
      <c r="DH674" s="47"/>
      <c r="DL674" s="47"/>
      <c r="DM674" s="47"/>
      <c r="DN674" s="47"/>
      <c r="DO674" s="47"/>
      <c r="DP674" s="47"/>
      <c r="DQ674" s="47"/>
    </row>
    <row r="675">
      <c r="CU675" s="47"/>
      <c r="CV675" s="47"/>
      <c r="CW675" s="47"/>
      <c r="CX675" s="47"/>
      <c r="CY675" s="47"/>
      <c r="DD675" s="47"/>
      <c r="DE675" s="47"/>
      <c r="DF675" s="47"/>
      <c r="DG675" s="47"/>
      <c r="DH675" s="47"/>
      <c r="DL675" s="47"/>
      <c r="DM675" s="47"/>
      <c r="DN675" s="47"/>
      <c r="DO675" s="47"/>
      <c r="DP675" s="47"/>
      <c r="DQ675" s="47"/>
    </row>
    <row r="676">
      <c r="CU676" s="47"/>
      <c r="CV676" s="47"/>
      <c r="CW676" s="47"/>
      <c r="CX676" s="47"/>
      <c r="CY676" s="47"/>
      <c r="DD676" s="47"/>
      <c r="DE676" s="47"/>
      <c r="DF676" s="47"/>
      <c r="DG676" s="47"/>
      <c r="DH676" s="47"/>
      <c r="DL676" s="47"/>
      <c r="DM676" s="47"/>
      <c r="DN676" s="47"/>
      <c r="DO676" s="47"/>
      <c r="DP676" s="47"/>
      <c r="DQ676" s="47"/>
    </row>
    <row r="677">
      <c r="CU677" s="47"/>
      <c r="CV677" s="47"/>
      <c r="CW677" s="47"/>
      <c r="CX677" s="47"/>
      <c r="CY677" s="47"/>
      <c r="DD677" s="47"/>
      <c r="DE677" s="47"/>
      <c r="DF677" s="47"/>
      <c r="DG677" s="47"/>
      <c r="DH677" s="47"/>
      <c r="DL677" s="47"/>
      <c r="DM677" s="47"/>
      <c r="DN677" s="47"/>
      <c r="DO677" s="47"/>
      <c r="DP677" s="47"/>
      <c r="DQ677" s="47"/>
    </row>
    <row r="678">
      <c r="CU678" s="47"/>
      <c r="CV678" s="47"/>
      <c r="CW678" s="47"/>
      <c r="CX678" s="47"/>
      <c r="CY678" s="47"/>
      <c r="DD678" s="47"/>
      <c r="DE678" s="47"/>
      <c r="DF678" s="47"/>
      <c r="DG678" s="47"/>
      <c r="DH678" s="47"/>
      <c r="DL678" s="47"/>
      <c r="DM678" s="47"/>
      <c r="DN678" s="47"/>
      <c r="DO678" s="47"/>
      <c r="DP678" s="47"/>
      <c r="DQ678" s="47"/>
    </row>
    <row r="679">
      <c r="CU679" s="47"/>
      <c r="CV679" s="47"/>
      <c r="CW679" s="47"/>
      <c r="CX679" s="47"/>
      <c r="CY679" s="47"/>
      <c r="DD679" s="47"/>
      <c r="DE679" s="47"/>
      <c r="DF679" s="47"/>
      <c r="DG679" s="47"/>
      <c r="DH679" s="47"/>
      <c r="DL679" s="47"/>
      <c r="DM679" s="47"/>
      <c r="DN679" s="47"/>
      <c r="DO679" s="47"/>
      <c r="DP679" s="47"/>
      <c r="DQ679" s="47"/>
    </row>
    <row r="680">
      <c r="CU680" s="47"/>
      <c r="CV680" s="47"/>
      <c r="CW680" s="47"/>
      <c r="CX680" s="47"/>
      <c r="CY680" s="47"/>
      <c r="DD680" s="47"/>
      <c r="DE680" s="47"/>
      <c r="DF680" s="47"/>
      <c r="DG680" s="47"/>
      <c r="DH680" s="47"/>
      <c r="DL680" s="47"/>
      <c r="DM680" s="47"/>
      <c r="DN680" s="47"/>
      <c r="DO680" s="47"/>
      <c r="DP680" s="47"/>
      <c r="DQ680" s="47"/>
    </row>
    <row r="681">
      <c r="CU681" s="47"/>
      <c r="CV681" s="47"/>
      <c r="CW681" s="47"/>
      <c r="CX681" s="47"/>
      <c r="CY681" s="47"/>
      <c r="DD681" s="47"/>
      <c r="DE681" s="47"/>
      <c r="DF681" s="47"/>
      <c r="DG681" s="47"/>
      <c r="DH681" s="47"/>
      <c r="DL681" s="47"/>
      <c r="DM681" s="47"/>
      <c r="DN681" s="47"/>
      <c r="DO681" s="47"/>
      <c r="DP681" s="47"/>
      <c r="DQ681" s="47"/>
    </row>
    <row r="682">
      <c r="CU682" s="47"/>
      <c r="CV682" s="47"/>
      <c r="CW682" s="47"/>
      <c r="CX682" s="47"/>
      <c r="CY682" s="47"/>
      <c r="DD682" s="47"/>
      <c r="DE682" s="47"/>
      <c r="DF682" s="47"/>
      <c r="DG682" s="47"/>
      <c r="DH682" s="47"/>
      <c r="DL682" s="47"/>
      <c r="DM682" s="47"/>
      <c r="DN682" s="47"/>
      <c r="DO682" s="47"/>
      <c r="DP682" s="47"/>
      <c r="DQ682" s="47"/>
    </row>
    <row r="683">
      <c r="CU683" s="47"/>
      <c r="CV683" s="47"/>
      <c r="CW683" s="47"/>
      <c r="CX683" s="47"/>
      <c r="CY683" s="47"/>
      <c r="DD683" s="47"/>
      <c r="DE683" s="47"/>
      <c r="DF683" s="47"/>
      <c r="DG683" s="47"/>
      <c r="DH683" s="47"/>
      <c r="DL683" s="47"/>
      <c r="DM683" s="47"/>
      <c r="DN683" s="47"/>
      <c r="DO683" s="47"/>
      <c r="DP683" s="47"/>
      <c r="DQ683" s="47"/>
    </row>
    <row r="684">
      <c r="CU684" s="47"/>
      <c r="CV684" s="47"/>
      <c r="CW684" s="47"/>
      <c r="CX684" s="47"/>
      <c r="CY684" s="47"/>
      <c r="DD684" s="47"/>
      <c r="DE684" s="47"/>
      <c r="DF684" s="47"/>
      <c r="DG684" s="47"/>
      <c r="DH684" s="47"/>
      <c r="DL684" s="47"/>
      <c r="DM684" s="47"/>
      <c r="DN684" s="47"/>
      <c r="DO684" s="47"/>
      <c r="DP684" s="47"/>
      <c r="DQ684" s="47"/>
    </row>
    <row r="685">
      <c r="CU685" s="47"/>
      <c r="CV685" s="47"/>
      <c r="CW685" s="47"/>
      <c r="CX685" s="47"/>
      <c r="CY685" s="47"/>
      <c r="DD685" s="47"/>
      <c r="DE685" s="47"/>
      <c r="DF685" s="47"/>
      <c r="DG685" s="47"/>
      <c r="DH685" s="47"/>
      <c r="DL685" s="47"/>
      <c r="DM685" s="47"/>
      <c r="DN685" s="47"/>
      <c r="DO685" s="47"/>
      <c r="DP685" s="47"/>
      <c r="DQ685" s="47"/>
    </row>
    <row r="686">
      <c r="CU686" s="47"/>
      <c r="CV686" s="47"/>
      <c r="CW686" s="47"/>
      <c r="CX686" s="47"/>
      <c r="CY686" s="47"/>
      <c r="DD686" s="47"/>
      <c r="DE686" s="47"/>
      <c r="DF686" s="47"/>
      <c r="DG686" s="47"/>
      <c r="DH686" s="47"/>
      <c r="DL686" s="47"/>
      <c r="DM686" s="47"/>
      <c r="DN686" s="47"/>
      <c r="DO686" s="47"/>
      <c r="DP686" s="47"/>
      <c r="DQ686" s="47"/>
    </row>
    <row r="687">
      <c r="CU687" s="47"/>
      <c r="CV687" s="47"/>
      <c r="CW687" s="47"/>
      <c r="CX687" s="47"/>
      <c r="CY687" s="47"/>
      <c r="DD687" s="47"/>
      <c r="DE687" s="47"/>
      <c r="DF687" s="47"/>
      <c r="DG687" s="47"/>
      <c r="DH687" s="47"/>
      <c r="DL687" s="47"/>
      <c r="DM687" s="47"/>
      <c r="DN687" s="47"/>
      <c r="DO687" s="47"/>
      <c r="DP687" s="47"/>
      <c r="DQ687" s="47"/>
    </row>
    <row r="688">
      <c r="CU688" s="47"/>
      <c r="CV688" s="47"/>
      <c r="CW688" s="47"/>
      <c r="CX688" s="47"/>
      <c r="CY688" s="47"/>
      <c r="DD688" s="47"/>
      <c r="DE688" s="47"/>
      <c r="DF688" s="47"/>
      <c r="DG688" s="47"/>
      <c r="DH688" s="47"/>
      <c r="DL688" s="47"/>
      <c r="DM688" s="47"/>
      <c r="DN688" s="47"/>
      <c r="DO688" s="47"/>
      <c r="DP688" s="47"/>
      <c r="DQ688" s="47"/>
    </row>
    <row r="689">
      <c r="CU689" s="47"/>
      <c r="CV689" s="47"/>
      <c r="CW689" s="47"/>
      <c r="CX689" s="47"/>
      <c r="CY689" s="47"/>
      <c r="DD689" s="47"/>
      <c r="DE689" s="47"/>
      <c r="DF689" s="47"/>
      <c r="DG689" s="47"/>
      <c r="DH689" s="47"/>
      <c r="DL689" s="47"/>
      <c r="DM689" s="47"/>
      <c r="DN689" s="47"/>
      <c r="DO689" s="47"/>
      <c r="DP689" s="47"/>
      <c r="DQ689" s="47"/>
    </row>
    <row r="690">
      <c r="CU690" s="47"/>
      <c r="CV690" s="47"/>
      <c r="CW690" s="47"/>
      <c r="CX690" s="47"/>
      <c r="CY690" s="47"/>
      <c r="DD690" s="47"/>
      <c r="DE690" s="47"/>
      <c r="DF690" s="47"/>
      <c r="DG690" s="47"/>
      <c r="DH690" s="47"/>
      <c r="DL690" s="47"/>
      <c r="DM690" s="47"/>
      <c r="DN690" s="47"/>
      <c r="DO690" s="47"/>
      <c r="DP690" s="47"/>
      <c r="DQ690" s="47"/>
    </row>
    <row r="691">
      <c r="CU691" s="47"/>
      <c r="CV691" s="47"/>
      <c r="CW691" s="47"/>
      <c r="CX691" s="47"/>
      <c r="CY691" s="47"/>
      <c r="DD691" s="47"/>
      <c r="DE691" s="47"/>
      <c r="DF691" s="47"/>
      <c r="DG691" s="47"/>
      <c r="DH691" s="47"/>
      <c r="DL691" s="47"/>
      <c r="DM691" s="47"/>
      <c r="DN691" s="47"/>
      <c r="DO691" s="47"/>
      <c r="DP691" s="47"/>
      <c r="DQ691" s="47"/>
    </row>
    <row r="692">
      <c r="CU692" s="47"/>
      <c r="CV692" s="47"/>
      <c r="CW692" s="47"/>
      <c r="CX692" s="47"/>
      <c r="CY692" s="47"/>
      <c r="DD692" s="47"/>
      <c r="DE692" s="47"/>
      <c r="DF692" s="47"/>
      <c r="DG692" s="47"/>
      <c r="DH692" s="47"/>
      <c r="DL692" s="47"/>
      <c r="DM692" s="47"/>
      <c r="DN692" s="47"/>
      <c r="DO692" s="47"/>
      <c r="DP692" s="47"/>
      <c r="DQ692" s="47"/>
    </row>
    <row r="693">
      <c r="CU693" s="47"/>
      <c r="CV693" s="47"/>
      <c r="CW693" s="47"/>
      <c r="CX693" s="47"/>
      <c r="CY693" s="47"/>
      <c r="DD693" s="47"/>
      <c r="DE693" s="47"/>
      <c r="DF693" s="47"/>
      <c r="DG693" s="47"/>
      <c r="DH693" s="47"/>
      <c r="DL693" s="47"/>
      <c r="DM693" s="47"/>
      <c r="DN693" s="47"/>
      <c r="DO693" s="47"/>
      <c r="DP693" s="47"/>
      <c r="DQ693" s="47"/>
    </row>
    <row r="694">
      <c r="CU694" s="47"/>
      <c r="CV694" s="47"/>
      <c r="CW694" s="47"/>
      <c r="CX694" s="47"/>
      <c r="CY694" s="47"/>
      <c r="DD694" s="47"/>
      <c r="DE694" s="47"/>
      <c r="DF694" s="47"/>
      <c r="DG694" s="47"/>
      <c r="DH694" s="47"/>
      <c r="DL694" s="47"/>
      <c r="DM694" s="47"/>
      <c r="DN694" s="47"/>
      <c r="DO694" s="47"/>
      <c r="DP694" s="47"/>
      <c r="DQ694" s="47"/>
    </row>
    <row r="695">
      <c r="CU695" s="47"/>
      <c r="CV695" s="47"/>
      <c r="CW695" s="47"/>
      <c r="CX695" s="47"/>
      <c r="CY695" s="47"/>
      <c r="DD695" s="47"/>
      <c r="DE695" s="47"/>
      <c r="DF695" s="47"/>
      <c r="DG695" s="47"/>
      <c r="DH695" s="47"/>
      <c r="DL695" s="47"/>
      <c r="DM695" s="47"/>
      <c r="DN695" s="47"/>
      <c r="DO695" s="47"/>
      <c r="DP695" s="47"/>
      <c r="DQ695" s="47"/>
    </row>
    <row r="696">
      <c r="CU696" s="47"/>
      <c r="CV696" s="47"/>
      <c r="CW696" s="47"/>
      <c r="CX696" s="47"/>
      <c r="CY696" s="47"/>
      <c r="DD696" s="47"/>
      <c r="DE696" s="47"/>
      <c r="DF696" s="47"/>
      <c r="DG696" s="47"/>
      <c r="DH696" s="47"/>
      <c r="DL696" s="47"/>
      <c r="DM696" s="47"/>
      <c r="DN696" s="47"/>
      <c r="DO696" s="47"/>
      <c r="DP696" s="47"/>
      <c r="DQ696" s="47"/>
    </row>
    <row r="697">
      <c r="CU697" s="47"/>
      <c r="CV697" s="47"/>
      <c r="CW697" s="47"/>
      <c r="CX697" s="47"/>
      <c r="CY697" s="47"/>
      <c r="DD697" s="47"/>
      <c r="DE697" s="47"/>
      <c r="DF697" s="47"/>
      <c r="DG697" s="47"/>
      <c r="DH697" s="47"/>
      <c r="DL697" s="47"/>
      <c r="DM697" s="47"/>
      <c r="DN697" s="47"/>
      <c r="DO697" s="47"/>
      <c r="DP697" s="47"/>
      <c r="DQ697" s="47"/>
    </row>
    <row r="698">
      <c r="CU698" s="47"/>
      <c r="CV698" s="47"/>
      <c r="CW698" s="47"/>
      <c r="CX698" s="47"/>
      <c r="CY698" s="47"/>
      <c r="DD698" s="47"/>
      <c r="DE698" s="47"/>
      <c r="DF698" s="47"/>
      <c r="DG698" s="47"/>
      <c r="DH698" s="47"/>
      <c r="DL698" s="47"/>
      <c r="DM698" s="47"/>
      <c r="DN698" s="47"/>
      <c r="DO698" s="47"/>
      <c r="DP698" s="47"/>
      <c r="DQ698" s="47"/>
    </row>
    <row r="699">
      <c r="CU699" s="47"/>
      <c r="CV699" s="47"/>
      <c r="CW699" s="47"/>
      <c r="CX699" s="47"/>
      <c r="CY699" s="47"/>
      <c r="DD699" s="47"/>
      <c r="DE699" s="47"/>
      <c r="DF699" s="47"/>
      <c r="DG699" s="47"/>
      <c r="DH699" s="47"/>
      <c r="DL699" s="47"/>
      <c r="DM699" s="47"/>
      <c r="DN699" s="47"/>
      <c r="DO699" s="47"/>
      <c r="DP699" s="47"/>
      <c r="DQ699" s="47"/>
    </row>
    <row r="700">
      <c r="CU700" s="47"/>
      <c r="CV700" s="47"/>
      <c r="CW700" s="47"/>
      <c r="CX700" s="47"/>
      <c r="CY700" s="47"/>
      <c r="DD700" s="47"/>
      <c r="DE700" s="47"/>
      <c r="DF700" s="47"/>
      <c r="DG700" s="47"/>
      <c r="DH700" s="47"/>
      <c r="DL700" s="47"/>
      <c r="DM700" s="47"/>
      <c r="DN700" s="47"/>
      <c r="DO700" s="47"/>
      <c r="DP700" s="47"/>
      <c r="DQ700" s="47"/>
    </row>
    <row r="701">
      <c r="CU701" s="47"/>
      <c r="CV701" s="47"/>
      <c r="CW701" s="47"/>
      <c r="CX701" s="47"/>
      <c r="CY701" s="47"/>
      <c r="DD701" s="47"/>
      <c r="DE701" s="47"/>
      <c r="DF701" s="47"/>
      <c r="DG701" s="47"/>
      <c r="DH701" s="47"/>
      <c r="DL701" s="47"/>
      <c r="DM701" s="47"/>
      <c r="DN701" s="47"/>
      <c r="DO701" s="47"/>
      <c r="DP701" s="47"/>
      <c r="DQ701" s="47"/>
    </row>
    <row r="702">
      <c r="CU702" s="47"/>
      <c r="CV702" s="47"/>
      <c r="CW702" s="47"/>
      <c r="CX702" s="47"/>
      <c r="CY702" s="47"/>
      <c r="DD702" s="47"/>
      <c r="DE702" s="47"/>
      <c r="DF702" s="47"/>
      <c r="DG702" s="47"/>
      <c r="DH702" s="47"/>
      <c r="DL702" s="47"/>
      <c r="DM702" s="47"/>
      <c r="DN702" s="47"/>
      <c r="DO702" s="47"/>
      <c r="DP702" s="47"/>
      <c r="DQ702" s="47"/>
    </row>
    <row r="703">
      <c r="CU703" s="47"/>
      <c r="CV703" s="47"/>
      <c r="CW703" s="47"/>
      <c r="CX703" s="47"/>
      <c r="CY703" s="47"/>
      <c r="DD703" s="47"/>
      <c r="DE703" s="47"/>
      <c r="DF703" s="47"/>
      <c r="DG703" s="47"/>
      <c r="DH703" s="47"/>
      <c r="DL703" s="47"/>
      <c r="DM703" s="47"/>
      <c r="DN703" s="47"/>
      <c r="DO703" s="47"/>
      <c r="DP703" s="47"/>
      <c r="DQ703" s="47"/>
    </row>
    <row r="704">
      <c r="CU704" s="47"/>
      <c r="CV704" s="47"/>
      <c r="CW704" s="47"/>
      <c r="CX704" s="47"/>
      <c r="CY704" s="47"/>
      <c r="DD704" s="47"/>
      <c r="DE704" s="47"/>
      <c r="DF704" s="47"/>
      <c r="DG704" s="47"/>
      <c r="DH704" s="47"/>
      <c r="DL704" s="47"/>
      <c r="DM704" s="47"/>
      <c r="DN704" s="47"/>
      <c r="DO704" s="47"/>
      <c r="DP704" s="47"/>
      <c r="DQ704" s="47"/>
    </row>
    <row r="705">
      <c r="CU705" s="47"/>
      <c r="CV705" s="47"/>
      <c r="CW705" s="47"/>
      <c r="CX705" s="47"/>
      <c r="CY705" s="47"/>
      <c r="DD705" s="47"/>
      <c r="DE705" s="47"/>
      <c r="DF705" s="47"/>
      <c r="DG705" s="47"/>
      <c r="DH705" s="47"/>
      <c r="DL705" s="47"/>
      <c r="DM705" s="47"/>
      <c r="DN705" s="47"/>
      <c r="DO705" s="47"/>
      <c r="DP705" s="47"/>
      <c r="DQ705" s="47"/>
    </row>
    <row r="706">
      <c r="CU706" s="47"/>
      <c r="CV706" s="47"/>
      <c r="CW706" s="47"/>
      <c r="CX706" s="47"/>
      <c r="CY706" s="47"/>
      <c r="DD706" s="47"/>
      <c r="DE706" s="47"/>
      <c r="DF706" s="47"/>
      <c r="DG706" s="47"/>
      <c r="DH706" s="47"/>
      <c r="DL706" s="47"/>
      <c r="DM706" s="47"/>
      <c r="DN706" s="47"/>
      <c r="DO706" s="47"/>
      <c r="DP706" s="47"/>
      <c r="DQ706" s="47"/>
    </row>
    <row r="707">
      <c r="CU707" s="47"/>
      <c r="CV707" s="47"/>
      <c r="CW707" s="47"/>
      <c r="CX707" s="47"/>
      <c r="CY707" s="47"/>
      <c r="DD707" s="47"/>
      <c r="DE707" s="47"/>
      <c r="DF707" s="47"/>
      <c r="DG707" s="47"/>
      <c r="DH707" s="47"/>
      <c r="DL707" s="47"/>
      <c r="DM707" s="47"/>
      <c r="DN707" s="47"/>
      <c r="DO707" s="47"/>
      <c r="DP707" s="47"/>
      <c r="DQ707" s="47"/>
    </row>
    <row r="708">
      <c r="CU708" s="47"/>
      <c r="CV708" s="47"/>
      <c r="CW708" s="47"/>
      <c r="CX708" s="47"/>
      <c r="CY708" s="47"/>
      <c r="DD708" s="47"/>
      <c r="DE708" s="47"/>
      <c r="DF708" s="47"/>
      <c r="DG708" s="47"/>
      <c r="DH708" s="47"/>
      <c r="DL708" s="47"/>
      <c r="DM708" s="47"/>
      <c r="DN708" s="47"/>
      <c r="DO708" s="47"/>
      <c r="DP708" s="47"/>
      <c r="DQ708" s="47"/>
    </row>
    <row r="709">
      <c r="CU709" s="47"/>
      <c r="CV709" s="47"/>
      <c r="CW709" s="47"/>
      <c r="CX709" s="47"/>
      <c r="CY709" s="47"/>
      <c r="DD709" s="47"/>
      <c r="DE709" s="47"/>
      <c r="DF709" s="47"/>
      <c r="DG709" s="47"/>
      <c r="DH709" s="47"/>
      <c r="DL709" s="47"/>
      <c r="DM709" s="47"/>
      <c r="DN709" s="47"/>
      <c r="DO709" s="47"/>
      <c r="DP709" s="47"/>
      <c r="DQ709" s="47"/>
    </row>
    <row r="710">
      <c r="CU710" s="47"/>
      <c r="CV710" s="47"/>
      <c r="CW710" s="47"/>
      <c r="CX710" s="47"/>
      <c r="CY710" s="47"/>
      <c r="DD710" s="47"/>
      <c r="DE710" s="47"/>
      <c r="DF710" s="47"/>
      <c r="DG710" s="47"/>
      <c r="DH710" s="47"/>
      <c r="DL710" s="47"/>
      <c r="DM710" s="47"/>
      <c r="DN710" s="47"/>
      <c r="DO710" s="47"/>
      <c r="DP710" s="47"/>
      <c r="DQ710" s="47"/>
    </row>
    <row r="711">
      <c r="CU711" s="47"/>
      <c r="CV711" s="47"/>
      <c r="CW711" s="47"/>
      <c r="CX711" s="47"/>
      <c r="CY711" s="47"/>
      <c r="DD711" s="47"/>
      <c r="DE711" s="47"/>
      <c r="DF711" s="47"/>
      <c r="DG711" s="47"/>
      <c r="DH711" s="47"/>
      <c r="DL711" s="47"/>
      <c r="DM711" s="47"/>
      <c r="DN711" s="47"/>
      <c r="DO711" s="47"/>
      <c r="DP711" s="47"/>
      <c r="DQ711" s="47"/>
    </row>
    <row r="712">
      <c r="CU712" s="47"/>
      <c r="CV712" s="47"/>
      <c r="CW712" s="47"/>
      <c r="CX712" s="47"/>
      <c r="CY712" s="47"/>
      <c r="DD712" s="47"/>
      <c r="DE712" s="47"/>
      <c r="DF712" s="47"/>
      <c r="DG712" s="47"/>
      <c r="DH712" s="47"/>
      <c r="DL712" s="47"/>
      <c r="DM712" s="47"/>
      <c r="DN712" s="47"/>
      <c r="DO712" s="47"/>
      <c r="DP712" s="47"/>
      <c r="DQ712" s="47"/>
    </row>
    <row r="713">
      <c r="CU713" s="47"/>
      <c r="CV713" s="47"/>
      <c r="CW713" s="47"/>
      <c r="CX713" s="47"/>
      <c r="CY713" s="47"/>
      <c r="DD713" s="47"/>
      <c r="DE713" s="47"/>
      <c r="DF713" s="47"/>
      <c r="DG713" s="47"/>
      <c r="DH713" s="47"/>
      <c r="DL713" s="47"/>
      <c r="DM713" s="47"/>
      <c r="DN713" s="47"/>
      <c r="DO713" s="47"/>
      <c r="DP713" s="47"/>
      <c r="DQ713" s="47"/>
    </row>
    <row r="714">
      <c r="CU714" s="47"/>
      <c r="CV714" s="47"/>
      <c r="CW714" s="47"/>
      <c r="CX714" s="47"/>
      <c r="CY714" s="47"/>
      <c r="DD714" s="47"/>
      <c r="DE714" s="47"/>
      <c r="DF714" s="47"/>
      <c r="DG714" s="47"/>
      <c r="DH714" s="47"/>
      <c r="DL714" s="47"/>
      <c r="DM714" s="47"/>
      <c r="DN714" s="47"/>
      <c r="DO714" s="47"/>
      <c r="DP714" s="47"/>
      <c r="DQ714" s="47"/>
    </row>
    <row r="715">
      <c r="CU715" s="47"/>
      <c r="CV715" s="47"/>
      <c r="CW715" s="47"/>
      <c r="CX715" s="47"/>
      <c r="CY715" s="47"/>
      <c r="DD715" s="47"/>
      <c r="DE715" s="47"/>
      <c r="DF715" s="47"/>
      <c r="DG715" s="47"/>
      <c r="DH715" s="47"/>
      <c r="DL715" s="47"/>
      <c r="DM715" s="47"/>
      <c r="DN715" s="47"/>
      <c r="DO715" s="47"/>
      <c r="DP715" s="47"/>
      <c r="DQ715" s="47"/>
    </row>
    <row r="716">
      <c r="CU716" s="47"/>
      <c r="CV716" s="47"/>
      <c r="CW716" s="47"/>
      <c r="CX716" s="47"/>
      <c r="CY716" s="47"/>
      <c r="DD716" s="47"/>
      <c r="DE716" s="47"/>
      <c r="DF716" s="47"/>
      <c r="DG716" s="47"/>
      <c r="DH716" s="47"/>
      <c r="DL716" s="47"/>
      <c r="DM716" s="47"/>
      <c r="DN716" s="47"/>
      <c r="DO716" s="47"/>
      <c r="DP716" s="47"/>
      <c r="DQ716" s="47"/>
    </row>
    <row r="717">
      <c r="CU717" s="47"/>
      <c r="CV717" s="47"/>
      <c r="CW717" s="47"/>
      <c r="CX717" s="47"/>
      <c r="CY717" s="47"/>
      <c r="DD717" s="47"/>
      <c r="DE717" s="47"/>
      <c r="DF717" s="47"/>
      <c r="DG717" s="47"/>
      <c r="DH717" s="47"/>
      <c r="DL717" s="47"/>
      <c r="DM717" s="47"/>
      <c r="DN717" s="47"/>
      <c r="DO717" s="47"/>
      <c r="DP717" s="47"/>
      <c r="DQ717" s="47"/>
    </row>
    <row r="718">
      <c r="CU718" s="47"/>
      <c r="CV718" s="47"/>
      <c r="CW718" s="47"/>
      <c r="CX718" s="47"/>
      <c r="CY718" s="47"/>
      <c r="DD718" s="47"/>
      <c r="DE718" s="47"/>
      <c r="DF718" s="47"/>
      <c r="DG718" s="47"/>
      <c r="DH718" s="47"/>
      <c r="DL718" s="47"/>
      <c r="DM718" s="47"/>
      <c r="DN718" s="47"/>
      <c r="DO718" s="47"/>
      <c r="DP718" s="47"/>
      <c r="DQ718" s="47"/>
    </row>
    <row r="719">
      <c r="CU719" s="47"/>
      <c r="CV719" s="47"/>
      <c r="CW719" s="47"/>
      <c r="CX719" s="47"/>
      <c r="CY719" s="47"/>
      <c r="DD719" s="47"/>
      <c r="DE719" s="47"/>
      <c r="DF719" s="47"/>
      <c r="DG719" s="47"/>
      <c r="DH719" s="47"/>
      <c r="DL719" s="47"/>
      <c r="DM719" s="47"/>
      <c r="DN719" s="47"/>
      <c r="DO719" s="47"/>
      <c r="DP719" s="47"/>
      <c r="DQ719" s="47"/>
    </row>
    <row r="720">
      <c r="CU720" s="47"/>
      <c r="CV720" s="47"/>
      <c r="CW720" s="47"/>
      <c r="CX720" s="47"/>
      <c r="CY720" s="47"/>
      <c r="DD720" s="47"/>
      <c r="DE720" s="47"/>
      <c r="DF720" s="47"/>
      <c r="DG720" s="47"/>
      <c r="DH720" s="47"/>
      <c r="DL720" s="47"/>
      <c r="DM720" s="47"/>
      <c r="DN720" s="47"/>
      <c r="DO720" s="47"/>
      <c r="DP720" s="47"/>
      <c r="DQ720" s="47"/>
    </row>
    <row r="721">
      <c r="CU721" s="47"/>
      <c r="CV721" s="47"/>
      <c r="CW721" s="47"/>
      <c r="CX721" s="47"/>
      <c r="CY721" s="47"/>
      <c r="DD721" s="47"/>
      <c r="DE721" s="47"/>
      <c r="DF721" s="47"/>
      <c r="DG721" s="47"/>
      <c r="DH721" s="47"/>
      <c r="DL721" s="47"/>
      <c r="DM721" s="47"/>
      <c r="DN721" s="47"/>
      <c r="DO721" s="47"/>
      <c r="DP721" s="47"/>
      <c r="DQ721" s="47"/>
    </row>
    <row r="722">
      <c r="CU722" s="47"/>
      <c r="CV722" s="47"/>
      <c r="CW722" s="47"/>
      <c r="CX722" s="47"/>
      <c r="CY722" s="47"/>
      <c r="DD722" s="47"/>
      <c r="DE722" s="47"/>
      <c r="DF722" s="47"/>
      <c r="DG722" s="47"/>
      <c r="DH722" s="47"/>
      <c r="DL722" s="47"/>
      <c r="DM722" s="47"/>
      <c r="DN722" s="47"/>
      <c r="DO722" s="47"/>
      <c r="DP722" s="47"/>
      <c r="DQ722" s="47"/>
    </row>
    <row r="723">
      <c r="CU723" s="47"/>
      <c r="CV723" s="47"/>
      <c r="CW723" s="47"/>
      <c r="CX723" s="47"/>
      <c r="CY723" s="47"/>
      <c r="DD723" s="47"/>
      <c r="DE723" s="47"/>
      <c r="DF723" s="47"/>
      <c r="DG723" s="47"/>
      <c r="DH723" s="47"/>
      <c r="DL723" s="47"/>
      <c r="DM723" s="47"/>
      <c r="DN723" s="47"/>
      <c r="DO723" s="47"/>
      <c r="DP723" s="47"/>
      <c r="DQ723" s="47"/>
    </row>
    <row r="724">
      <c r="CU724" s="47"/>
      <c r="CV724" s="47"/>
      <c r="CW724" s="47"/>
      <c r="CX724" s="47"/>
      <c r="CY724" s="47"/>
      <c r="DD724" s="47"/>
      <c r="DE724" s="47"/>
      <c r="DF724" s="47"/>
      <c r="DG724" s="47"/>
      <c r="DH724" s="47"/>
      <c r="DL724" s="47"/>
      <c r="DM724" s="47"/>
      <c r="DN724" s="47"/>
      <c r="DO724" s="47"/>
      <c r="DP724" s="47"/>
      <c r="DQ724" s="47"/>
    </row>
    <row r="725">
      <c r="CU725" s="47"/>
      <c r="CV725" s="47"/>
      <c r="CW725" s="47"/>
      <c r="CX725" s="47"/>
      <c r="CY725" s="47"/>
      <c r="DD725" s="47"/>
      <c r="DE725" s="47"/>
      <c r="DF725" s="47"/>
      <c r="DG725" s="47"/>
      <c r="DH725" s="47"/>
      <c r="DL725" s="47"/>
      <c r="DM725" s="47"/>
      <c r="DN725" s="47"/>
      <c r="DO725" s="47"/>
      <c r="DP725" s="47"/>
      <c r="DQ725" s="47"/>
    </row>
    <row r="726">
      <c r="CU726" s="47"/>
      <c r="CV726" s="47"/>
      <c r="CW726" s="47"/>
      <c r="CX726" s="47"/>
      <c r="CY726" s="47"/>
      <c r="DD726" s="47"/>
      <c r="DE726" s="47"/>
      <c r="DF726" s="47"/>
      <c r="DG726" s="47"/>
      <c r="DH726" s="47"/>
      <c r="DL726" s="47"/>
      <c r="DM726" s="47"/>
      <c r="DN726" s="47"/>
      <c r="DO726" s="47"/>
      <c r="DP726" s="47"/>
      <c r="DQ726" s="47"/>
    </row>
    <row r="727">
      <c r="CU727" s="47"/>
      <c r="CV727" s="47"/>
      <c r="CW727" s="47"/>
      <c r="CX727" s="47"/>
      <c r="CY727" s="47"/>
      <c r="DD727" s="47"/>
      <c r="DE727" s="47"/>
      <c r="DF727" s="47"/>
      <c r="DG727" s="47"/>
      <c r="DH727" s="47"/>
      <c r="DL727" s="47"/>
      <c r="DM727" s="47"/>
      <c r="DN727" s="47"/>
      <c r="DO727" s="47"/>
      <c r="DP727" s="47"/>
      <c r="DQ727" s="47"/>
    </row>
    <row r="728">
      <c r="CU728" s="47"/>
      <c r="CV728" s="47"/>
      <c r="CW728" s="47"/>
      <c r="CX728" s="47"/>
      <c r="CY728" s="47"/>
      <c r="DD728" s="47"/>
      <c r="DE728" s="47"/>
      <c r="DF728" s="47"/>
      <c r="DG728" s="47"/>
      <c r="DH728" s="47"/>
      <c r="DL728" s="47"/>
      <c r="DM728" s="47"/>
      <c r="DN728" s="47"/>
      <c r="DO728" s="47"/>
      <c r="DP728" s="47"/>
      <c r="DQ728" s="47"/>
    </row>
    <row r="729">
      <c r="CU729" s="47"/>
      <c r="CV729" s="47"/>
      <c r="CW729" s="47"/>
      <c r="CX729" s="47"/>
      <c r="CY729" s="47"/>
      <c r="DD729" s="47"/>
      <c r="DE729" s="47"/>
      <c r="DF729" s="47"/>
      <c r="DG729" s="47"/>
      <c r="DH729" s="47"/>
      <c r="DL729" s="47"/>
      <c r="DM729" s="47"/>
      <c r="DN729" s="47"/>
      <c r="DO729" s="47"/>
      <c r="DP729" s="47"/>
      <c r="DQ729" s="47"/>
    </row>
    <row r="730">
      <c r="CU730" s="47"/>
      <c r="CV730" s="47"/>
      <c r="CW730" s="47"/>
      <c r="CX730" s="47"/>
      <c r="CY730" s="47"/>
      <c r="DD730" s="47"/>
      <c r="DE730" s="47"/>
      <c r="DF730" s="47"/>
      <c r="DG730" s="47"/>
      <c r="DH730" s="47"/>
      <c r="DL730" s="47"/>
      <c r="DM730" s="47"/>
      <c r="DN730" s="47"/>
      <c r="DO730" s="47"/>
      <c r="DP730" s="47"/>
      <c r="DQ730" s="47"/>
    </row>
    <row r="731">
      <c r="CU731" s="47"/>
      <c r="CV731" s="47"/>
      <c r="CW731" s="47"/>
      <c r="CX731" s="47"/>
      <c r="CY731" s="47"/>
      <c r="DD731" s="47"/>
      <c r="DE731" s="47"/>
      <c r="DF731" s="47"/>
      <c r="DG731" s="47"/>
      <c r="DH731" s="47"/>
      <c r="DL731" s="47"/>
      <c r="DM731" s="47"/>
      <c r="DN731" s="47"/>
      <c r="DO731" s="47"/>
      <c r="DP731" s="47"/>
      <c r="DQ731" s="47"/>
    </row>
    <row r="732">
      <c r="CU732" s="47"/>
      <c r="CV732" s="47"/>
      <c r="CW732" s="47"/>
      <c r="CX732" s="47"/>
      <c r="CY732" s="47"/>
      <c r="DD732" s="47"/>
      <c r="DE732" s="47"/>
      <c r="DF732" s="47"/>
      <c r="DG732" s="47"/>
      <c r="DH732" s="47"/>
      <c r="DL732" s="47"/>
      <c r="DM732" s="47"/>
      <c r="DN732" s="47"/>
      <c r="DO732" s="47"/>
      <c r="DP732" s="47"/>
      <c r="DQ732" s="47"/>
    </row>
    <row r="733">
      <c r="CU733" s="47"/>
      <c r="CV733" s="47"/>
      <c r="CW733" s="47"/>
      <c r="CX733" s="47"/>
      <c r="CY733" s="47"/>
      <c r="DD733" s="47"/>
      <c r="DE733" s="47"/>
      <c r="DF733" s="47"/>
      <c r="DG733" s="47"/>
      <c r="DH733" s="47"/>
      <c r="DL733" s="47"/>
      <c r="DM733" s="47"/>
      <c r="DN733" s="47"/>
      <c r="DO733" s="47"/>
      <c r="DP733" s="47"/>
      <c r="DQ733" s="47"/>
    </row>
    <row r="734">
      <c r="CU734" s="47"/>
      <c r="CV734" s="47"/>
      <c r="CW734" s="47"/>
      <c r="CX734" s="47"/>
      <c r="CY734" s="47"/>
      <c r="DD734" s="47"/>
      <c r="DE734" s="47"/>
      <c r="DF734" s="47"/>
      <c r="DG734" s="47"/>
      <c r="DH734" s="47"/>
      <c r="DL734" s="47"/>
      <c r="DM734" s="47"/>
      <c r="DN734" s="47"/>
      <c r="DO734" s="47"/>
      <c r="DP734" s="47"/>
      <c r="DQ734" s="47"/>
    </row>
    <row r="735">
      <c r="CU735" s="47"/>
      <c r="CV735" s="47"/>
      <c r="CW735" s="47"/>
      <c r="CX735" s="47"/>
      <c r="CY735" s="47"/>
      <c r="DD735" s="47"/>
      <c r="DE735" s="47"/>
      <c r="DF735" s="47"/>
      <c r="DG735" s="47"/>
      <c r="DH735" s="47"/>
      <c r="DL735" s="47"/>
      <c r="DM735" s="47"/>
      <c r="DN735" s="47"/>
      <c r="DO735" s="47"/>
      <c r="DP735" s="47"/>
      <c r="DQ735" s="47"/>
    </row>
    <row r="736">
      <c r="CU736" s="47"/>
      <c r="CV736" s="47"/>
      <c r="CW736" s="47"/>
      <c r="CX736" s="47"/>
      <c r="CY736" s="47"/>
      <c r="DD736" s="47"/>
      <c r="DE736" s="47"/>
      <c r="DF736" s="47"/>
      <c r="DG736" s="47"/>
      <c r="DH736" s="47"/>
      <c r="DL736" s="47"/>
      <c r="DM736" s="47"/>
      <c r="DN736" s="47"/>
      <c r="DO736" s="47"/>
      <c r="DP736" s="47"/>
      <c r="DQ736" s="47"/>
    </row>
    <row r="737">
      <c r="CU737" s="47"/>
      <c r="CV737" s="47"/>
      <c r="CW737" s="47"/>
      <c r="CX737" s="47"/>
      <c r="CY737" s="47"/>
      <c r="DD737" s="47"/>
      <c r="DE737" s="47"/>
      <c r="DF737" s="47"/>
      <c r="DG737" s="47"/>
      <c r="DH737" s="47"/>
      <c r="DL737" s="47"/>
      <c r="DM737" s="47"/>
      <c r="DN737" s="47"/>
      <c r="DO737" s="47"/>
      <c r="DP737" s="47"/>
      <c r="DQ737" s="47"/>
    </row>
    <row r="738">
      <c r="CU738" s="47"/>
      <c r="CV738" s="47"/>
      <c r="CW738" s="47"/>
      <c r="CX738" s="47"/>
      <c r="CY738" s="47"/>
      <c r="DD738" s="47"/>
      <c r="DE738" s="47"/>
      <c r="DF738" s="47"/>
      <c r="DG738" s="47"/>
      <c r="DH738" s="47"/>
      <c r="DL738" s="47"/>
      <c r="DM738" s="47"/>
      <c r="DN738" s="47"/>
      <c r="DO738" s="47"/>
      <c r="DP738" s="47"/>
      <c r="DQ738" s="47"/>
    </row>
    <row r="739">
      <c r="CU739" s="47"/>
      <c r="CV739" s="47"/>
      <c r="CW739" s="47"/>
      <c r="CX739" s="47"/>
      <c r="CY739" s="47"/>
      <c r="DD739" s="47"/>
      <c r="DE739" s="47"/>
      <c r="DF739" s="47"/>
      <c r="DG739" s="47"/>
      <c r="DH739" s="47"/>
      <c r="DL739" s="47"/>
      <c r="DM739" s="47"/>
      <c r="DN739" s="47"/>
      <c r="DO739" s="47"/>
      <c r="DP739" s="47"/>
      <c r="DQ739" s="47"/>
    </row>
    <row r="740">
      <c r="CU740" s="47"/>
      <c r="CV740" s="47"/>
      <c r="CW740" s="47"/>
      <c r="CX740" s="47"/>
      <c r="CY740" s="47"/>
      <c r="DD740" s="47"/>
      <c r="DE740" s="47"/>
      <c r="DF740" s="47"/>
      <c r="DG740" s="47"/>
      <c r="DH740" s="47"/>
      <c r="DL740" s="47"/>
      <c r="DM740" s="47"/>
      <c r="DN740" s="47"/>
      <c r="DO740" s="47"/>
      <c r="DP740" s="47"/>
      <c r="DQ740" s="47"/>
    </row>
    <row r="741">
      <c r="CU741" s="47"/>
      <c r="CV741" s="47"/>
      <c r="CW741" s="47"/>
      <c r="CX741" s="47"/>
      <c r="CY741" s="47"/>
      <c r="DD741" s="47"/>
      <c r="DE741" s="47"/>
      <c r="DF741" s="47"/>
      <c r="DG741" s="47"/>
      <c r="DH741" s="47"/>
      <c r="DL741" s="47"/>
      <c r="DM741" s="47"/>
      <c r="DN741" s="47"/>
      <c r="DO741" s="47"/>
      <c r="DP741" s="47"/>
      <c r="DQ741" s="47"/>
    </row>
    <row r="742">
      <c r="CU742" s="47"/>
      <c r="CV742" s="47"/>
      <c r="CW742" s="47"/>
      <c r="CX742" s="47"/>
      <c r="CY742" s="47"/>
      <c r="DD742" s="47"/>
      <c r="DE742" s="47"/>
      <c r="DF742" s="47"/>
      <c r="DG742" s="47"/>
      <c r="DH742" s="47"/>
      <c r="DL742" s="47"/>
      <c r="DM742" s="47"/>
      <c r="DN742" s="47"/>
      <c r="DO742" s="47"/>
      <c r="DP742" s="47"/>
      <c r="DQ742" s="47"/>
    </row>
    <row r="743">
      <c r="CU743" s="47"/>
      <c r="CV743" s="47"/>
      <c r="CW743" s="47"/>
      <c r="CX743" s="47"/>
      <c r="CY743" s="47"/>
      <c r="DD743" s="47"/>
      <c r="DE743" s="47"/>
      <c r="DF743" s="47"/>
      <c r="DG743" s="47"/>
      <c r="DH743" s="47"/>
      <c r="DL743" s="47"/>
      <c r="DM743" s="47"/>
      <c r="DN743" s="47"/>
      <c r="DO743" s="47"/>
      <c r="DP743" s="47"/>
      <c r="DQ743" s="47"/>
    </row>
    <row r="744">
      <c r="CU744" s="47"/>
      <c r="CV744" s="47"/>
      <c r="CW744" s="47"/>
      <c r="CX744" s="47"/>
      <c r="CY744" s="47"/>
      <c r="DD744" s="47"/>
      <c r="DE744" s="47"/>
      <c r="DF744" s="47"/>
      <c r="DG744" s="47"/>
      <c r="DH744" s="47"/>
      <c r="DL744" s="47"/>
      <c r="DM744" s="47"/>
      <c r="DN744" s="47"/>
      <c r="DO744" s="47"/>
      <c r="DP744" s="47"/>
      <c r="DQ744" s="47"/>
    </row>
    <row r="745">
      <c r="CU745" s="47"/>
      <c r="CV745" s="47"/>
      <c r="CW745" s="47"/>
      <c r="CX745" s="47"/>
      <c r="CY745" s="47"/>
      <c r="DD745" s="47"/>
      <c r="DE745" s="47"/>
      <c r="DF745" s="47"/>
      <c r="DG745" s="47"/>
      <c r="DH745" s="47"/>
      <c r="DL745" s="47"/>
      <c r="DM745" s="47"/>
      <c r="DN745" s="47"/>
      <c r="DO745" s="47"/>
      <c r="DP745" s="47"/>
      <c r="DQ745" s="47"/>
    </row>
    <row r="746">
      <c r="CU746" s="47"/>
      <c r="CV746" s="47"/>
      <c r="CW746" s="47"/>
      <c r="CX746" s="47"/>
      <c r="CY746" s="47"/>
      <c r="DD746" s="47"/>
      <c r="DE746" s="47"/>
      <c r="DF746" s="47"/>
      <c r="DG746" s="47"/>
      <c r="DH746" s="47"/>
      <c r="DL746" s="47"/>
      <c r="DM746" s="47"/>
      <c r="DN746" s="47"/>
      <c r="DO746" s="47"/>
      <c r="DP746" s="47"/>
      <c r="DQ746" s="47"/>
    </row>
    <row r="747">
      <c r="CU747" s="47"/>
      <c r="CV747" s="47"/>
      <c r="CW747" s="47"/>
      <c r="CX747" s="47"/>
      <c r="CY747" s="47"/>
      <c r="DD747" s="47"/>
      <c r="DE747" s="47"/>
      <c r="DF747" s="47"/>
      <c r="DG747" s="47"/>
      <c r="DH747" s="47"/>
      <c r="DL747" s="47"/>
      <c r="DM747" s="47"/>
      <c r="DN747" s="47"/>
      <c r="DO747" s="47"/>
      <c r="DP747" s="47"/>
      <c r="DQ747" s="47"/>
    </row>
    <row r="748">
      <c r="CU748" s="47"/>
      <c r="CV748" s="47"/>
      <c r="CW748" s="47"/>
      <c r="CX748" s="47"/>
      <c r="CY748" s="47"/>
      <c r="DD748" s="47"/>
      <c r="DE748" s="47"/>
      <c r="DF748" s="47"/>
      <c r="DG748" s="47"/>
      <c r="DH748" s="47"/>
      <c r="DL748" s="47"/>
      <c r="DM748" s="47"/>
      <c r="DN748" s="47"/>
      <c r="DO748" s="47"/>
      <c r="DP748" s="47"/>
      <c r="DQ748" s="47"/>
    </row>
    <row r="749">
      <c r="CU749" s="47"/>
      <c r="CV749" s="47"/>
      <c r="CW749" s="47"/>
      <c r="CX749" s="47"/>
      <c r="CY749" s="47"/>
      <c r="DD749" s="47"/>
      <c r="DE749" s="47"/>
      <c r="DF749" s="47"/>
      <c r="DG749" s="47"/>
      <c r="DH749" s="47"/>
      <c r="DL749" s="47"/>
      <c r="DM749" s="47"/>
      <c r="DN749" s="47"/>
      <c r="DO749" s="47"/>
      <c r="DP749" s="47"/>
      <c r="DQ749" s="47"/>
    </row>
    <row r="750">
      <c r="CU750" s="47"/>
      <c r="CV750" s="47"/>
      <c r="CW750" s="47"/>
      <c r="CX750" s="47"/>
      <c r="CY750" s="47"/>
      <c r="DD750" s="47"/>
      <c r="DE750" s="47"/>
      <c r="DF750" s="47"/>
      <c r="DG750" s="47"/>
      <c r="DH750" s="47"/>
      <c r="DL750" s="47"/>
      <c r="DM750" s="47"/>
      <c r="DN750" s="47"/>
      <c r="DO750" s="47"/>
      <c r="DP750" s="47"/>
      <c r="DQ750" s="47"/>
    </row>
    <row r="751">
      <c r="CU751" s="47"/>
      <c r="CV751" s="47"/>
      <c r="CW751" s="47"/>
      <c r="CX751" s="47"/>
      <c r="CY751" s="47"/>
      <c r="DD751" s="47"/>
      <c r="DE751" s="47"/>
      <c r="DF751" s="47"/>
      <c r="DG751" s="47"/>
      <c r="DH751" s="47"/>
      <c r="DL751" s="47"/>
      <c r="DM751" s="47"/>
      <c r="DN751" s="47"/>
      <c r="DO751" s="47"/>
      <c r="DP751" s="47"/>
      <c r="DQ751" s="47"/>
    </row>
    <row r="752">
      <c r="CU752" s="47"/>
      <c r="CV752" s="47"/>
      <c r="CW752" s="47"/>
      <c r="CX752" s="47"/>
      <c r="CY752" s="47"/>
      <c r="DD752" s="47"/>
      <c r="DE752" s="47"/>
      <c r="DF752" s="47"/>
      <c r="DG752" s="47"/>
      <c r="DH752" s="47"/>
      <c r="DL752" s="47"/>
      <c r="DM752" s="47"/>
      <c r="DN752" s="47"/>
      <c r="DO752" s="47"/>
      <c r="DP752" s="47"/>
      <c r="DQ752" s="47"/>
    </row>
    <row r="753">
      <c r="CU753" s="47"/>
      <c r="CV753" s="47"/>
      <c r="CW753" s="47"/>
      <c r="CX753" s="47"/>
      <c r="CY753" s="47"/>
      <c r="DD753" s="47"/>
      <c r="DE753" s="47"/>
      <c r="DF753" s="47"/>
      <c r="DG753" s="47"/>
      <c r="DH753" s="47"/>
      <c r="DL753" s="47"/>
      <c r="DM753" s="47"/>
      <c r="DN753" s="47"/>
      <c r="DO753" s="47"/>
      <c r="DP753" s="47"/>
      <c r="DQ753" s="47"/>
    </row>
    <row r="754">
      <c r="CU754" s="47"/>
      <c r="CV754" s="47"/>
      <c r="CW754" s="47"/>
      <c r="CX754" s="47"/>
      <c r="CY754" s="47"/>
      <c r="DD754" s="47"/>
      <c r="DE754" s="47"/>
      <c r="DF754" s="47"/>
      <c r="DG754" s="47"/>
      <c r="DH754" s="47"/>
      <c r="DL754" s="47"/>
      <c r="DM754" s="47"/>
      <c r="DN754" s="47"/>
      <c r="DO754" s="47"/>
      <c r="DP754" s="47"/>
      <c r="DQ754" s="47"/>
    </row>
    <row r="755">
      <c r="CU755" s="47"/>
      <c r="CV755" s="47"/>
      <c r="CW755" s="47"/>
      <c r="CX755" s="47"/>
      <c r="CY755" s="47"/>
      <c r="DD755" s="47"/>
      <c r="DE755" s="47"/>
      <c r="DF755" s="47"/>
      <c r="DG755" s="47"/>
      <c r="DH755" s="47"/>
      <c r="DL755" s="47"/>
      <c r="DM755" s="47"/>
      <c r="DN755" s="47"/>
      <c r="DO755" s="47"/>
      <c r="DP755" s="47"/>
      <c r="DQ755" s="47"/>
    </row>
    <row r="756">
      <c r="CU756" s="47"/>
      <c r="CV756" s="47"/>
      <c r="CW756" s="47"/>
      <c r="CX756" s="47"/>
      <c r="CY756" s="47"/>
      <c r="DD756" s="47"/>
      <c r="DE756" s="47"/>
      <c r="DF756" s="47"/>
      <c r="DG756" s="47"/>
      <c r="DH756" s="47"/>
      <c r="DL756" s="47"/>
      <c r="DM756" s="47"/>
      <c r="DN756" s="47"/>
      <c r="DO756" s="47"/>
      <c r="DP756" s="47"/>
      <c r="DQ756" s="47"/>
    </row>
    <row r="757">
      <c r="CU757" s="47"/>
      <c r="CV757" s="47"/>
      <c r="CW757" s="47"/>
      <c r="CX757" s="47"/>
      <c r="CY757" s="47"/>
      <c r="DD757" s="47"/>
      <c r="DE757" s="47"/>
      <c r="DF757" s="47"/>
      <c r="DG757" s="47"/>
      <c r="DH757" s="47"/>
      <c r="DL757" s="47"/>
      <c r="DM757" s="47"/>
      <c r="DN757" s="47"/>
      <c r="DO757" s="47"/>
      <c r="DP757" s="47"/>
      <c r="DQ757" s="47"/>
    </row>
    <row r="758">
      <c r="CU758" s="47"/>
      <c r="CV758" s="47"/>
      <c r="CW758" s="47"/>
      <c r="CX758" s="47"/>
      <c r="CY758" s="47"/>
      <c r="DD758" s="47"/>
      <c r="DE758" s="47"/>
      <c r="DF758" s="47"/>
      <c r="DG758" s="47"/>
      <c r="DH758" s="47"/>
      <c r="DL758" s="47"/>
      <c r="DM758" s="47"/>
      <c r="DN758" s="47"/>
      <c r="DO758" s="47"/>
      <c r="DP758" s="47"/>
      <c r="DQ758" s="47"/>
    </row>
    <row r="759">
      <c r="CU759" s="47"/>
      <c r="CV759" s="47"/>
      <c r="CW759" s="47"/>
      <c r="CX759" s="47"/>
      <c r="CY759" s="47"/>
      <c r="DD759" s="47"/>
      <c r="DE759" s="47"/>
      <c r="DF759" s="47"/>
      <c r="DG759" s="47"/>
      <c r="DH759" s="47"/>
      <c r="DL759" s="47"/>
      <c r="DM759" s="47"/>
      <c r="DN759" s="47"/>
      <c r="DO759" s="47"/>
      <c r="DP759" s="47"/>
      <c r="DQ759" s="47"/>
    </row>
    <row r="760">
      <c r="CU760" s="47"/>
      <c r="CV760" s="47"/>
      <c r="CW760" s="47"/>
      <c r="CX760" s="47"/>
      <c r="CY760" s="47"/>
      <c r="DD760" s="47"/>
      <c r="DE760" s="47"/>
      <c r="DF760" s="47"/>
      <c r="DG760" s="47"/>
      <c r="DH760" s="47"/>
      <c r="DL760" s="47"/>
      <c r="DM760" s="47"/>
      <c r="DN760" s="47"/>
      <c r="DO760" s="47"/>
      <c r="DP760" s="47"/>
      <c r="DQ760" s="47"/>
    </row>
    <row r="761">
      <c r="CU761" s="47"/>
      <c r="CV761" s="47"/>
      <c r="CW761" s="47"/>
      <c r="CX761" s="47"/>
      <c r="CY761" s="47"/>
      <c r="DD761" s="47"/>
      <c r="DE761" s="47"/>
      <c r="DF761" s="47"/>
      <c r="DG761" s="47"/>
      <c r="DH761" s="47"/>
      <c r="DL761" s="47"/>
      <c r="DM761" s="47"/>
      <c r="DN761" s="47"/>
      <c r="DO761" s="47"/>
      <c r="DP761" s="47"/>
      <c r="DQ761" s="47"/>
    </row>
    <row r="762">
      <c r="CU762" s="47"/>
      <c r="CV762" s="47"/>
      <c r="CW762" s="47"/>
      <c r="CX762" s="47"/>
      <c r="CY762" s="47"/>
      <c r="DD762" s="47"/>
      <c r="DE762" s="47"/>
      <c r="DF762" s="47"/>
      <c r="DG762" s="47"/>
      <c r="DH762" s="47"/>
      <c r="DL762" s="47"/>
      <c r="DM762" s="47"/>
      <c r="DN762" s="47"/>
      <c r="DO762" s="47"/>
      <c r="DP762" s="47"/>
      <c r="DQ762" s="47"/>
    </row>
    <row r="763">
      <c r="CU763" s="47"/>
      <c r="CV763" s="47"/>
      <c r="CW763" s="47"/>
      <c r="CX763" s="47"/>
      <c r="CY763" s="47"/>
      <c r="DD763" s="47"/>
      <c r="DE763" s="47"/>
      <c r="DF763" s="47"/>
      <c r="DG763" s="47"/>
      <c r="DH763" s="47"/>
      <c r="DL763" s="47"/>
      <c r="DM763" s="47"/>
      <c r="DN763" s="47"/>
      <c r="DO763" s="47"/>
      <c r="DP763" s="47"/>
      <c r="DQ763" s="47"/>
    </row>
    <row r="764">
      <c r="CU764" s="47"/>
      <c r="CV764" s="47"/>
      <c r="CW764" s="47"/>
      <c r="CX764" s="47"/>
      <c r="CY764" s="47"/>
      <c r="DD764" s="47"/>
      <c r="DE764" s="47"/>
      <c r="DF764" s="47"/>
      <c r="DG764" s="47"/>
      <c r="DH764" s="47"/>
      <c r="DL764" s="47"/>
      <c r="DM764" s="47"/>
      <c r="DN764" s="47"/>
      <c r="DO764" s="47"/>
      <c r="DP764" s="47"/>
      <c r="DQ764" s="47"/>
    </row>
    <row r="765">
      <c r="CU765" s="47"/>
      <c r="CV765" s="47"/>
      <c r="CW765" s="47"/>
      <c r="CX765" s="47"/>
      <c r="CY765" s="47"/>
      <c r="DD765" s="47"/>
      <c r="DE765" s="47"/>
      <c r="DF765" s="47"/>
      <c r="DG765" s="47"/>
      <c r="DH765" s="47"/>
      <c r="DL765" s="47"/>
      <c r="DM765" s="47"/>
      <c r="DN765" s="47"/>
      <c r="DO765" s="47"/>
      <c r="DP765" s="47"/>
      <c r="DQ765" s="47"/>
    </row>
    <row r="766">
      <c r="CU766" s="47"/>
      <c r="CV766" s="47"/>
      <c r="CW766" s="47"/>
      <c r="CX766" s="47"/>
      <c r="CY766" s="47"/>
      <c r="DD766" s="47"/>
      <c r="DE766" s="47"/>
      <c r="DF766" s="47"/>
      <c r="DG766" s="47"/>
      <c r="DH766" s="47"/>
      <c r="DL766" s="47"/>
      <c r="DM766" s="47"/>
      <c r="DN766" s="47"/>
      <c r="DO766" s="47"/>
      <c r="DP766" s="47"/>
      <c r="DQ766" s="47"/>
    </row>
    <row r="767">
      <c r="CU767" s="47"/>
      <c r="CV767" s="47"/>
      <c r="CW767" s="47"/>
      <c r="CX767" s="47"/>
      <c r="CY767" s="47"/>
      <c r="DD767" s="47"/>
      <c r="DE767" s="47"/>
      <c r="DF767" s="47"/>
      <c r="DG767" s="47"/>
      <c r="DH767" s="47"/>
      <c r="DL767" s="47"/>
      <c r="DM767" s="47"/>
      <c r="DN767" s="47"/>
      <c r="DO767" s="47"/>
      <c r="DP767" s="47"/>
      <c r="DQ767" s="47"/>
    </row>
    <row r="768">
      <c r="CU768" s="47"/>
      <c r="CV768" s="47"/>
      <c r="CW768" s="47"/>
      <c r="CX768" s="47"/>
      <c r="CY768" s="47"/>
      <c r="DD768" s="47"/>
      <c r="DE768" s="47"/>
      <c r="DF768" s="47"/>
      <c r="DG768" s="47"/>
      <c r="DH768" s="47"/>
      <c r="DL768" s="47"/>
      <c r="DM768" s="47"/>
      <c r="DN768" s="47"/>
      <c r="DO768" s="47"/>
      <c r="DP768" s="47"/>
      <c r="DQ768" s="47"/>
    </row>
    <row r="769">
      <c r="CU769" s="47"/>
      <c r="CV769" s="47"/>
      <c r="CW769" s="47"/>
      <c r="CX769" s="47"/>
      <c r="CY769" s="47"/>
      <c r="DD769" s="47"/>
      <c r="DE769" s="47"/>
      <c r="DF769" s="47"/>
      <c r="DG769" s="47"/>
      <c r="DH769" s="47"/>
      <c r="DL769" s="47"/>
      <c r="DM769" s="47"/>
      <c r="DN769" s="47"/>
      <c r="DO769" s="47"/>
      <c r="DP769" s="47"/>
      <c r="DQ769" s="47"/>
    </row>
    <row r="770">
      <c r="CU770" s="47"/>
      <c r="CV770" s="47"/>
      <c r="CW770" s="47"/>
      <c r="CX770" s="47"/>
      <c r="CY770" s="47"/>
      <c r="DD770" s="47"/>
      <c r="DE770" s="47"/>
      <c r="DF770" s="47"/>
      <c r="DG770" s="47"/>
      <c r="DH770" s="47"/>
      <c r="DL770" s="47"/>
      <c r="DM770" s="47"/>
      <c r="DN770" s="47"/>
      <c r="DO770" s="47"/>
      <c r="DP770" s="47"/>
      <c r="DQ770" s="47"/>
    </row>
    <row r="771">
      <c r="CU771" s="47"/>
      <c r="CV771" s="47"/>
      <c r="CW771" s="47"/>
      <c r="CX771" s="47"/>
      <c r="CY771" s="47"/>
      <c r="DD771" s="47"/>
      <c r="DE771" s="47"/>
      <c r="DF771" s="47"/>
      <c r="DG771" s="47"/>
      <c r="DH771" s="47"/>
      <c r="DL771" s="47"/>
      <c r="DM771" s="47"/>
      <c r="DN771" s="47"/>
      <c r="DO771" s="47"/>
      <c r="DP771" s="47"/>
      <c r="DQ771" s="47"/>
    </row>
    <row r="772">
      <c r="CU772" s="47"/>
      <c r="CV772" s="47"/>
      <c r="CW772" s="47"/>
      <c r="CX772" s="47"/>
      <c r="CY772" s="47"/>
      <c r="DD772" s="47"/>
      <c r="DE772" s="47"/>
      <c r="DF772" s="47"/>
      <c r="DG772" s="47"/>
      <c r="DH772" s="47"/>
      <c r="DL772" s="47"/>
      <c r="DM772" s="47"/>
      <c r="DN772" s="47"/>
      <c r="DO772" s="47"/>
      <c r="DP772" s="47"/>
      <c r="DQ772" s="47"/>
    </row>
    <row r="773">
      <c r="CU773" s="47"/>
      <c r="CV773" s="47"/>
      <c r="CW773" s="47"/>
      <c r="CX773" s="47"/>
      <c r="CY773" s="47"/>
      <c r="DD773" s="47"/>
      <c r="DE773" s="47"/>
      <c r="DF773" s="47"/>
      <c r="DG773" s="47"/>
      <c r="DH773" s="47"/>
      <c r="DL773" s="47"/>
      <c r="DM773" s="47"/>
      <c r="DN773" s="47"/>
      <c r="DO773" s="47"/>
      <c r="DP773" s="47"/>
      <c r="DQ773" s="47"/>
    </row>
    <row r="774">
      <c r="CU774" s="47"/>
      <c r="CV774" s="47"/>
      <c r="CW774" s="47"/>
      <c r="CX774" s="47"/>
      <c r="CY774" s="47"/>
      <c r="DD774" s="47"/>
      <c r="DE774" s="47"/>
      <c r="DF774" s="47"/>
      <c r="DG774" s="47"/>
      <c r="DH774" s="47"/>
      <c r="DL774" s="47"/>
      <c r="DM774" s="47"/>
      <c r="DN774" s="47"/>
      <c r="DO774" s="47"/>
      <c r="DP774" s="47"/>
      <c r="DQ774" s="47"/>
    </row>
    <row r="775">
      <c r="CU775" s="47"/>
      <c r="CV775" s="47"/>
      <c r="CW775" s="47"/>
      <c r="CX775" s="47"/>
      <c r="CY775" s="47"/>
      <c r="DD775" s="47"/>
      <c r="DE775" s="47"/>
      <c r="DF775" s="47"/>
      <c r="DG775" s="47"/>
      <c r="DH775" s="47"/>
      <c r="DL775" s="47"/>
      <c r="DM775" s="47"/>
      <c r="DN775" s="47"/>
      <c r="DO775" s="47"/>
      <c r="DP775" s="47"/>
      <c r="DQ775" s="47"/>
    </row>
    <row r="776">
      <c r="CU776" s="47"/>
      <c r="CV776" s="47"/>
      <c r="CW776" s="47"/>
      <c r="CX776" s="47"/>
      <c r="CY776" s="47"/>
      <c r="DD776" s="47"/>
      <c r="DE776" s="47"/>
      <c r="DF776" s="47"/>
      <c r="DG776" s="47"/>
      <c r="DH776" s="47"/>
      <c r="DL776" s="47"/>
      <c r="DM776" s="47"/>
      <c r="DN776" s="47"/>
      <c r="DO776" s="47"/>
      <c r="DP776" s="47"/>
      <c r="DQ776" s="47"/>
    </row>
    <row r="777">
      <c r="CU777" s="47"/>
      <c r="CV777" s="47"/>
      <c r="CW777" s="47"/>
      <c r="CX777" s="47"/>
      <c r="CY777" s="47"/>
      <c r="DD777" s="47"/>
      <c r="DE777" s="47"/>
      <c r="DF777" s="47"/>
      <c r="DG777" s="47"/>
      <c r="DH777" s="47"/>
      <c r="DL777" s="47"/>
      <c r="DM777" s="47"/>
      <c r="DN777" s="47"/>
      <c r="DO777" s="47"/>
      <c r="DP777" s="47"/>
      <c r="DQ777" s="47"/>
    </row>
    <row r="778">
      <c r="CU778" s="47"/>
      <c r="CV778" s="47"/>
      <c r="CW778" s="47"/>
      <c r="CX778" s="47"/>
      <c r="CY778" s="47"/>
      <c r="DD778" s="47"/>
      <c r="DE778" s="47"/>
      <c r="DF778" s="47"/>
      <c r="DG778" s="47"/>
      <c r="DH778" s="47"/>
      <c r="DL778" s="47"/>
      <c r="DM778" s="47"/>
      <c r="DN778" s="47"/>
      <c r="DO778" s="47"/>
      <c r="DP778" s="47"/>
      <c r="DQ778" s="47"/>
    </row>
    <row r="779">
      <c r="CU779" s="47"/>
      <c r="CV779" s="47"/>
      <c r="CW779" s="47"/>
      <c r="CX779" s="47"/>
      <c r="CY779" s="47"/>
      <c r="DD779" s="47"/>
      <c r="DE779" s="47"/>
      <c r="DF779" s="47"/>
      <c r="DG779" s="47"/>
      <c r="DH779" s="47"/>
      <c r="DL779" s="47"/>
      <c r="DM779" s="47"/>
      <c r="DN779" s="47"/>
      <c r="DO779" s="47"/>
      <c r="DP779" s="47"/>
      <c r="DQ779" s="47"/>
    </row>
    <row r="780">
      <c r="CU780" s="47"/>
      <c r="CV780" s="47"/>
      <c r="CW780" s="47"/>
      <c r="CX780" s="47"/>
      <c r="CY780" s="47"/>
      <c r="DD780" s="47"/>
      <c r="DE780" s="47"/>
      <c r="DF780" s="47"/>
      <c r="DG780" s="47"/>
      <c r="DH780" s="47"/>
      <c r="DL780" s="47"/>
      <c r="DM780" s="47"/>
      <c r="DN780" s="47"/>
      <c r="DO780" s="47"/>
      <c r="DP780" s="47"/>
      <c r="DQ780" s="47"/>
    </row>
    <row r="781">
      <c r="CU781" s="47"/>
      <c r="CV781" s="47"/>
      <c r="CW781" s="47"/>
      <c r="CX781" s="47"/>
      <c r="CY781" s="47"/>
      <c r="DD781" s="47"/>
      <c r="DE781" s="47"/>
      <c r="DF781" s="47"/>
      <c r="DG781" s="47"/>
      <c r="DH781" s="47"/>
      <c r="DL781" s="47"/>
      <c r="DM781" s="47"/>
      <c r="DN781" s="47"/>
      <c r="DO781" s="47"/>
      <c r="DP781" s="47"/>
      <c r="DQ781" s="47"/>
    </row>
    <row r="782">
      <c r="CU782" s="47"/>
      <c r="CV782" s="47"/>
      <c r="CW782" s="47"/>
      <c r="CX782" s="47"/>
      <c r="CY782" s="47"/>
      <c r="DD782" s="47"/>
      <c r="DE782" s="47"/>
      <c r="DF782" s="47"/>
      <c r="DG782" s="47"/>
      <c r="DH782" s="47"/>
      <c r="DL782" s="47"/>
      <c r="DM782" s="47"/>
      <c r="DN782" s="47"/>
      <c r="DO782" s="47"/>
      <c r="DP782" s="47"/>
      <c r="DQ782" s="47"/>
    </row>
    <row r="783">
      <c r="CU783" s="47"/>
      <c r="CV783" s="47"/>
      <c r="CW783" s="47"/>
      <c r="CX783" s="47"/>
      <c r="CY783" s="47"/>
      <c r="DD783" s="47"/>
      <c r="DE783" s="47"/>
      <c r="DF783" s="47"/>
      <c r="DG783" s="47"/>
      <c r="DH783" s="47"/>
      <c r="DL783" s="47"/>
      <c r="DM783" s="47"/>
      <c r="DN783" s="47"/>
      <c r="DO783" s="47"/>
      <c r="DP783" s="47"/>
      <c r="DQ783" s="47"/>
    </row>
    <row r="784">
      <c r="CU784" s="47"/>
      <c r="CV784" s="47"/>
      <c r="CW784" s="47"/>
      <c r="CX784" s="47"/>
      <c r="CY784" s="47"/>
      <c r="DD784" s="47"/>
      <c r="DE784" s="47"/>
      <c r="DF784" s="47"/>
      <c r="DG784" s="47"/>
      <c r="DH784" s="47"/>
      <c r="DL784" s="47"/>
      <c r="DM784" s="47"/>
      <c r="DN784" s="47"/>
      <c r="DO784" s="47"/>
      <c r="DP784" s="47"/>
      <c r="DQ784" s="47"/>
    </row>
    <row r="785">
      <c r="CU785" s="47"/>
      <c r="CV785" s="47"/>
      <c r="CW785" s="47"/>
      <c r="CX785" s="47"/>
      <c r="CY785" s="47"/>
      <c r="DD785" s="47"/>
      <c r="DE785" s="47"/>
      <c r="DF785" s="47"/>
      <c r="DG785" s="47"/>
      <c r="DH785" s="47"/>
      <c r="DL785" s="47"/>
      <c r="DM785" s="47"/>
      <c r="DN785" s="47"/>
      <c r="DO785" s="47"/>
      <c r="DP785" s="47"/>
      <c r="DQ785" s="47"/>
    </row>
    <row r="786">
      <c r="CU786" s="47"/>
      <c r="CV786" s="47"/>
      <c r="CW786" s="47"/>
      <c r="CX786" s="47"/>
      <c r="CY786" s="47"/>
      <c r="DD786" s="47"/>
      <c r="DE786" s="47"/>
      <c r="DF786" s="47"/>
      <c r="DG786" s="47"/>
      <c r="DH786" s="47"/>
      <c r="DL786" s="47"/>
      <c r="DM786" s="47"/>
      <c r="DN786" s="47"/>
      <c r="DO786" s="47"/>
      <c r="DP786" s="47"/>
      <c r="DQ786" s="47"/>
    </row>
    <row r="787">
      <c r="CU787" s="47"/>
      <c r="CV787" s="47"/>
      <c r="CW787" s="47"/>
      <c r="CX787" s="47"/>
      <c r="CY787" s="47"/>
      <c r="DD787" s="47"/>
      <c r="DE787" s="47"/>
      <c r="DF787" s="47"/>
      <c r="DG787" s="47"/>
      <c r="DH787" s="47"/>
      <c r="DL787" s="47"/>
      <c r="DM787" s="47"/>
      <c r="DN787" s="47"/>
      <c r="DO787" s="47"/>
      <c r="DP787" s="47"/>
      <c r="DQ787" s="47"/>
    </row>
    <row r="788">
      <c r="CU788" s="47"/>
      <c r="CV788" s="47"/>
      <c r="CW788" s="47"/>
      <c r="CX788" s="47"/>
      <c r="CY788" s="47"/>
      <c r="DD788" s="47"/>
      <c r="DE788" s="47"/>
      <c r="DF788" s="47"/>
      <c r="DG788" s="47"/>
      <c r="DH788" s="47"/>
      <c r="DL788" s="47"/>
      <c r="DM788" s="47"/>
      <c r="DN788" s="47"/>
      <c r="DO788" s="47"/>
      <c r="DP788" s="47"/>
      <c r="DQ788" s="47"/>
    </row>
    <row r="789">
      <c r="CU789" s="47"/>
      <c r="CV789" s="47"/>
      <c r="CW789" s="47"/>
      <c r="CX789" s="47"/>
      <c r="CY789" s="47"/>
      <c r="DD789" s="47"/>
      <c r="DE789" s="47"/>
      <c r="DF789" s="47"/>
      <c r="DG789" s="47"/>
      <c r="DH789" s="47"/>
      <c r="DL789" s="47"/>
      <c r="DM789" s="47"/>
      <c r="DN789" s="47"/>
      <c r="DO789" s="47"/>
      <c r="DP789" s="47"/>
      <c r="DQ789" s="47"/>
    </row>
    <row r="790">
      <c r="CU790" s="47"/>
      <c r="CV790" s="47"/>
      <c r="CW790" s="47"/>
      <c r="CX790" s="47"/>
      <c r="CY790" s="47"/>
      <c r="DD790" s="47"/>
      <c r="DE790" s="47"/>
      <c r="DF790" s="47"/>
      <c r="DG790" s="47"/>
      <c r="DH790" s="47"/>
      <c r="DL790" s="47"/>
      <c r="DM790" s="47"/>
      <c r="DN790" s="47"/>
      <c r="DO790" s="47"/>
      <c r="DP790" s="47"/>
      <c r="DQ790" s="47"/>
    </row>
    <row r="791">
      <c r="CU791" s="47"/>
      <c r="CV791" s="47"/>
      <c r="CW791" s="47"/>
      <c r="CX791" s="47"/>
      <c r="CY791" s="47"/>
      <c r="DD791" s="47"/>
      <c r="DE791" s="47"/>
      <c r="DF791" s="47"/>
      <c r="DG791" s="47"/>
      <c r="DH791" s="47"/>
      <c r="DL791" s="47"/>
      <c r="DM791" s="47"/>
      <c r="DN791" s="47"/>
      <c r="DO791" s="47"/>
      <c r="DP791" s="47"/>
      <c r="DQ791" s="47"/>
    </row>
    <row r="792">
      <c r="CU792" s="47"/>
      <c r="CV792" s="47"/>
      <c r="CW792" s="47"/>
      <c r="CX792" s="47"/>
      <c r="CY792" s="47"/>
      <c r="DD792" s="47"/>
      <c r="DE792" s="47"/>
      <c r="DF792" s="47"/>
      <c r="DG792" s="47"/>
      <c r="DH792" s="47"/>
      <c r="DL792" s="47"/>
      <c r="DM792" s="47"/>
      <c r="DN792" s="47"/>
      <c r="DO792" s="47"/>
      <c r="DP792" s="47"/>
      <c r="DQ792" s="47"/>
    </row>
    <row r="793">
      <c r="CU793" s="47"/>
      <c r="CV793" s="47"/>
      <c r="CW793" s="47"/>
      <c r="CX793" s="47"/>
      <c r="CY793" s="47"/>
      <c r="DD793" s="47"/>
      <c r="DE793" s="47"/>
      <c r="DF793" s="47"/>
      <c r="DG793" s="47"/>
      <c r="DH793" s="47"/>
      <c r="DL793" s="47"/>
      <c r="DM793" s="47"/>
      <c r="DN793" s="47"/>
      <c r="DO793" s="47"/>
      <c r="DP793" s="47"/>
      <c r="DQ793" s="47"/>
    </row>
    <row r="794">
      <c r="CU794" s="47"/>
      <c r="CV794" s="47"/>
      <c r="CW794" s="47"/>
      <c r="CX794" s="47"/>
      <c r="CY794" s="47"/>
      <c r="DD794" s="47"/>
      <c r="DE794" s="47"/>
      <c r="DF794" s="47"/>
      <c r="DG794" s="47"/>
      <c r="DH794" s="47"/>
      <c r="DL794" s="47"/>
      <c r="DM794" s="47"/>
      <c r="DN794" s="47"/>
      <c r="DO794" s="47"/>
      <c r="DP794" s="47"/>
      <c r="DQ794" s="47"/>
    </row>
    <row r="795">
      <c r="CU795" s="47"/>
      <c r="CV795" s="47"/>
      <c r="CW795" s="47"/>
      <c r="CX795" s="47"/>
      <c r="CY795" s="47"/>
      <c r="DD795" s="47"/>
      <c r="DE795" s="47"/>
      <c r="DF795" s="47"/>
      <c r="DG795" s="47"/>
      <c r="DH795" s="47"/>
      <c r="DL795" s="47"/>
      <c r="DM795" s="47"/>
      <c r="DN795" s="47"/>
      <c r="DO795" s="47"/>
      <c r="DP795" s="47"/>
      <c r="DQ795" s="47"/>
    </row>
    <row r="796">
      <c r="CU796" s="47"/>
      <c r="CV796" s="47"/>
      <c r="CW796" s="47"/>
      <c r="CX796" s="47"/>
      <c r="CY796" s="47"/>
      <c r="DD796" s="47"/>
      <c r="DE796" s="47"/>
      <c r="DF796" s="47"/>
      <c r="DG796" s="47"/>
      <c r="DH796" s="47"/>
      <c r="DL796" s="47"/>
      <c r="DM796" s="47"/>
      <c r="DN796" s="47"/>
      <c r="DO796" s="47"/>
      <c r="DP796" s="47"/>
      <c r="DQ796" s="47"/>
    </row>
    <row r="797">
      <c r="CU797" s="47"/>
      <c r="CV797" s="47"/>
      <c r="CW797" s="47"/>
      <c r="CX797" s="47"/>
      <c r="CY797" s="47"/>
      <c r="DD797" s="47"/>
      <c r="DE797" s="47"/>
      <c r="DF797" s="47"/>
      <c r="DG797" s="47"/>
      <c r="DH797" s="47"/>
      <c r="DL797" s="47"/>
      <c r="DM797" s="47"/>
      <c r="DN797" s="47"/>
      <c r="DO797" s="47"/>
      <c r="DP797" s="47"/>
      <c r="DQ797" s="47"/>
    </row>
    <row r="798">
      <c r="CU798" s="47"/>
      <c r="CV798" s="47"/>
      <c r="CW798" s="47"/>
      <c r="CX798" s="47"/>
      <c r="CY798" s="47"/>
      <c r="DD798" s="47"/>
      <c r="DE798" s="47"/>
      <c r="DF798" s="47"/>
      <c r="DG798" s="47"/>
      <c r="DH798" s="47"/>
      <c r="DL798" s="47"/>
      <c r="DM798" s="47"/>
      <c r="DN798" s="47"/>
      <c r="DO798" s="47"/>
      <c r="DP798" s="47"/>
      <c r="DQ798" s="47"/>
    </row>
    <row r="799">
      <c r="CU799" s="47"/>
      <c r="CV799" s="47"/>
      <c r="CW799" s="47"/>
      <c r="CX799" s="47"/>
      <c r="CY799" s="47"/>
      <c r="DD799" s="47"/>
      <c r="DE799" s="47"/>
      <c r="DF799" s="47"/>
      <c r="DG799" s="47"/>
      <c r="DH799" s="47"/>
      <c r="DL799" s="47"/>
      <c r="DM799" s="47"/>
      <c r="DN799" s="47"/>
      <c r="DO799" s="47"/>
      <c r="DP799" s="47"/>
      <c r="DQ799" s="47"/>
    </row>
    <row r="800">
      <c r="CU800" s="47"/>
      <c r="CV800" s="47"/>
      <c r="CW800" s="47"/>
      <c r="CX800" s="47"/>
      <c r="CY800" s="47"/>
      <c r="DD800" s="47"/>
      <c r="DE800" s="47"/>
      <c r="DF800" s="47"/>
      <c r="DG800" s="47"/>
      <c r="DH800" s="47"/>
      <c r="DL800" s="47"/>
      <c r="DM800" s="47"/>
      <c r="DN800" s="47"/>
      <c r="DO800" s="47"/>
      <c r="DP800" s="47"/>
      <c r="DQ800" s="47"/>
    </row>
    <row r="801">
      <c r="CU801" s="47"/>
      <c r="CV801" s="47"/>
      <c r="CW801" s="47"/>
      <c r="CX801" s="47"/>
      <c r="CY801" s="47"/>
      <c r="DD801" s="47"/>
      <c r="DE801" s="47"/>
      <c r="DF801" s="47"/>
      <c r="DG801" s="47"/>
      <c r="DH801" s="47"/>
      <c r="DL801" s="47"/>
      <c r="DM801" s="47"/>
      <c r="DN801" s="47"/>
      <c r="DO801" s="47"/>
      <c r="DP801" s="47"/>
      <c r="DQ801" s="47"/>
    </row>
    <row r="802">
      <c r="CU802" s="47"/>
      <c r="CV802" s="47"/>
      <c r="CW802" s="47"/>
      <c r="CX802" s="47"/>
      <c r="CY802" s="47"/>
      <c r="DD802" s="47"/>
      <c r="DE802" s="47"/>
      <c r="DF802" s="47"/>
      <c r="DG802" s="47"/>
      <c r="DH802" s="47"/>
      <c r="DL802" s="47"/>
      <c r="DM802" s="47"/>
      <c r="DN802" s="47"/>
      <c r="DO802" s="47"/>
      <c r="DP802" s="47"/>
      <c r="DQ802" s="47"/>
    </row>
    <row r="803">
      <c r="CU803" s="47"/>
      <c r="CV803" s="47"/>
      <c r="CW803" s="47"/>
      <c r="CX803" s="47"/>
      <c r="CY803" s="47"/>
      <c r="DD803" s="47"/>
      <c r="DE803" s="47"/>
      <c r="DF803" s="47"/>
      <c r="DG803" s="47"/>
      <c r="DH803" s="47"/>
      <c r="DL803" s="47"/>
      <c r="DM803" s="47"/>
      <c r="DN803" s="47"/>
      <c r="DO803" s="47"/>
      <c r="DP803" s="47"/>
      <c r="DQ803" s="47"/>
    </row>
    <row r="804">
      <c r="CU804" s="47"/>
      <c r="CV804" s="47"/>
      <c r="CW804" s="47"/>
      <c r="CX804" s="47"/>
      <c r="CY804" s="47"/>
      <c r="DD804" s="47"/>
      <c r="DE804" s="47"/>
      <c r="DF804" s="47"/>
      <c r="DG804" s="47"/>
      <c r="DH804" s="47"/>
      <c r="DL804" s="47"/>
      <c r="DM804" s="47"/>
      <c r="DN804" s="47"/>
      <c r="DO804" s="47"/>
      <c r="DP804" s="47"/>
      <c r="DQ804" s="47"/>
    </row>
    <row r="805">
      <c r="CU805" s="47"/>
      <c r="CV805" s="47"/>
      <c r="CW805" s="47"/>
      <c r="CX805" s="47"/>
      <c r="CY805" s="47"/>
      <c r="DD805" s="47"/>
      <c r="DE805" s="47"/>
      <c r="DF805" s="47"/>
      <c r="DG805" s="47"/>
      <c r="DH805" s="47"/>
      <c r="DL805" s="47"/>
      <c r="DM805" s="47"/>
      <c r="DN805" s="47"/>
      <c r="DO805" s="47"/>
      <c r="DP805" s="47"/>
      <c r="DQ805" s="47"/>
    </row>
    <row r="806">
      <c r="CU806" s="47"/>
      <c r="CV806" s="47"/>
      <c r="CW806" s="47"/>
      <c r="CX806" s="47"/>
      <c r="CY806" s="47"/>
      <c r="DD806" s="47"/>
      <c r="DE806" s="47"/>
      <c r="DF806" s="47"/>
      <c r="DG806" s="47"/>
      <c r="DH806" s="47"/>
      <c r="DL806" s="47"/>
      <c r="DM806" s="47"/>
      <c r="DN806" s="47"/>
      <c r="DO806" s="47"/>
      <c r="DP806" s="47"/>
      <c r="DQ806" s="47"/>
    </row>
    <row r="807">
      <c r="CU807" s="47"/>
      <c r="CV807" s="47"/>
      <c r="CW807" s="47"/>
      <c r="CX807" s="47"/>
      <c r="CY807" s="47"/>
      <c r="DD807" s="47"/>
      <c r="DE807" s="47"/>
      <c r="DF807" s="47"/>
      <c r="DG807" s="47"/>
      <c r="DH807" s="47"/>
      <c r="DL807" s="47"/>
      <c r="DM807" s="47"/>
      <c r="DN807" s="47"/>
      <c r="DO807" s="47"/>
      <c r="DP807" s="47"/>
      <c r="DQ807" s="47"/>
    </row>
    <row r="808">
      <c r="CU808" s="47"/>
      <c r="CV808" s="47"/>
      <c r="CW808" s="47"/>
      <c r="CX808" s="47"/>
      <c r="CY808" s="47"/>
      <c r="DD808" s="47"/>
      <c r="DE808" s="47"/>
      <c r="DF808" s="47"/>
      <c r="DG808" s="47"/>
      <c r="DH808" s="47"/>
      <c r="DL808" s="47"/>
      <c r="DM808" s="47"/>
      <c r="DN808" s="47"/>
      <c r="DO808" s="47"/>
      <c r="DP808" s="47"/>
      <c r="DQ808" s="47"/>
    </row>
    <row r="809">
      <c r="CU809" s="47"/>
      <c r="CV809" s="47"/>
      <c r="CW809" s="47"/>
      <c r="CX809" s="47"/>
      <c r="CY809" s="47"/>
      <c r="DD809" s="47"/>
      <c r="DE809" s="47"/>
      <c r="DF809" s="47"/>
      <c r="DG809" s="47"/>
      <c r="DH809" s="47"/>
      <c r="DL809" s="47"/>
      <c r="DM809" s="47"/>
      <c r="DN809" s="47"/>
      <c r="DO809" s="47"/>
      <c r="DP809" s="47"/>
      <c r="DQ809" s="47"/>
    </row>
    <row r="810">
      <c r="CU810" s="47"/>
      <c r="CV810" s="47"/>
      <c r="CW810" s="47"/>
      <c r="CX810" s="47"/>
      <c r="CY810" s="47"/>
      <c r="DD810" s="47"/>
      <c r="DE810" s="47"/>
      <c r="DF810" s="47"/>
      <c r="DG810" s="47"/>
      <c r="DH810" s="47"/>
      <c r="DL810" s="47"/>
      <c r="DM810" s="47"/>
      <c r="DN810" s="47"/>
      <c r="DO810" s="47"/>
      <c r="DP810" s="47"/>
      <c r="DQ810" s="47"/>
    </row>
    <row r="811">
      <c r="CU811" s="47"/>
      <c r="CV811" s="47"/>
      <c r="CW811" s="47"/>
      <c r="CX811" s="47"/>
      <c r="CY811" s="47"/>
      <c r="DD811" s="47"/>
      <c r="DE811" s="47"/>
      <c r="DF811" s="47"/>
      <c r="DG811" s="47"/>
      <c r="DH811" s="47"/>
      <c r="DL811" s="47"/>
      <c r="DM811" s="47"/>
      <c r="DN811" s="47"/>
      <c r="DO811" s="47"/>
      <c r="DP811" s="47"/>
      <c r="DQ811" s="47"/>
    </row>
    <row r="812">
      <c r="CU812" s="47"/>
      <c r="CV812" s="47"/>
      <c r="CW812" s="47"/>
      <c r="CX812" s="47"/>
      <c r="CY812" s="47"/>
      <c r="DD812" s="47"/>
      <c r="DE812" s="47"/>
      <c r="DF812" s="47"/>
      <c r="DG812" s="47"/>
      <c r="DH812" s="47"/>
      <c r="DL812" s="47"/>
      <c r="DM812" s="47"/>
      <c r="DN812" s="47"/>
      <c r="DO812" s="47"/>
      <c r="DP812" s="47"/>
      <c r="DQ812" s="47"/>
    </row>
    <row r="813">
      <c r="CU813" s="47"/>
      <c r="CV813" s="47"/>
      <c r="CW813" s="47"/>
      <c r="CX813" s="47"/>
      <c r="CY813" s="47"/>
      <c r="DD813" s="47"/>
      <c r="DE813" s="47"/>
      <c r="DF813" s="47"/>
      <c r="DG813" s="47"/>
      <c r="DH813" s="47"/>
      <c r="DL813" s="47"/>
      <c r="DM813" s="47"/>
      <c r="DN813" s="47"/>
      <c r="DO813" s="47"/>
      <c r="DP813" s="47"/>
      <c r="DQ813" s="47"/>
    </row>
    <row r="814">
      <c r="CU814" s="47"/>
      <c r="CV814" s="47"/>
      <c r="CW814" s="47"/>
      <c r="CX814" s="47"/>
      <c r="CY814" s="47"/>
      <c r="DD814" s="47"/>
      <c r="DE814" s="47"/>
      <c r="DF814" s="47"/>
      <c r="DG814" s="47"/>
      <c r="DH814" s="47"/>
      <c r="DL814" s="47"/>
      <c r="DM814" s="47"/>
      <c r="DN814" s="47"/>
      <c r="DO814" s="47"/>
      <c r="DP814" s="47"/>
      <c r="DQ814" s="47"/>
    </row>
    <row r="815">
      <c r="CU815" s="47"/>
      <c r="CV815" s="47"/>
      <c r="CW815" s="47"/>
      <c r="CX815" s="47"/>
      <c r="CY815" s="47"/>
      <c r="DD815" s="47"/>
      <c r="DE815" s="47"/>
      <c r="DF815" s="47"/>
      <c r="DG815" s="47"/>
      <c r="DH815" s="47"/>
      <c r="DL815" s="47"/>
      <c r="DM815" s="47"/>
      <c r="DN815" s="47"/>
      <c r="DO815" s="47"/>
      <c r="DP815" s="47"/>
      <c r="DQ815" s="47"/>
    </row>
    <row r="816">
      <c r="CU816" s="47"/>
      <c r="CV816" s="47"/>
      <c r="CW816" s="47"/>
      <c r="CX816" s="47"/>
      <c r="CY816" s="47"/>
      <c r="DD816" s="47"/>
      <c r="DE816" s="47"/>
      <c r="DF816" s="47"/>
      <c r="DG816" s="47"/>
      <c r="DH816" s="47"/>
      <c r="DL816" s="47"/>
      <c r="DM816" s="47"/>
      <c r="DN816" s="47"/>
      <c r="DO816" s="47"/>
      <c r="DP816" s="47"/>
      <c r="DQ816" s="47"/>
    </row>
    <row r="817">
      <c r="CU817" s="47"/>
      <c r="CV817" s="47"/>
      <c r="CW817" s="47"/>
      <c r="CX817" s="47"/>
      <c r="CY817" s="47"/>
      <c r="DD817" s="47"/>
      <c r="DE817" s="47"/>
      <c r="DF817" s="47"/>
      <c r="DG817" s="47"/>
      <c r="DH817" s="47"/>
      <c r="DL817" s="47"/>
      <c r="DM817" s="47"/>
      <c r="DN817" s="47"/>
      <c r="DO817" s="47"/>
      <c r="DP817" s="47"/>
      <c r="DQ817" s="47"/>
    </row>
    <row r="818">
      <c r="CU818" s="47"/>
      <c r="CV818" s="47"/>
      <c r="CW818" s="47"/>
      <c r="CX818" s="47"/>
      <c r="CY818" s="47"/>
      <c r="DD818" s="47"/>
      <c r="DE818" s="47"/>
      <c r="DF818" s="47"/>
      <c r="DG818" s="47"/>
      <c r="DH818" s="47"/>
      <c r="DL818" s="47"/>
      <c r="DM818" s="47"/>
      <c r="DN818" s="47"/>
      <c r="DO818" s="47"/>
      <c r="DP818" s="47"/>
      <c r="DQ818" s="47"/>
    </row>
    <row r="819">
      <c r="CU819" s="47"/>
      <c r="CV819" s="47"/>
      <c r="CW819" s="47"/>
      <c r="CX819" s="47"/>
      <c r="CY819" s="47"/>
      <c r="DD819" s="47"/>
      <c r="DE819" s="47"/>
      <c r="DF819" s="47"/>
      <c r="DG819" s="47"/>
      <c r="DH819" s="47"/>
      <c r="DL819" s="47"/>
      <c r="DM819" s="47"/>
      <c r="DN819" s="47"/>
      <c r="DO819" s="47"/>
      <c r="DP819" s="47"/>
      <c r="DQ819" s="47"/>
    </row>
    <row r="820">
      <c r="CU820" s="47"/>
      <c r="CV820" s="47"/>
      <c r="CW820" s="47"/>
      <c r="CX820" s="47"/>
      <c r="CY820" s="47"/>
      <c r="DD820" s="47"/>
      <c r="DE820" s="47"/>
      <c r="DF820" s="47"/>
      <c r="DG820" s="47"/>
      <c r="DH820" s="47"/>
      <c r="DL820" s="47"/>
      <c r="DM820" s="47"/>
      <c r="DN820" s="47"/>
      <c r="DO820" s="47"/>
      <c r="DP820" s="47"/>
      <c r="DQ820" s="47"/>
    </row>
    <row r="821">
      <c r="CU821" s="47"/>
      <c r="CV821" s="47"/>
      <c r="CW821" s="47"/>
      <c r="CX821" s="47"/>
      <c r="CY821" s="47"/>
      <c r="DD821" s="47"/>
      <c r="DE821" s="47"/>
      <c r="DF821" s="47"/>
      <c r="DG821" s="47"/>
      <c r="DH821" s="47"/>
      <c r="DL821" s="47"/>
      <c r="DM821" s="47"/>
      <c r="DN821" s="47"/>
      <c r="DO821" s="47"/>
      <c r="DP821" s="47"/>
      <c r="DQ821" s="47"/>
    </row>
    <row r="822">
      <c r="CU822" s="47"/>
      <c r="CV822" s="47"/>
      <c r="CW822" s="47"/>
      <c r="CX822" s="47"/>
      <c r="CY822" s="47"/>
      <c r="DD822" s="47"/>
      <c r="DE822" s="47"/>
      <c r="DF822" s="47"/>
      <c r="DG822" s="47"/>
      <c r="DH822" s="47"/>
      <c r="DL822" s="47"/>
      <c r="DM822" s="47"/>
      <c r="DN822" s="47"/>
      <c r="DO822" s="47"/>
      <c r="DP822" s="47"/>
      <c r="DQ822" s="47"/>
    </row>
    <row r="823">
      <c r="CU823" s="47"/>
      <c r="CV823" s="47"/>
      <c r="CW823" s="47"/>
      <c r="CX823" s="47"/>
      <c r="CY823" s="47"/>
      <c r="DD823" s="47"/>
      <c r="DE823" s="47"/>
      <c r="DF823" s="47"/>
      <c r="DG823" s="47"/>
      <c r="DH823" s="47"/>
      <c r="DL823" s="47"/>
      <c r="DM823" s="47"/>
      <c r="DN823" s="47"/>
      <c r="DO823" s="47"/>
      <c r="DP823" s="47"/>
      <c r="DQ823" s="47"/>
    </row>
    <row r="824">
      <c r="CU824" s="47"/>
      <c r="CV824" s="47"/>
      <c r="CW824" s="47"/>
      <c r="CX824" s="47"/>
      <c r="CY824" s="47"/>
      <c r="DD824" s="47"/>
      <c r="DE824" s="47"/>
      <c r="DF824" s="47"/>
      <c r="DG824" s="47"/>
      <c r="DH824" s="47"/>
      <c r="DL824" s="47"/>
      <c r="DM824" s="47"/>
      <c r="DN824" s="47"/>
      <c r="DO824" s="47"/>
      <c r="DP824" s="47"/>
      <c r="DQ824" s="47"/>
    </row>
    <row r="825">
      <c r="CU825" s="47"/>
      <c r="CV825" s="47"/>
      <c r="CW825" s="47"/>
      <c r="CX825" s="47"/>
      <c r="CY825" s="47"/>
      <c r="DD825" s="47"/>
      <c r="DE825" s="47"/>
      <c r="DF825" s="47"/>
      <c r="DG825" s="47"/>
      <c r="DH825" s="47"/>
      <c r="DL825" s="47"/>
      <c r="DM825" s="47"/>
      <c r="DN825" s="47"/>
      <c r="DO825" s="47"/>
      <c r="DP825" s="47"/>
      <c r="DQ825" s="47"/>
    </row>
    <row r="826">
      <c r="CU826" s="47"/>
      <c r="CV826" s="47"/>
      <c r="CW826" s="47"/>
      <c r="CX826" s="47"/>
      <c r="CY826" s="47"/>
      <c r="DD826" s="47"/>
      <c r="DE826" s="47"/>
      <c r="DF826" s="47"/>
      <c r="DG826" s="47"/>
      <c r="DH826" s="47"/>
      <c r="DL826" s="47"/>
      <c r="DM826" s="47"/>
      <c r="DN826" s="47"/>
      <c r="DO826" s="47"/>
      <c r="DP826" s="47"/>
      <c r="DQ826" s="47"/>
    </row>
    <row r="827">
      <c r="CU827" s="47"/>
      <c r="CV827" s="47"/>
      <c r="CW827" s="47"/>
      <c r="CX827" s="47"/>
      <c r="CY827" s="47"/>
      <c r="DD827" s="47"/>
      <c r="DE827" s="47"/>
      <c r="DF827" s="47"/>
      <c r="DG827" s="47"/>
      <c r="DH827" s="47"/>
      <c r="DL827" s="47"/>
      <c r="DM827" s="47"/>
      <c r="DN827" s="47"/>
      <c r="DO827" s="47"/>
      <c r="DP827" s="47"/>
      <c r="DQ827" s="47"/>
    </row>
    <row r="828">
      <c r="CU828" s="47"/>
      <c r="CV828" s="47"/>
      <c r="CW828" s="47"/>
      <c r="CX828" s="47"/>
      <c r="CY828" s="47"/>
      <c r="DD828" s="47"/>
      <c r="DE828" s="47"/>
      <c r="DF828" s="47"/>
      <c r="DG828" s="47"/>
      <c r="DH828" s="47"/>
      <c r="DL828" s="47"/>
      <c r="DM828" s="47"/>
      <c r="DN828" s="47"/>
      <c r="DO828" s="47"/>
      <c r="DP828" s="47"/>
      <c r="DQ828" s="47"/>
    </row>
    <row r="829">
      <c r="CU829" s="47"/>
      <c r="CV829" s="47"/>
      <c r="CW829" s="47"/>
      <c r="CX829" s="47"/>
      <c r="CY829" s="47"/>
      <c r="DD829" s="47"/>
      <c r="DE829" s="47"/>
      <c r="DF829" s="47"/>
      <c r="DG829" s="47"/>
      <c r="DH829" s="47"/>
      <c r="DL829" s="47"/>
      <c r="DM829" s="47"/>
      <c r="DN829" s="47"/>
      <c r="DO829" s="47"/>
      <c r="DP829" s="47"/>
      <c r="DQ829" s="47"/>
    </row>
    <row r="830">
      <c r="CU830" s="47"/>
      <c r="CV830" s="47"/>
      <c r="CW830" s="47"/>
      <c r="CX830" s="47"/>
      <c r="CY830" s="47"/>
      <c r="DD830" s="47"/>
      <c r="DE830" s="47"/>
      <c r="DF830" s="47"/>
      <c r="DG830" s="47"/>
      <c r="DH830" s="47"/>
      <c r="DL830" s="47"/>
      <c r="DM830" s="47"/>
      <c r="DN830" s="47"/>
      <c r="DO830" s="47"/>
      <c r="DP830" s="47"/>
      <c r="DQ830" s="47"/>
    </row>
    <row r="831">
      <c r="CU831" s="47"/>
      <c r="CV831" s="47"/>
      <c r="CW831" s="47"/>
      <c r="CX831" s="47"/>
      <c r="CY831" s="47"/>
      <c r="DD831" s="47"/>
      <c r="DE831" s="47"/>
      <c r="DF831" s="47"/>
      <c r="DG831" s="47"/>
      <c r="DH831" s="47"/>
      <c r="DL831" s="47"/>
      <c r="DM831" s="47"/>
      <c r="DN831" s="47"/>
      <c r="DO831" s="47"/>
      <c r="DP831" s="47"/>
      <c r="DQ831" s="47"/>
    </row>
    <row r="832">
      <c r="CU832" s="47"/>
      <c r="CV832" s="47"/>
      <c r="CW832" s="47"/>
      <c r="CX832" s="47"/>
      <c r="CY832" s="47"/>
      <c r="DD832" s="47"/>
      <c r="DE832" s="47"/>
      <c r="DF832" s="47"/>
      <c r="DG832" s="47"/>
      <c r="DH832" s="47"/>
      <c r="DL832" s="47"/>
      <c r="DM832" s="47"/>
      <c r="DN832" s="47"/>
      <c r="DO832" s="47"/>
      <c r="DP832" s="47"/>
      <c r="DQ832" s="47"/>
    </row>
    <row r="833">
      <c r="CU833" s="47"/>
      <c r="CV833" s="47"/>
      <c r="CW833" s="47"/>
      <c r="CX833" s="47"/>
      <c r="CY833" s="47"/>
      <c r="DD833" s="47"/>
      <c r="DE833" s="47"/>
      <c r="DF833" s="47"/>
      <c r="DG833" s="47"/>
      <c r="DH833" s="47"/>
      <c r="DL833" s="47"/>
      <c r="DM833" s="47"/>
      <c r="DN833" s="47"/>
      <c r="DO833" s="47"/>
      <c r="DP833" s="47"/>
      <c r="DQ833" s="47"/>
    </row>
    <row r="834">
      <c r="CU834" s="47"/>
      <c r="CV834" s="47"/>
      <c r="CW834" s="47"/>
      <c r="CX834" s="47"/>
      <c r="CY834" s="47"/>
      <c r="DD834" s="47"/>
      <c r="DE834" s="47"/>
      <c r="DF834" s="47"/>
      <c r="DG834" s="47"/>
      <c r="DH834" s="47"/>
      <c r="DL834" s="47"/>
      <c r="DM834" s="47"/>
      <c r="DN834" s="47"/>
      <c r="DO834" s="47"/>
      <c r="DP834" s="47"/>
      <c r="DQ834" s="47"/>
    </row>
    <row r="835">
      <c r="CU835" s="47"/>
      <c r="CV835" s="47"/>
      <c r="CW835" s="47"/>
      <c r="CX835" s="47"/>
      <c r="CY835" s="47"/>
      <c r="DD835" s="47"/>
      <c r="DE835" s="47"/>
      <c r="DF835" s="47"/>
      <c r="DG835" s="47"/>
      <c r="DH835" s="47"/>
      <c r="DL835" s="47"/>
      <c r="DM835" s="47"/>
      <c r="DN835" s="47"/>
      <c r="DO835" s="47"/>
      <c r="DP835" s="47"/>
      <c r="DQ835" s="47"/>
    </row>
    <row r="836">
      <c r="CU836" s="47"/>
      <c r="CV836" s="47"/>
      <c r="CW836" s="47"/>
      <c r="CX836" s="47"/>
      <c r="CY836" s="47"/>
      <c r="DD836" s="47"/>
      <c r="DE836" s="47"/>
      <c r="DF836" s="47"/>
      <c r="DG836" s="47"/>
      <c r="DH836" s="47"/>
      <c r="DL836" s="47"/>
      <c r="DM836" s="47"/>
      <c r="DN836" s="47"/>
      <c r="DO836" s="47"/>
      <c r="DP836" s="47"/>
      <c r="DQ836" s="47"/>
    </row>
    <row r="837">
      <c r="CU837" s="47"/>
      <c r="CV837" s="47"/>
      <c r="CW837" s="47"/>
      <c r="CX837" s="47"/>
      <c r="CY837" s="47"/>
      <c r="DD837" s="47"/>
      <c r="DE837" s="47"/>
      <c r="DF837" s="47"/>
      <c r="DG837" s="47"/>
      <c r="DH837" s="47"/>
      <c r="DL837" s="47"/>
      <c r="DM837" s="47"/>
      <c r="DN837" s="47"/>
      <c r="DO837" s="47"/>
      <c r="DP837" s="47"/>
      <c r="DQ837" s="47"/>
    </row>
    <row r="838">
      <c r="CU838" s="47"/>
      <c r="CV838" s="47"/>
      <c r="CW838" s="47"/>
      <c r="CX838" s="47"/>
      <c r="CY838" s="47"/>
      <c r="DD838" s="47"/>
      <c r="DE838" s="47"/>
      <c r="DF838" s="47"/>
      <c r="DG838" s="47"/>
      <c r="DH838" s="47"/>
      <c r="DL838" s="47"/>
      <c r="DM838" s="47"/>
      <c r="DN838" s="47"/>
      <c r="DO838" s="47"/>
      <c r="DP838" s="47"/>
      <c r="DQ838" s="47"/>
    </row>
    <row r="839">
      <c r="CU839" s="47"/>
      <c r="CV839" s="47"/>
      <c r="CW839" s="47"/>
      <c r="CX839" s="47"/>
      <c r="CY839" s="47"/>
      <c r="DD839" s="47"/>
      <c r="DE839" s="47"/>
      <c r="DF839" s="47"/>
      <c r="DG839" s="47"/>
      <c r="DH839" s="47"/>
      <c r="DL839" s="47"/>
      <c r="DM839" s="47"/>
      <c r="DN839" s="47"/>
      <c r="DO839" s="47"/>
      <c r="DP839" s="47"/>
      <c r="DQ839" s="47"/>
    </row>
    <row r="840">
      <c r="CU840" s="47"/>
      <c r="CV840" s="47"/>
      <c r="CW840" s="47"/>
      <c r="CX840" s="47"/>
      <c r="CY840" s="47"/>
      <c r="DD840" s="47"/>
      <c r="DE840" s="47"/>
      <c r="DF840" s="47"/>
      <c r="DG840" s="47"/>
      <c r="DH840" s="47"/>
      <c r="DL840" s="47"/>
      <c r="DM840" s="47"/>
      <c r="DN840" s="47"/>
      <c r="DO840" s="47"/>
      <c r="DP840" s="47"/>
      <c r="DQ840" s="47"/>
    </row>
    <row r="841">
      <c r="CU841" s="47"/>
      <c r="CV841" s="47"/>
      <c r="CW841" s="47"/>
      <c r="CX841" s="47"/>
      <c r="CY841" s="47"/>
      <c r="DD841" s="47"/>
      <c r="DE841" s="47"/>
      <c r="DF841" s="47"/>
      <c r="DG841" s="47"/>
      <c r="DH841" s="47"/>
      <c r="DL841" s="47"/>
      <c r="DM841" s="47"/>
      <c r="DN841" s="47"/>
      <c r="DO841" s="47"/>
      <c r="DP841" s="47"/>
      <c r="DQ841" s="47"/>
    </row>
    <row r="842">
      <c r="CU842" s="47"/>
      <c r="CV842" s="47"/>
      <c r="CW842" s="47"/>
      <c r="CX842" s="47"/>
      <c r="CY842" s="47"/>
      <c r="DD842" s="47"/>
      <c r="DE842" s="47"/>
      <c r="DF842" s="47"/>
      <c r="DG842" s="47"/>
      <c r="DH842" s="47"/>
      <c r="DL842" s="47"/>
      <c r="DM842" s="47"/>
      <c r="DN842" s="47"/>
      <c r="DO842" s="47"/>
      <c r="DP842" s="47"/>
      <c r="DQ842" s="47"/>
    </row>
    <row r="843">
      <c r="CU843" s="47"/>
      <c r="CV843" s="47"/>
      <c r="CW843" s="47"/>
      <c r="CX843" s="47"/>
      <c r="CY843" s="47"/>
      <c r="DD843" s="47"/>
      <c r="DE843" s="47"/>
      <c r="DF843" s="47"/>
      <c r="DG843" s="47"/>
      <c r="DH843" s="47"/>
      <c r="DL843" s="47"/>
      <c r="DM843" s="47"/>
      <c r="DN843" s="47"/>
      <c r="DO843" s="47"/>
      <c r="DP843" s="47"/>
      <c r="DQ843" s="47"/>
    </row>
    <row r="844">
      <c r="CU844" s="47"/>
      <c r="CV844" s="47"/>
      <c r="CW844" s="47"/>
      <c r="CX844" s="47"/>
      <c r="CY844" s="47"/>
      <c r="DD844" s="47"/>
      <c r="DE844" s="47"/>
      <c r="DF844" s="47"/>
      <c r="DG844" s="47"/>
      <c r="DH844" s="47"/>
      <c r="DL844" s="47"/>
      <c r="DM844" s="47"/>
      <c r="DN844" s="47"/>
      <c r="DO844" s="47"/>
      <c r="DP844" s="47"/>
      <c r="DQ844" s="47"/>
    </row>
    <row r="845">
      <c r="CU845" s="47"/>
      <c r="CV845" s="47"/>
      <c r="CW845" s="47"/>
      <c r="CX845" s="47"/>
      <c r="CY845" s="47"/>
      <c r="DD845" s="47"/>
      <c r="DE845" s="47"/>
      <c r="DF845" s="47"/>
      <c r="DG845" s="47"/>
      <c r="DH845" s="47"/>
      <c r="DL845" s="47"/>
      <c r="DM845" s="47"/>
      <c r="DN845" s="47"/>
      <c r="DO845" s="47"/>
      <c r="DP845" s="47"/>
      <c r="DQ845" s="47"/>
    </row>
    <row r="846">
      <c r="CU846" s="47"/>
      <c r="CV846" s="47"/>
      <c r="CW846" s="47"/>
      <c r="CX846" s="47"/>
      <c r="CY846" s="47"/>
      <c r="DD846" s="47"/>
      <c r="DE846" s="47"/>
      <c r="DF846" s="47"/>
      <c r="DG846" s="47"/>
      <c r="DH846" s="47"/>
      <c r="DL846" s="47"/>
      <c r="DM846" s="47"/>
      <c r="DN846" s="47"/>
      <c r="DO846" s="47"/>
      <c r="DP846" s="47"/>
      <c r="DQ846" s="47"/>
    </row>
    <row r="847">
      <c r="CU847" s="47"/>
      <c r="CV847" s="47"/>
      <c r="CW847" s="47"/>
      <c r="CX847" s="47"/>
      <c r="CY847" s="47"/>
      <c r="DD847" s="47"/>
      <c r="DE847" s="47"/>
      <c r="DF847" s="47"/>
      <c r="DG847" s="47"/>
      <c r="DH847" s="47"/>
      <c r="DL847" s="47"/>
      <c r="DM847" s="47"/>
      <c r="DN847" s="47"/>
      <c r="DO847" s="47"/>
      <c r="DP847" s="47"/>
      <c r="DQ847" s="47"/>
    </row>
    <row r="848">
      <c r="CU848" s="47"/>
      <c r="CV848" s="47"/>
      <c r="CW848" s="47"/>
      <c r="CX848" s="47"/>
      <c r="CY848" s="47"/>
      <c r="DD848" s="47"/>
      <c r="DE848" s="47"/>
      <c r="DF848" s="47"/>
      <c r="DG848" s="47"/>
      <c r="DH848" s="47"/>
      <c r="DL848" s="47"/>
      <c r="DM848" s="47"/>
      <c r="DN848" s="47"/>
      <c r="DO848" s="47"/>
      <c r="DP848" s="47"/>
      <c r="DQ848" s="47"/>
    </row>
    <row r="849">
      <c r="CU849" s="47"/>
      <c r="CV849" s="47"/>
      <c r="CW849" s="47"/>
      <c r="CX849" s="47"/>
      <c r="CY849" s="47"/>
      <c r="DD849" s="47"/>
      <c r="DE849" s="47"/>
      <c r="DF849" s="47"/>
      <c r="DG849" s="47"/>
      <c r="DH849" s="47"/>
      <c r="DL849" s="47"/>
      <c r="DM849" s="47"/>
      <c r="DN849" s="47"/>
      <c r="DO849" s="47"/>
      <c r="DP849" s="47"/>
      <c r="DQ849" s="47"/>
    </row>
    <row r="850">
      <c r="CU850" s="47"/>
      <c r="CV850" s="47"/>
      <c r="CW850" s="47"/>
      <c r="CX850" s="47"/>
      <c r="CY850" s="47"/>
      <c r="DD850" s="47"/>
      <c r="DE850" s="47"/>
      <c r="DF850" s="47"/>
      <c r="DG850" s="47"/>
      <c r="DH850" s="47"/>
      <c r="DL850" s="47"/>
      <c r="DM850" s="47"/>
      <c r="DN850" s="47"/>
      <c r="DO850" s="47"/>
      <c r="DP850" s="47"/>
      <c r="DQ850" s="47"/>
    </row>
    <row r="851">
      <c r="CU851" s="47"/>
      <c r="CV851" s="47"/>
      <c r="CW851" s="47"/>
      <c r="CX851" s="47"/>
      <c r="CY851" s="47"/>
      <c r="DD851" s="47"/>
      <c r="DE851" s="47"/>
      <c r="DF851" s="47"/>
      <c r="DG851" s="47"/>
      <c r="DH851" s="47"/>
      <c r="DL851" s="47"/>
      <c r="DM851" s="47"/>
      <c r="DN851" s="47"/>
      <c r="DO851" s="47"/>
      <c r="DP851" s="47"/>
      <c r="DQ851" s="47"/>
    </row>
    <row r="852">
      <c r="CU852" s="47"/>
      <c r="CV852" s="47"/>
      <c r="CW852" s="47"/>
      <c r="CX852" s="47"/>
      <c r="CY852" s="47"/>
      <c r="DD852" s="47"/>
      <c r="DE852" s="47"/>
      <c r="DF852" s="47"/>
      <c r="DG852" s="47"/>
      <c r="DH852" s="47"/>
      <c r="DL852" s="47"/>
      <c r="DM852" s="47"/>
      <c r="DN852" s="47"/>
      <c r="DO852" s="47"/>
      <c r="DP852" s="47"/>
      <c r="DQ852" s="47"/>
    </row>
    <row r="853">
      <c r="CU853" s="47"/>
      <c r="CV853" s="47"/>
      <c r="CW853" s="47"/>
      <c r="CX853" s="47"/>
      <c r="CY853" s="47"/>
      <c r="DD853" s="47"/>
      <c r="DE853" s="47"/>
      <c r="DF853" s="47"/>
      <c r="DG853" s="47"/>
      <c r="DH853" s="47"/>
      <c r="DL853" s="47"/>
      <c r="DM853" s="47"/>
      <c r="DN853" s="47"/>
      <c r="DO853" s="47"/>
      <c r="DP853" s="47"/>
      <c r="DQ853" s="47"/>
    </row>
    <row r="854">
      <c r="CU854" s="47"/>
      <c r="CV854" s="47"/>
      <c r="CW854" s="47"/>
      <c r="CX854" s="47"/>
      <c r="CY854" s="47"/>
      <c r="DD854" s="47"/>
      <c r="DE854" s="47"/>
      <c r="DF854" s="47"/>
      <c r="DG854" s="47"/>
      <c r="DH854" s="47"/>
      <c r="DL854" s="47"/>
      <c r="DM854" s="47"/>
      <c r="DN854" s="47"/>
      <c r="DO854" s="47"/>
      <c r="DP854" s="47"/>
      <c r="DQ854" s="47"/>
    </row>
    <row r="855">
      <c r="CU855" s="47"/>
      <c r="CV855" s="47"/>
      <c r="CW855" s="47"/>
      <c r="CX855" s="47"/>
      <c r="CY855" s="47"/>
      <c r="DD855" s="47"/>
      <c r="DE855" s="47"/>
      <c r="DF855" s="47"/>
      <c r="DG855" s="47"/>
      <c r="DH855" s="47"/>
      <c r="DL855" s="47"/>
      <c r="DM855" s="47"/>
      <c r="DN855" s="47"/>
      <c r="DO855" s="47"/>
      <c r="DP855" s="47"/>
      <c r="DQ855" s="47"/>
    </row>
    <row r="856">
      <c r="CU856" s="47"/>
      <c r="CV856" s="47"/>
      <c r="CW856" s="47"/>
      <c r="CX856" s="47"/>
      <c r="CY856" s="47"/>
      <c r="DD856" s="47"/>
      <c r="DE856" s="47"/>
      <c r="DF856" s="47"/>
      <c r="DG856" s="47"/>
      <c r="DH856" s="47"/>
      <c r="DL856" s="47"/>
      <c r="DM856" s="47"/>
      <c r="DN856" s="47"/>
      <c r="DO856" s="47"/>
      <c r="DP856" s="47"/>
      <c r="DQ856" s="47"/>
    </row>
    <row r="857">
      <c r="CU857" s="47"/>
      <c r="CV857" s="47"/>
      <c r="CW857" s="47"/>
      <c r="CX857" s="47"/>
      <c r="CY857" s="47"/>
      <c r="DD857" s="47"/>
      <c r="DE857" s="47"/>
      <c r="DF857" s="47"/>
      <c r="DG857" s="47"/>
      <c r="DH857" s="47"/>
      <c r="DL857" s="47"/>
      <c r="DM857" s="47"/>
      <c r="DN857" s="47"/>
      <c r="DO857" s="47"/>
      <c r="DP857" s="47"/>
      <c r="DQ857" s="47"/>
    </row>
    <row r="858">
      <c r="CU858" s="47"/>
      <c r="CV858" s="47"/>
      <c r="CW858" s="47"/>
      <c r="CX858" s="47"/>
      <c r="CY858" s="47"/>
      <c r="DD858" s="47"/>
      <c r="DE858" s="47"/>
      <c r="DF858" s="47"/>
      <c r="DG858" s="47"/>
      <c r="DH858" s="47"/>
      <c r="DL858" s="47"/>
      <c r="DM858" s="47"/>
      <c r="DN858" s="47"/>
      <c r="DO858" s="47"/>
      <c r="DP858" s="47"/>
      <c r="DQ858" s="47"/>
    </row>
    <row r="859">
      <c r="CU859" s="47"/>
      <c r="CV859" s="47"/>
      <c r="CW859" s="47"/>
      <c r="CX859" s="47"/>
      <c r="CY859" s="47"/>
      <c r="DD859" s="47"/>
      <c r="DE859" s="47"/>
      <c r="DF859" s="47"/>
      <c r="DG859" s="47"/>
      <c r="DH859" s="47"/>
      <c r="DL859" s="47"/>
      <c r="DM859" s="47"/>
      <c r="DN859" s="47"/>
      <c r="DO859" s="47"/>
      <c r="DP859" s="47"/>
      <c r="DQ859" s="47"/>
    </row>
    <row r="860">
      <c r="CU860" s="47"/>
      <c r="CV860" s="47"/>
      <c r="CW860" s="47"/>
      <c r="CX860" s="47"/>
      <c r="CY860" s="47"/>
      <c r="DD860" s="47"/>
      <c r="DE860" s="47"/>
      <c r="DF860" s="47"/>
      <c r="DG860" s="47"/>
      <c r="DH860" s="47"/>
      <c r="DL860" s="47"/>
      <c r="DM860" s="47"/>
      <c r="DN860" s="47"/>
      <c r="DO860" s="47"/>
      <c r="DP860" s="47"/>
      <c r="DQ860" s="47"/>
    </row>
    <row r="861">
      <c r="CU861" s="47"/>
      <c r="CV861" s="47"/>
      <c r="CW861" s="47"/>
      <c r="CX861" s="47"/>
      <c r="CY861" s="47"/>
      <c r="DD861" s="47"/>
      <c r="DE861" s="47"/>
      <c r="DF861" s="47"/>
      <c r="DG861" s="47"/>
      <c r="DH861" s="47"/>
      <c r="DL861" s="47"/>
      <c r="DM861" s="47"/>
      <c r="DN861" s="47"/>
      <c r="DO861" s="47"/>
      <c r="DP861" s="47"/>
      <c r="DQ861" s="47"/>
    </row>
    <row r="862">
      <c r="CU862" s="47"/>
      <c r="CV862" s="47"/>
      <c r="CW862" s="47"/>
      <c r="CX862" s="47"/>
      <c r="CY862" s="47"/>
      <c r="DD862" s="47"/>
      <c r="DE862" s="47"/>
      <c r="DF862" s="47"/>
      <c r="DG862" s="47"/>
      <c r="DH862" s="47"/>
      <c r="DL862" s="47"/>
      <c r="DM862" s="47"/>
      <c r="DN862" s="47"/>
      <c r="DO862" s="47"/>
      <c r="DP862" s="47"/>
      <c r="DQ862" s="47"/>
    </row>
    <row r="863">
      <c r="CU863" s="47"/>
      <c r="CV863" s="47"/>
      <c r="CW863" s="47"/>
      <c r="CX863" s="47"/>
      <c r="CY863" s="47"/>
      <c r="DD863" s="47"/>
      <c r="DE863" s="47"/>
      <c r="DF863" s="47"/>
      <c r="DG863" s="47"/>
      <c r="DH863" s="47"/>
      <c r="DL863" s="47"/>
      <c r="DM863" s="47"/>
      <c r="DN863" s="47"/>
      <c r="DO863" s="47"/>
      <c r="DP863" s="47"/>
      <c r="DQ863" s="47"/>
    </row>
    <row r="864">
      <c r="CU864" s="47"/>
      <c r="CV864" s="47"/>
      <c r="CW864" s="47"/>
      <c r="CX864" s="47"/>
      <c r="CY864" s="47"/>
      <c r="DD864" s="47"/>
      <c r="DE864" s="47"/>
      <c r="DF864" s="47"/>
      <c r="DG864" s="47"/>
      <c r="DH864" s="47"/>
      <c r="DL864" s="47"/>
      <c r="DM864" s="47"/>
      <c r="DN864" s="47"/>
      <c r="DO864" s="47"/>
      <c r="DP864" s="47"/>
      <c r="DQ864" s="47"/>
    </row>
    <row r="865">
      <c r="CU865" s="47"/>
      <c r="CV865" s="47"/>
      <c r="CW865" s="47"/>
      <c r="CX865" s="47"/>
      <c r="CY865" s="47"/>
      <c r="DD865" s="47"/>
      <c r="DE865" s="47"/>
      <c r="DF865" s="47"/>
      <c r="DG865" s="47"/>
      <c r="DH865" s="47"/>
      <c r="DL865" s="47"/>
      <c r="DM865" s="47"/>
      <c r="DN865" s="47"/>
      <c r="DO865" s="47"/>
      <c r="DP865" s="47"/>
      <c r="DQ865" s="47"/>
    </row>
    <row r="866">
      <c r="CU866" s="47"/>
      <c r="CV866" s="47"/>
      <c r="CW866" s="47"/>
      <c r="CX866" s="47"/>
      <c r="CY866" s="47"/>
      <c r="DD866" s="47"/>
      <c r="DE866" s="47"/>
      <c r="DF866" s="47"/>
      <c r="DG866" s="47"/>
      <c r="DH866" s="47"/>
      <c r="DL866" s="47"/>
      <c r="DM866" s="47"/>
      <c r="DN866" s="47"/>
      <c r="DO866" s="47"/>
      <c r="DP866" s="47"/>
      <c r="DQ866" s="47"/>
    </row>
    <row r="867">
      <c r="CU867" s="47"/>
      <c r="CV867" s="47"/>
      <c r="CW867" s="47"/>
      <c r="CX867" s="47"/>
      <c r="CY867" s="47"/>
      <c r="DD867" s="47"/>
      <c r="DE867" s="47"/>
      <c r="DF867" s="47"/>
      <c r="DG867" s="47"/>
      <c r="DH867" s="47"/>
      <c r="DL867" s="47"/>
      <c r="DM867" s="47"/>
      <c r="DN867" s="47"/>
      <c r="DO867" s="47"/>
      <c r="DP867" s="47"/>
      <c r="DQ867" s="47"/>
    </row>
    <row r="868">
      <c r="CU868" s="47"/>
      <c r="CV868" s="47"/>
      <c r="CW868" s="47"/>
      <c r="CX868" s="47"/>
      <c r="CY868" s="47"/>
      <c r="DD868" s="47"/>
      <c r="DE868" s="47"/>
      <c r="DF868" s="47"/>
      <c r="DG868" s="47"/>
      <c r="DH868" s="47"/>
      <c r="DL868" s="47"/>
      <c r="DM868" s="47"/>
      <c r="DN868" s="47"/>
      <c r="DO868" s="47"/>
      <c r="DP868" s="47"/>
      <c r="DQ868" s="47"/>
    </row>
    <row r="869">
      <c r="CU869" s="47"/>
      <c r="CV869" s="47"/>
      <c r="CW869" s="47"/>
      <c r="CX869" s="47"/>
      <c r="CY869" s="47"/>
      <c r="DD869" s="47"/>
      <c r="DE869" s="47"/>
      <c r="DF869" s="47"/>
      <c r="DG869" s="47"/>
      <c r="DH869" s="47"/>
      <c r="DL869" s="47"/>
      <c r="DM869" s="47"/>
      <c r="DN869" s="47"/>
      <c r="DO869" s="47"/>
      <c r="DP869" s="47"/>
      <c r="DQ869" s="47"/>
    </row>
    <row r="870">
      <c r="CU870" s="47"/>
      <c r="CV870" s="47"/>
      <c r="CW870" s="47"/>
      <c r="CX870" s="47"/>
      <c r="CY870" s="47"/>
      <c r="DD870" s="47"/>
      <c r="DE870" s="47"/>
      <c r="DF870" s="47"/>
      <c r="DG870" s="47"/>
      <c r="DH870" s="47"/>
      <c r="DL870" s="47"/>
      <c r="DM870" s="47"/>
      <c r="DN870" s="47"/>
      <c r="DO870" s="47"/>
      <c r="DP870" s="47"/>
      <c r="DQ870" s="47"/>
    </row>
    <row r="871">
      <c r="CU871" s="47"/>
      <c r="CV871" s="47"/>
      <c r="CW871" s="47"/>
      <c r="CX871" s="47"/>
      <c r="CY871" s="47"/>
      <c r="DD871" s="47"/>
      <c r="DE871" s="47"/>
      <c r="DF871" s="47"/>
      <c r="DG871" s="47"/>
      <c r="DH871" s="47"/>
      <c r="DL871" s="47"/>
      <c r="DM871" s="47"/>
      <c r="DN871" s="47"/>
      <c r="DO871" s="47"/>
      <c r="DP871" s="47"/>
      <c r="DQ871" s="47"/>
    </row>
    <row r="872">
      <c r="CU872" s="47"/>
      <c r="CV872" s="47"/>
      <c r="CW872" s="47"/>
      <c r="CX872" s="47"/>
      <c r="CY872" s="47"/>
      <c r="DD872" s="47"/>
      <c r="DE872" s="47"/>
      <c r="DF872" s="47"/>
      <c r="DG872" s="47"/>
      <c r="DH872" s="47"/>
      <c r="DL872" s="47"/>
      <c r="DM872" s="47"/>
      <c r="DN872" s="47"/>
      <c r="DO872" s="47"/>
      <c r="DP872" s="47"/>
      <c r="DQ872" s="47"/>
    </row>
    <row r="873">
      <c r="CU873" s="47"/>
      <c r="CV873" s="47"/>
      <c r="CW873" s="47"/>
      <c r="CX873" s="47"/>
      <c r="CY873" s="47"/>
      <c r="DD873" s="47"/>
      <c r="DE873" s="47"/>
      <c r="DF873" s="47"/>
      <c r="DG873" s="47"/>
      <c r="DH873" s="47"/>
      <c r="DL873" s="47"/>
      <c r="DM873" s="47"/>
      <c r="DN873" s="47"/>
      <c r="DO873" s="47"/>
      <c r="DP873" s="47"/>
      <c r="DQ873" s="47"/>
    </row>
    <row r="874">
      <c r="CU874" s="47"/>
      <c r="CV874" s="47"/>
      <c r="CW874" s="47"/>
      <c r="CX874" s="47"/>
      <c r="CY874" s="47"/>
      <c r="DD874" s="47"/>
      <c r="DE874" s="47"/>
      <c r="DF874" s="47"/>
      <c r="DG874" s="47"/>
      <c r="DH874" s="47"/>
      <c r="DL874" s="47"/>
      <c r="DM874" s="47"/>
      <c r="DN874" s="47"/>
      <c r="DO874" s="47"/>
      <c r="DP874" s="47"/>
      <c r="DQ874" s="47"/>
    </row>
    <row r="875">
      <c r="CU875" s="47"/>
      <c r="CV875" s="47"/>
      <c r="CW875" s="47"/>
      <c r="CX875" s="47"/>
      <c r="CY875" s="47"/>
      <c r="DD875" s="47"/>
      <c r="DE875" s="47"/>
      <c r="DF875" s="47"/>
      <c r="DG875" s="47"/>
      <c r="DH875" s="47"/>
      <c r="DL875" s="47"/>
      <c r="DM875" s="47"/>
      <c r="DN875" s="47"/>
      <c r="DO875" s="47"/>
      <c r="DP875" s="47"/>
      <c r="DQ875" s="47"/>
    </row>
    <row r="876">
      <c r="CU876" s="47"/>
      <c r="CV876" s="47"/>
      <c r="CW876" s="47"/>
      <c r="CX876" s="47"/>
      <c r="CY876" s="47"/>
      <c r="DD876" s="47"/>
      <c r="DE876" s="47"/>
      <c r="DF876" s="47"/>
      <c r="DG876" s="47"/>
      <c r="DH876" s="47"/>
      <c r="DL876" s="47"/>
      <c r="DM876" s="47"/>
      <c r="DN876" s="47"/>
      <c r="DO876" s="47"/>
      <c r="DP876" s="47"/>
      <c r="DQ876" s="47"/>
    </row>
    <row r="877">
      <c r="CU877" s="47"/>
      <c r="CV877" s="47"/>
      <c r="CW877" s="47"/>
      <c r="CX877" s="47"/>
      <c r="CY877" s="47"/>
      <c r="DD877" s="47"/>
      <c r="DE877" s="47"/>
      <c r="DF877" s="47"/>
      <c r="DG877" s="47"/>
      <c r="DH877" s="47"/>
      <c r="DL877" s="47"/>
      <c r="DM877" s="47"/>
      <c r="DN877" s="47"/>
      <c r="DO877" s="47"/>
      <c r="DP877" s="47"/>
      <c r="DQ877" s="47"/>
    </row>
    <row r="878">
      <c r="CU878" s="47"/>
      <c r="CV878" s="47"/>
      <c r="CW878" s="47"/>
      <c r="CX878" s="47"/>
      <c r="CY878" s="47"/>
      <c r="DD878" s="47"/>
      <c r="DE878" s="47"/>
      <c r="DF878" s="47"/>
      <c r="DG878" s="47"/>
      <c r="DH878" s="47"/>
      <c r="DL878" s="47"/>
      <c r="DM878" s="47"/>
      <c r="DN878" s="47"/>
      <c r="DO878" s="47"/>
      <c r="DP878" s="47"/>
      <c r="DQ878" s="47"/>
    </row>
    <row r="879">
      <c r="CU879" s="47"/>
      <c r="CV879" s="47"/>
      <c r="CW879" s="47"/>
      <c r="CX879" s="47"/>
      <c r="CY879" s="47"/>
      <c r="DD879" s="47"/>
      <c r="DE879" s="47"/>
      <c r="DF879" s="47"/>
      <c r="DG879" s="47"/>
      <c r="DH879" s="47"/>
      <c r="DL879" s="47"/>
      <c r="DM879" s="47"/>
      <c r="DN879" s="47"/>
      <c r="DO879" s="47"/>
      <c r="DP879" s="47"/>
      <c r="DQ879" s="47"/>
    </row>
    <row r="880">
      <c r="CU880" s="47"/>
      <c r="CV880" s="47"/>
      <c r="CW880" s="47"/>
      <c r="CX880" s="47"/>
      <c r="CY880" s="47"/>
      <c r="DD880" s="47"/>
      <c r="DE880" s="47"/>
      <c r="DF880" s="47"/>
      <c r="DG880" s="47"/>
      <c r="DH880" s="47"/>
      <c r="DL880" s="47"/>
      <c r="DM880" s="47"/>
      <c r="DN880" s="47"/>
      <c r="DO880" s="47"/>
      <c r="DP880" s="47"/>
      <c r="DQ880" s="47"/>
    </row>
    <row r="881">
      <c r="CU881" s="47"/>
      <c r="CV881" s="47"/>
      <c r="CW881" s="47"/>
      <c r="CX881" s="47"/>
      <c r="CY881" s="47"/>
      <c r="DD881" s="47"/>
      <c r="DE881" s="47"/>
      <c r="DF881" s="47"/>
      <c r="DG881" s="47"/>
      <c r="DH881" s="47"/>
      <c r="DL881" s="47"/>
      <c r="DM881" s="47"/>
      <c r="DN881" s="47"/>
      <c r="DO881" s="47"/>
      <c r="DP881" s="47"/>
      <c r="DQ881" s="47"/>
    </row>
    <row r="882">
      <c r="CU882" s="47"/>
      <c r="CV882" s="47"/>
      <c r="CW882" s="47"/>
      <c r="CX882" s="47"/>
      <c r="CY882" s="47"/>
      <c r="DD882" s="47"/>
      <c r="DE882" s="47"/>
      <c r="DF882" s="47"/>
      <c r="DG882" s="47"/>
      <c r="DH882" s="47"/>
      <c r="DL882" s="47"/>
      <c r="DM882" s="47"/>
      <c r="DN882" s="47"/>
      <c r="DO882" s="47"/>
      <c r="DP882" s="47"/>
      <c r="DQ882" s="47"/>
    </row>
    <row r="883">
      <c r="CU883" s="47"/>
      <c r="CV883" s="47"/>
      <c r="CW883" s="47"/>
      <c r="CX883" s="47"/>
      <c r="CY883" s="47"/>
      <c r="DD883" s="47"/>
      <c r="DE883" s="47"/>
      <c r="DF883" s="47"/>
      <c r="DG883" s="47"/>
      <c r="DH883" s="47"/>
      <c r="DL883" s="47"/>
      <c r="DM883" s="47"/>
      <c r="DN883" s="47"/>
      <c r="DO883" s="47"/>
      <c r="DP883" s="47"/>
      <c r="DQ883" s="47"/>
    </row>
    <row r="884">
      <c r="CU884" s="47"/>
      <c r="CV884" s="47"/>
      <c r="CW884" s="47"/>
      <c r="CX884" s="47"/>
      <c r="CY884" s="47"/>
      <c r="DD884" s="47"/>
      <c r="DE884" s="47"/>
      <c r="DF884" s="47"/>
      <c r="DG884" s="47"/>
      <c r="DH884" s="47"/>
      <c r="DL884" s="47"/>
      <c r="DM884" s="47"/>
      <c r="DN884" s="47"/>
      <c r="DO884" s="47"/>
      <c r="DP884" s="47"/>
      <c r="DQ884" s="47"/>
    </row>
    <row r="885">
      <c r="CU885" s="47"/>
      <c r="CV885" s="47"/>
      <c r="CW885" s="47"/>
      <c r="CX885" s="47"/>
      <c r="CY885" s="47"/>
      <c r="DD885" s="47"/>
      <c r="DE885" s="47"/>
      <c r="DF885" s="47"/>
      <c r="DG885" s="47"/>
      <c r="DH885" s="47"/>
      <c r="DL885" s="47"/>
      <c r="DM885" s="47"/>
      <c r="DN885" s="47"/>
      <c r="DO885" s="47"/>
      <c r="DP885" s="47"/>
      <c r="DQ885" s="47"/>
    </row>
    <row r="886">
      <c r="CU886" s="47"/>
      <c r="CV886" s="47"/>
      <c r="CW886" s="47"/>
      <c r="CX886" s="47"/>
      <c r="CY886" s="47"/>
      <c r="DD886" s="47"/>
      <c r="DE886" s="47"/>
      <c r="DF886" s="47"/>
      <c r="DG886" s="47"/>
      <c r="DH886" s="47"/>
      <c r="DL886" s="47"/>
      <c r="DM886" s="47"/>
      <c r="DN886" s="47"/>
      <c r="DO886" s="47"/>
      <c r="DP886" s="47"/>
      <c r="DQ886" s="47"/>
    </row>
    <row r="887">
      <c r="CU887" s="47"/>
      <c r="CV887" s="47"/>
      <c r="CW887" s="47"/>
      <c r="CX887" s="47"/>
      <c r="CY887" s="47"/>
      <c r="DD887" s="47"/>
      <c r="DE887" s="47"/>
      <c r="DF887" s="47"/>
      <c r="DG887" s="47"/>
      <c r="DH887" s="47"/>
      <c r="DL887" s="47"/>
      <c r="DM887" s="47"/>
      <c r="DN887" s="47"/>
      <c r="DO887" s="47"/>
      <c r="DP887" s="47"/>
      <c r="DQ887" s="47"/>
    </row>
    <row r="888">
      <c r="CU888" s="47"/>
      <c r="CV888" s="47"/>
      <c r="CW888" s="47"/>
      <c r="CX888" s="47"/>
      <c r="CY888" s="47"/>
      <c r="DD888" s="47"/>
      <c r="DE888" s="47"/>
      <c r="DF888" s="47"/>
      <c r="DG888" s="47"/>
      <c r="DH888" s="47"/>
      <c r="DL888" s="47"/>
      <c r="DM888" s="47"/>
      <c r="DN888" s="47"/>
      <c r="DO888" s="47"/>
      <c r="DP888" s="47"/>
      <c r="DQ888" s="47"/>
    </row>
    <row r="889">
      <c r="CU889" s="47"/>
      <c r="CV889" s="47"/>
      <c r="CW889" s="47"/>
      <c r="CX889" s="47"/>
      <c r="CY889" s="47"/>
      <c r="DD889" s="47"/>
      <c r="DE889" s="47"/>
      <c r="DF889" s="47"/>
      <c r="DG889" s="47"/>
      <c r="DH889" s="47"/>
      <c r="DL889" s="47"/>
      <c r="DM889" s="47"/>
      <c r="DN889" s="47"/>
      <c r="DO889" s="47"/>
      <c r="DP889" s="47"/>
      <c r="DQ889" s="47"/>
    </row>
    <row r="890">
      <c r="CU890" s="47"/>
      <c r="CV890" s="47"/>
      <c r="CW890" s="47"/>
      <c r="CX890" s="47"/>
      <c r="CY890" s="47"/>
      <c r="DD890" s="47"/>
      <c r="DE890" s="47"/>
      <c r="DF890" s="47"/>
      <c r="DG890" s="47"/>
      <c r="DH890" s="47"/>
      <c r="DL890" s="47"/>
      <c r="DM890" s="47"/>
      <c r="DN890" s="47"/>
      <c r="DO890" s="47"/>
      <c r="DP890" s="47"/>
      <c r="DQ890" s="47"/>
    </row>
    <row r="891">
      <c r="CU891" s="47"/>
      <c r="CV891" s="47"/>
      <c r="CW891" s="47"/>
      <c r="CX891" s="47"/>
      <c r="CY891" s="47"/>
      <c r="DD891" s="47"/>
      <c r="DE891" s="47"/>
      <c r="DF891" s="47"/>
      <c r="DG891" s="47"/>
      <c r="DH891" s="47"/>
      <c r="DL891" s="47"/>
      <c r="DM891" s="47"/>
      <c r="DN891" s="47"/>
      <c r="DO891" s="47"/>
      <c r="DP891" s="47"/>
      <c r="DQ891" s="47"/>
    </row>
    <row r="892">
      <c r="CU892" s="47"/>
      <c r="CV892" s="47"/>
      <c r="CW892" s="47"/>
      <c r="CX892" s="47"/>
      <c r="CY892" s="47"/>
      <c r="DD892" s="47"/>
      <c r="DE892" s="47"/>
      <c r="DF892" s="47"/>
      <c r="DG892" s="47"/>
      <c r="DH892" s="47"/>
      <c r="DL892" s="47"/>
      <c r="DM892" s="47"/>
      <c r="DN892" s="47"/>
      <c r="DO892" s="47"/>
      <c r="DP892" s="47"/>
      <c r="DQ892" s="47"/>
    </row>
    <row r="893">
      <c r="CU893" s="47"/>
      <c r="CV893" s="47"/>
      <c r="CW893" s="47"/>
      <c r="CX893" s="47"/>
      <c r="CY893" s="47"/>
      <c r="DD893" s="47"/>
      <c r="DE893" s="47"/>
      <c r="DF893" s="47"/>
      <c r="DG893" s="47"/>
      <c r="DH893" s="47"/>
      <c r="DL893" s="47"/>
      <c r="DM893" s="47"/>
      <c r="DN893" s="47"/>
      <c r="DO893" s="47"/>
      <c r="DP893" s="47"/>
      <c r="DQ893" s="47"/>
    </row>
    <row r="894">
      <c r="CU894" s="47"/>
      <c r="CV894" s="47"/>
      <c r="CW894" s="47"/>
      <c r="CX894" s="47"/>
      <c r="CY894" s="47"/>
      <c r="DD894" s="47"/>
      <c r="DE894" s="47"/>
      <c r="DF894" s="47"/>
      <c r="DG894" s="47"/>
      <c r="DH894" s="47"/>
      <c r="DL894" s="47"/>
      <c r="DM894" s="47"/>
      <c r="DN894" s="47"/>
      <c r="DO894" s="47"/>
      <c r="DP894" s="47"/>
      <c r="DQ894" s="47"/>
    </row>
    <row r="895">
      <c r="CU895" s="47"/>
      <c r="CV895" s="47"/>
      <c r="CW895" s="47"/>
      <c r="CX895" s="47"/>
      <c r="CY895" s="47"/>
      <c r="DD895" s="47"/>
      <c r="DE895" s="47"/>
      <c r="DF895" s="47"/>
      <c r="DG895" s="47"/>
      <c r="DH895" s="47"/>
      <c r="DL895" s="47"/>
      <c r="DM895" s="47"/>
      <c r="DN895" s="47"/>
      <c r="DO895" s="47"/>
      <c r="DP895" s="47"/>
      <c r="DQ895" s="47"/>
    </row>
    <row r="896">
      <c r="CU896" s="47"/>
      <c r="CV896" s="47"/>
      <c r="CW896" s="47"/>
      <c r="CX896" s="47"/>
      <c r="CY896" s="47"/>
      <c r="DD896" s="47"/>
      <c r="DE896" s="47"/>
      <c r="DF896" s="47"/>
      <c r="DG896" s="47"/>
      <c r="DH896" s="47"/>
      <c r="DL896" s="47"/>
      <c r="DM896" s="47"/>
      <c r="DN896" s="47"/>
      <c r="DO896" s="47"/>
      <c r="DP896" s="47"/>
      <c r="DQ896" s="47"/>
    </row>
    <row r="897">
      <c r="CU897" s="47"/>
      <c r="CV897" s="47"/>
      <c r="CW897" s="47"/>
      <c r="CX897" s="47"/>
      <c r="CY897" s="47"/>
      <c r="DD897" s="47"/>
      <c r="DE897" s="47"/>
      <c r="DF897" s="47"/>
      <c r="DG897" s="47"/>
      <c r="DH897" s="47"/>
      <c r="DL897" s="47"/>
      <c r="DM897" s="47"/>
      <c r="DN897" s="47"/>
      <c r="DO897" s="47"/>
      <c r="DP897" s="47"/>
      <c r="DQ897" s="47"/>
    </row>
    <row r="898">
      <c r="CU898" s="47"/>
      <c r="CV898" s="47"/>
      <c r="CW898" s="47"/>
      <c r="CX898" s="47"/>
      <c r="CY898" s="47"/>
      <c r="DD898" s="47"/>
      <c r="DE898" s="47"/>
      <c r="DF898" s="47"/>
      <c r="DG898" s="47"/>
      <c r="DH898" s="47"/>
      <c r="DL898" s="47"/>
      <c r="DM898" s="47"/>
      <c r="DN898" s="47"/>
      <c r="DO898" s="47"/>
      <c r="DP898" s="47"/>
      <c r="DQ898" s="47"/>
    </row>
    <row r="899">
      <c r="CU899" s="47"/>
      <c r="CV899" s="47"/>
      <c r="CW899" s="47"/>
      <c r="CX899" s="47"/>
      <c r="CY899" s="47"/>
      <c r="DD899" s="47"/>
      <c r="DE899" s="47"/>
      <c r="DF899" s="47"/>
      <c r="DG899" s="47"/>
      <c r="DH899" s="47"/>
      <c r="DL899" s="47"/>
      <c r="DM899" s="47"/>
      <c r="DN899" s="47"/>
      <c r="DO899" s="47"/>
      <c r="DP899" s="47"/>
      <c r="DQ899" s="47"/>
    </row>
    <row r="900">
      <c r="CU900" s="47"/>
      <c r="CV900" s="47"/>
      <c r="CW900" s="47"/>
      <c r="CX900" s="47"/>
      <c r="CY900" s="47"/>
      <c r="DD900" s="47"/>
      <c r="DE900" s="47"/>
      <c r="DF900" s="47"/>
      <c r="DG900" s="47"/>
      <c r="DH900" s="47"/>
      <c r="DL900" s="47"/>
      <c r="DM900" s="47"/>
      <c r="DN900" s="47"/>
      <c r="DO900" s="47"/>
      <c r="DP900" s="47"/>
      <c r="DQ900" s="47"/>
    </row>
    <row r="901">
      <c r="CU901" s="47"/>
      <c r="CV901" s="47"/>
      <c r="CW901" s="47"/>
      <c r="CX901" s="47"/>
      <c r="CY901" s="47"/>
      <c r="DD901" s="47"/>
      <c r="DE901" s="47"/>
      <c r="DF901" s="47"/>
      <c r="DG901" s="47"/>
      <c r="DH901" s="47"/>
      <c r="DL901" s="47"/>
      <c r="DM901" s="47"/>
      <c r="DN901" s="47"/>
      <c r="DO901" s="47"/>
      <c r="DP901" s="47"/>
      <c r="DQ901" s="47"/>
    </row>
    <row r="902">
      <c r="CU902" s="47"/>
      <c r="CV902" s="47"/>
      <c r="CW902" s="47"/>
      <c r="CX902" s="47"/>
      <c r="CY902" s="47"/>
      <c r="DD902" s="47"/>
      <c r="DE902" s="47"/>
      <c r="DF902" s="47"/>
      <c r="DG902" s="47"/>
      <c r="DH902" s="47"/>
      <c r="DL902" s="47"/>
      <c r="DM902" s="47"/>
      <c r="DN902" s="47"/>
      <c r="DO902" s="47"/>
      <c r="DP902" s="47"/>
      <c r="DQ902" s="47"/>
    </row>
    <row r="903">
      <c r="CU903" s="47"/>
      <c r="CV903" s="47"/>
      <c r="CW903" s="47"/>
      <c r="CX903" s="47"/>
      <c r="CY903" s="47"/>
      <c r="DD903" s="47"/>
      <c r="DE903" s="47"/>
      <c r="DF903" s="47"/>
      <c r="DG903" s="47"/>
      <c r="DH903" s="47"/>
      <c r="DL903" s="47"/>
      <c r="DM903" s="47"/>
      <c r="DN903" s="47"/>
      <c r="DO903" s="47"/>
      <c r="DP903" s="47"/>
      <c r="DQ903" s="47"/>
    </row>
    <row r="904">
      <c r="CU904" s="47"/>
      <c r="CV904" s="47"/>
      <c r="CW904" s="47"/>
      <c r="CX904" s="47"/>
      <c r="CY904" s="47"/>
      <c r="DD904" s="47"/>
      <c r="DE904" s="47"/>
      <c r="DF904" s="47"/>
      <c r="DG904" s="47"/>
      <c r="DH904" s="47"/>
      <c r="DL904" s="47"/>
      <c r="DM904" s="47"/>
      <c r="DN904" s="47"/>
      <c r="DO904" s="47"/>
      <c r="DP904" s="47"/>
      <c r="DQ904" s="47"/>
    </row>
    <row r="905">
      <c r="CU905" s="47"/>
      <c r="CV905" s="47"/>
      <c r="CW905" s="47"/>
      <c r="CX905" s="47"/>
      <c r="CY905" s="47"/>
      <c r="DD905" s="47"/>
      <c r="DE905" s="47"/>
      <c r="DF905" s="47"/>
      <c r="DG905" s="47"/>
      <c r="DH905" s="47"/>
      <c r="DL905" s="47"/>
      <c r="DM905" s="47"/>
      <c r="DN905" s="47"/>
      <c r="DO905" s="47"/>
      <c r="DP905" s="47"/>
      <c r="DQ905" s="47"/>
    </row>
    <row r="906">
      <c r="CU906" s="47"/>
      <c r="CV906" s="47"/>
      <c r="CW906" s="47"/>
      <c r="CX906" s="47"/>
      <c r="CY906" s="47"/>
      <c r="DD906" s="47"/>
      <c r="DE906" s="47"/>
      <c r="DF906" s="47"/>
      <c r="DG906" s="47"/>
      <c r="DH906" s="47"/>
      <c r="DL906" s="47"/>
      <c r="DM906" s="47"/>
      <c r="DN906" s="47"/>
      <c r="DO906" s="47"/>
      <c r="DP906" s="47"/>
      <c r="DQ906" s="47"/>
    </row>
    <row r="907">
      <c r="CU907" s="47"/>
      <c r="CV907" s="47"/>
      <c r="CW907" s="47"/>
      <c r="CX907" s="47"/>
      <c r="CY907" s="47"/>
      <c r="DD907" s="47"/>
      <c r="DE907" s="47"/>
      <c r="DF907" s="47"/>
      <c r="DG907" s="47"/>
      <c r="DH907" s="47"/>
      <c r="DL907" s="47"/>
      <c r="DM907" s="47"/>
      <c r="DN907" s="47"/>
      <c r="DO907" s="47"/>
      <c r="DP907" s="47"/>
      <c r="DQ907" s="47"/>
    </row>
    <row r="908">
      <c r="CU908" s="47"/>
      <c r="CV908" s="47"/>
      <c r="CW908" s="47"/>
      <c r="CX908" s="47"/>
      <c r="CY908" s="47"/>
      <c r="DD908" s="47"/>
      <c r="DE908" s="47"/>
      <c r="DF908" s="47"/>
      <c r="DG908" s="47"/>
      <c r="DH908" s="47"/>
      <c r="DL908" s="47"/>
      <c r="DM908" s="47"/>
      <c r="DN908" s="47"/>
      <c r="DO908" s="47"/>
      <c r="DP908" s="47"/>
      <c r="DQ908" s="47"/>
    </row>
    <row r="909">
      <c r="CU909" s="47"/>
      <c r="CV909" s="47"/>
      <c r="CW909" s="47"/>
      <c r="CX909" s="47"/>
      <c r="CY909" s="47"/>
      <c r="DD909" s="47"/>
      <c r="DE909" s="47"/>
      <c r="DF909" s="47"/>
      <c r="DG909" s="47"/>
      <c r="DH909" s="47"/>
      <c r="DL909" s="47"/>
      <c r="DM909" s="47"/>
      <c r="DN909" s="47"/>
      <c r="DO909" s="47"/>
      <c r="DP909" s="47"/>
      <c r="DQ909" s="47"/>
    </row>
    <row r="910">
      <c r="CU910" s="47"/>
      <c r="CV910" s="47"/>
      <c r="CW910" s="47"/>
      <c r="CX910" s="47"/>
      <c r="CY910" s="47"/>
      <c r="DD910" s="47"/>
      <c r="DE910" s="47"/>
      <c r="DF910" s="47"/>
      <c r="DG910" s="47"/>
      <c r="DH910" s="47"/>
      <c r="DL910" s="47"/>
      <c r="DM910" s="47"/>
      <c r="DN910" s="47"/>
      <c r="DO910" s="47"/>
      <c r="DP910" s="47"/>
      <c r="DQ910" s="47"/>
    </row>
    <row r="911">
      <c r="CU911" s="47"/>
      <c r="CV911" s="47"/>
      <c r="CW911" s="47"/>
      <c r="CX911" s="47"/>
      <c r="CY911" s="47"/>
      <c r="DD911" s="47"/>
      <c r="DE911" s="47"/>
      <c r="DF911" s="47"/>
      <c r="DG911" s="47"/>
      <c r="DH911" s="47"/>
      <c r="DL911" s="47"/>
      <c r="DM911" s="47"/>
      <c r="DN911" s="47"/>
      <c r="DO911" s="47"/>
      <c r="DP911" s="47"/>
      <c r="DQ911" s="47"/>
    </row>
    <row r="912">
      <c r="CU912" s="47"/>
      <c r="CV912" s="47"/>
      <c r="CW912" s="47"/>
      <c r="CX912" s="47"/>
      <c r="CY912" s="47"/>
      <c r="DD912" s="47"/>
      <c r="DE912" s="47"/>
      <c r="DF912" s="47"/>
      <c r="DG912" s="47"/>
      <c r="DH912" s="47"/>
      <c r="DL912" s="47"/>
      <c r="DM912" s="47"/>
      <c r="DN912" s="47"/>
      <c r="DO912" s="47"/>
      <c r="DP912" s="47"/>
      <c r="DQ912" s="47"/>
    </row>
    <row r="913">
      <c r="CU913" s="47"/>
      <c r="CV913" s="47"/>
      <c r="CW913" s="47"/>
      <c r="CX913" s="47"/>
      <c r="CY913" s="47"/>
      <c r="DD913" s="47"/>
      <c r="DE913" s="47"/>
      <c r="DF913" s="47"/>
      <c r="DG913" s="47"/>
      <c r="DH913" s="47"/>
      <c r="DL913" s="47"/>
      <c r="DM913" s="47"/>
      <c r="DN913" s="47"/>
      <c r="DO913" s="47"/>
      <c r="DP913" s="47"/>
      <c r="DQ913" s="47"/>
    </row>
    <row r="914">
      <c r="CU914" s="47"/>
      <c r="CV914" s="47"/>
      <c r="CW914" s="47"/>
      <c r="CX914" s="47"/>
      <c r="CY914" s="47"/>
      <c r="DD914" s="47"/>
      <c r="DE914" s="47"/>
      <c r="DF914" s="47"/>
      <c r="DG914" s="47"/>
      <c r="DH914" s="47"/>
      <c r="DL914" s="47"/>
      <c r="DM914" s="47"/>
      <c r="DN914" s="47"/>
      <c r="DO914" s="47"/>
      <c r="DP914" s="47"/>
      <c r="DQ914" s="47"/>
    </row>
    <row r="915">
      <c r="CU915" s="47"/>
      <c r="CV915" s="47"/>
      <c r="CW915" s="47"/>
      <c r="CX915" s="47"/>
      <c r="CY915" s="47"/>
      <c r="DD915" s="47"/>
      <c r="DE915" s="47"/>
      <c r="DF915" s="47"/>
      <c r="DG915" s="47"/>
      <c r="DH915" s="47"/>
      <c r="DL915" s="47"/>
      <c r="DM915" s="47"/>
      <c r="DN915" s="47"/>
      <c r="DO915" s="47"/>
      <c r="DP915" s="47"/>
      <c r="DQ915" s="47"/>
    </row>
    <row r="916">
      <c r="CU916" s="47"/>
      <c r="CV916" s="47"/>
      <c r="CW916" s="47"/>
      <c r="CX916" s="47"/>
      <c r="CY916" s="47"/>
      <c r="DD916" s="47"/>
      <c r="DE916" s="47"/>
      <c r="DF916" s="47"/>
      <c r="DG916" s="47"/>
      <c r="DH916" s="47"/>
      <c r="DL916" s="47"/>
      <c r="DM916" s="47"/>
      <c r="DN916" s="47"/>
      <c r="DO916" s="47"/>
      <c r="DP916" s="47"/>
      <c r="DQ916" s="47"/>
    </row>
    <row r="917">
      <c r="CU917" s="47"/>
      <c r="CV917" s="47"/>
      <c r="CW917" s="47"/>
      <c r="CX917" s="47"/>
      <c r="CY917" s="47"/>
      <c r="DD917" s="47"/>
      <c r="DE917" s="47"/>
      <c r="DF917" s="47"/>
      <c r="DG917" s="47"/>
      <c r="DH917" s="47"/>
      <c r="DL917" s="47"/>
      <c r="DM917" s="47"/>
      <c r="DN917" s="47"/>
      <c r="DO917" s="47"/>
      <c r="DP917" s="47"/>
      <c r="DQ917" s="47"/>
    </row>
    <row r="918">
      <c r="CU918" s="47"/>
      <c r="CV918" s="47"/>
      <c r="CW918" s="47"/>
      <c r="CX918" s="47"/>
      <c r="CY918" s="47"/>
      <c r="DD918" s="47"/>
      <c r="DE918" s="47"/>
      <c r="DF918" s="47"/>
      <c r="DG918" s="47"/>
      <c r="DH918" s="47"/>
      <c r="DL918" s="47"/>
      <c r="DM918" s="47"/>
      <c r="DN918" s="47"/>
      <c r="DO918" s="47"/>
      <c r="DP918" s="47"/>
      <c r="DQ918" s="47"/>
    </row>
    <row r="919">
      <c r="CU919" s="47"/>
      <c r="CV919" s="47"/>
      <c r="CW919" s="47"/>
      <c r="CX919" s="47"/>
      <c r="CY919" s="47"/>
      <c r="DD919" s="47"/>
      <c r="DE919" s="47"/>
      <c r="DF919" s="47"/>
      <c r="DG919" s="47"/>
      <c r="DH919" s="47"/>
      <c r="DL919" s="47"/>
      <c r="DM919" s="47"/>
      <c r="DN919" s="47"/>
      <c r="DO919" s="47"/>
      <c r="DP919" s="47"/>
      <c r="DQ919" s="47"/>
    </row>
    <row r="920">
      <c r="CU920" s="47"/>
      <c r="CV920" s="47"/>
      <c r="CW920" s="47"/>
      <c r="CX920" s="47"/>
      <c r="CY920" s="47"/>
      <c r="DD920" s="47"/>
      <c r="DE920" s="47"/>
      <c r="DF920" s="47"/>
      <c r="DG920" s="47"/>
      <c r="DH920" s="47"/>
      <c r="DL920" s="47"/>
      <c r="DM920" s="47"/>
      <c r="DN920" s="47"/>
      <c r="DO920" s="47"/>
      <c r="DP920" s="47"/>
      <c r="DQ920" s="47"/>
    </row>
    <row r="921">
      <c r="CU921" s="47"/>
      <c r="CV921" s="47"/>
      <c r="CW921" s="47"/>
      <c r="CX921" s="47"/>
      <c r="CY921" s="47"/>
      <c r="DD921" s="47"/>
      <c r="DE921" s="47"/>
      <c r="DF921" s="47"/>
      <c r="DG921" s="47"/>
      <c r="DH921" s="47"/>
      <c r="DL921" s="47"/>
      <c r="DM921" s="47"/>
      <c r="DN921" s="47"/>
      <c r="DO921" s="47"/>
      <c r="DP921" s="47"/>
      <c r="DQ921" s="47"/>
    </row>
    <row r="922">
      <c r="CU922" s="47"/>
      <c r="CV922" s="47"/>
      <c r="CW922" s="47"/>
      <c r="CX922" s="47"/>
      <c r="CY922" s="47"/>
      <c r="DD922" s="47"/>
      <c r="DE922" s="47"/>
      <c r="DF922" s="47"/>
      <c r="DG922" s="47"/>
      <c r="DH922" s="47"/>
      <c r="DL922" s="47"/>
      <c r="DM922" s="47"/>
      <c r="DN922" s="47"/>
      <c r="DO922" s="47"/>
      <c r="DP922" s="47"/>
      <c r="DQ922" s="47"/>
    </row>
    <row r="923">
      <c r="CU923" s="47"/>
      <c r="CV923" s="47"/>
      <c r="CW923" s="47"/>
      <c r="CX923" s="47"/>
      <c r="CY923" s="47"/>
      <c r="DD923" s="47"/>
      <c r="DE923" s="47"/>
      <c r="DF923" s="47"/>
      <c r="DG923" s="47"/>
      <c r="DH923" s="47"/>
      <c r="DL923" s="47"/>
      <c r="DM923" s="47"/>
      <c r="DN923" s="47"/>
      <c r="DO923" s="47"/>
      <c r="DP923" s="47"/>
      <c r="DQ923" s="47"/>
    </row>
    <row r="924">
      <c r="CU924" s="47"/>
      <c r="CV924" s="47"/>
      <c r="CW924" s="47"/>
      <c r="CX924" s="47"/>
      <c r="CY924" s="47"/>
      <c r="DD924" s="47"/>
      <c r="DE924" s="47"/>
      <c r="DF924" s="47"/>
      <c r="DG924" s="47"/>
      <c r="DH924" s="47"/>
      <c r="DL924" s="47"/>
      <c r="DM924" s="47"/>
      <c r="DN924" s="47"/>
      <c r="DO924" s="47"/>
      <c r="DP924" s="47"/>
      <c r="DQ924" s="47"/>
    </row>
    <row r="925">
      <c r="CU925" s="47"/>
      <c r="CV925" s="47"/>
      <c r="CW925" s="47"/>
      <c r="CX925" s="47"/>
      <c r="CY925" s="47"/>
      <c r="DD925" s="47"/>
      <c r="DE925" s="47"/>
      <c r="DF925" s="47"/>
      <c r="DG925" s="47"/>
      <c r="DH925" s="47"/>
      <c r="DL925" s="47"/>
      <c r="DM925" s="47"/>
      <c r="DN925" s="47"/>
      <c r="DO925" s="47"/>
      <c r="DP925" s="47"/>
      <c r="DQ925" s="47"/>
    </row>
    <row r="926">
      <c r="CU926" s="47"/>
      <c r="CV926" s="47"/>
      <c r="CW926" s="47"/>
      <c r="CX926" s="47"/>
      <c r="CY926" s="47"/>
      <c r="DD926" s="47"/>
      <c r="DE926" s="47"/>
      <c r="DF926" s="47"/>
      <c r="DG926" s="47"/>
      <c r="DH926" s="47"/>
      <c r="DL926" s="47"/>
      <c r="DM926" s="47"/>
      <c r="DN926" s="47"/>
      <c r="DO926" s="47"/>
      <c r="DP926" s="47"/>
      <c r="DQ926" s="47"/>
    </row>
    <row r="927">
      <c r="CU927" s="47"/>
      <c r="CV927" s="47"/>
      <c r="CW927" s="47"/>
      <c r="CX927" s="47"/>
      <c r="CY927" s="47"/>
      <c r="DD927" s="47"/>
      <c r="DE927" s="47"/>
      <c r="DF927" s="47"/>
      <c r="DG927" s="47"/>
      <c r="DH927" s="47"/>
      <c r="DL927" s="47"/>
      <c r="DM927" s="47"/>
      <c r="DN927" s="47"/>
      <c r="DO927" s="47"/>
      <c r="DP927" s="47"/>
      <c r="DQ927" s="47"/>
    </row>
    <row r="928">
      <c r="CU928" s="47"/>
      <c r="CV928" s="47"/>
      <c r="CW928" s="47"/>
      <c r="CX928" s="47"/>
      <c r="CY928" s="47"/>
      <c r="DD928" s="47"/>
      <c r="DE928" s="47"/>
      <c r="DF928" s="47"/>
      <c r="DG928" s="47"/>
      <c r="DH928" s="47"/>
      <c r="DL928" s="47"/>
      <c r="DM928" s="47"/>
      <c r="DN928" s="47"/>
      <c r="DO928" s="47"/>
      <c r="DP928" s="47"/>
      <c r="DQ928" s="47"/>
    </row>
    <row r="929">
      <c r="CU929" s="47"/>
      <c r="CV929" s="47"/>
      <c r="CW929" s="47"/>
      <c r="CX929" s="47"/>
      <c r="CY929" s="47"/>
      <c r="DD929" s="47"/>
      <c r="DE929" s="47"/>
      <c r="DF929" s="47"/>
      <c r="DG929" s="47"/>
      <c r="DH929" s="47"/>
      <c r="DL929" s="47"/>
      <c r="DM929" s="47"/>
      <c r="DN929" s="47"/>
      <c r="DO929" s="47"/>
      <c r="DP929" s="47"/>
      <c r="DQ929" s="47"/>
    </row>
    <row r="930">
      <c r="CU930" s="47"/>
      <c r="CV930" s="47"/>
      <c r="CW930" s="47"/>
      <c r="CX930" s="47"/>
      <c r="CY930" s="47"/>
      <c r="DD930" s="47"/>
      <c r="DE930" s="47"/>
      <c r="DF930" s="47"/>
      <c r="DG930" s="47"/>
      <c r="DH930" s="47"/>
      <c r="DL930" s="47"/>
      <c r="DM930" s="47"/>
      <c r="DN930" s="47"/>
      <c r="DO930" s="47"/>
      <c r="DP930" s="47"/>
      <c r="DQ930" s="47"/>
    </row>
    <row r="931">
      <c r="CU931" s="47"/>
      <c r="CV931" s="47"/>
      <c r="CW931" s="47"/>
      <c r="CX931" s="47"/>
      <c r="CY931" s="47"/>
      <c r="DD931" s="47"/>
      <c r="DE931" s="47"/>
      <c r="DF931" s="47"/>
      <c r="DG931" s="47"/>
      <c r="DH931" s="47"/>
      <c r="DL931" s="47"/>
      <c r="DM931" s="47"/>
      <c r="DN931" s="47"/>
      <c r="DO931" s="47"/>
      <c r="DP931" s="47"/>
      <c r="DQ931" s="47"/>
    </row>
    <row r="932">
      <c r="CU932" s="47"/>
      <c r="CV932" s="47"/>
      <c r="CW932" s="47"/>
      <c r="CX932" s="47"/>
      <c r="CY932" s="47"/>
      <c r="DD932" s="47"/>
      <c r="DE932" s="47"/>
      <c r="DF932" s="47"/>
      <c r="DG932" s="47"/>
      <c r="DH932" s="47"/>
      <c r="DL932" s="47"/>
      <c r="DM932" s="47"/>
      <c r="DN932" s="47"/>
      <c r="DO932" s="47"/>
      <c r="DP932" s="47"/>
      <c r="DQ932" s="47"/>
    </row>
    <row r="933">
      <c r="CU933" s="47"/>
      <c r="CV933" s="47"/>
      <c r="CW933" s="47"/>
      <c r="CX933" s="47"/>
      <c r="CY933" s="47"/>
      <c r="DD933" s="47"/>
      <c r="DE933" s="47"/>
      <c r="DF933" s="47"/>
      <c r="DG933" s="47"/>
      <c r="DH933" s="47"/>
      <c r="DL933" s="47"/>
      <c r="DM933" s="47"/>
      <c r="DN933" s="47"/>
      <c r="DO933" s="47"/>
      <c r="DP933" s="47"/>
      <c r="DQ933" s="47"/>
    </row>
    <row r="934">
      <c r="CU934" s="47"/>
      <c r="CV934" s="47"/>
      <c r="CW934" s="47"/>
      <c r="CX934" s="47"/>
      <c r="CY934" s="47"/>
      <c r="DD934" s="47"/>
      <c r="DE934" s="47"/>
      <c r="DF934" s="47"/>
      <c r="DG934" s="47"/>
      <c r="DH934" s="47"/>
      <c r="DL934" s="47"/>
      <c r="DM934" s="47"/>
      <c r="DN934" s="47"/>
      <c r="DO934" s="47"/>
      <c r="DP934" s="47"/>
      <c r="DQ934" s="47"/>
    </row>
    <row r="935">
      <c r="CU935" s="47"/>
      <c r="CV935" s="47"/>
      <c r="CW935" s="47"/>
      <c r="CX935" s="47"/>
      <c r="CY935" s="47"/>
      <c r="DD935" s="47"/>
      <c r="DE935" s="47"/>
      <c r="DF935" s="47"/>
      <c r="DG935" s="47"/>
      <c r="DH935" s="47"/>
      <c r="DL935" s="47"/>
      <c r="DM935" s="47"/>
      <c r="DN935" s="47"/>
      <c r="DO935" s="47"/>
      <c r="DP935" s="47"/>
      <c r="DQ935" s="47"/>
    </row>
    <row r="936">
      <c r="CU936" s="47"/>
      <c r="CV936" s="47"/>
      <c r="CW936" s="47"/>
      <c r="CX936" s="47"/>
      <c r="CY936" s="47"/>
      <c r="DD936" s="47"/>
      <c r="DE936" s="47"/>
      <c r="DF936" s="47"/>
      <c r="DG936" s="47"/>
      <c r="DH936" s="47"/>
      <c r="DL936" s="47"/>
      <c r="DM936" s="47"/>
      <c r="DN936" s="47"/>
      <c r="DO936" s="47"/>
      <c r="DP936" s="47"/>
      <c r="DQ936" s="47"/>
    </row>
    <row r="937">
      <c r="CU937" s="47"/>
      <c r="CV937" s="47"/>
      <c r="CW937" s="47"/>
      <c r="CX937" s="47"/>
      <c r="CY937" s="47"/>
      <c r="DD937" s="47"/>
      <c r="DE937" s="47"/>
      <c r="DF937" s="47"/>
      <c r="DG937" s="47"/>
      <c r="DH937" s="47"/>
      <c r="DL937" s="47"/>
      <c r="DM937" s="47"/>
      <c r="DN937" s="47"/>
      <c r="DO937" s="47"/>
      <c r="DP937" s="47"/>
      <c r="DQ937" s="47"/>
    </row>
    <row r="938">
      <c r="CU938" s="47"/>
      <c r="CV938" s="47"/>
      <c r="CW938" s="47"/>
      <c r="CX938" s="47"/>
      <c r="CY938" s="47"/>
      <c r="DD938" s="47"/>
      <c r="DE938" s="47"/>
      <c r="DF938" s="47"/>
      <c r="DG938" s="47"/>
      <c r="DH938" s="47"/>
      <c r="DL938" s="47"/>
      <c r="DM938" s="47"/>
      <c r="DN938" s="47"/>
      <c r="DO938" s="47"/>
      <c r="DP938" s="47"/>
      <c r="DQ938" s="47"/>
    </row>
    <row r="939">
      <c r="CU939" s="47"/>
      <c r="CV939" s="47"/>
      <c r="CW939" s="47"/>
      <c r="CX939" s="47"/>
      <c r="CY939" s="47"/>
      <c r="DD939" s="47"/>
      <c r="DE939" s="47"/>
      <c r="DF939" s="47"/>
      <c r="DG939" s="47"/>
      <c r="DH939" s="47"/>
      <c r="DL939" s="47"/>
      <c r="DM939" s="47"/>
      <c r="DN939" s="47"/>
      <c r="DO939" s="47"/>
      <c r="DP939" s="47"/>
      <c r="DQ939" s="47"/>
    </row>
    <row r="940">
      <c r="CU940" s="47"/>
      <c r="CV940" s="47"/>
      <c r="CW940" s="47"/>
      <c r="CX940" s="47"/>
      <c r="CY940" s="47"/>
      <c r="DD940" s="47"/>
      <c r="DE940" s="47"/>
      <c r="DF940" s="47"/>
      <c r="DG940" s="47"/>
      <c r="DH940" s="47"/>
      <c r="DL940" s="47"/>
      <c r="DM940" s="47"/>
      <c r="DN940" s="47"/>
      <c r="DO940" s="47"/>
      <c r="DP940" s="47"/>
      <c r="DQ940" s="47"/>
    </row>
    <row r="941">
      <c r="CU941" s="47"/>
      <c r="CV941" s="47"/>
      <c r="CW941" s="47"/>
      <c r="CX941" s="47"/>
      <c r="CY941" s="47"/>
      <c r="DD941" s="47"/>
      <c r="DE941" s="47"/>
      <c r="DF941" s="47"/>
      <c r="DG941" s="47"/>
      <c r="DH941" s="47"/>
      <c r="DL941" s="47"/>
      <c r="DM941" s="47"/>
      <c r="DN941" s="47"/>
      <c r="DO941" s="47"/>
      <c r="DP941" s="47"/>
      <c r="DQ941" s="47"/>
    </row>
    <row r="942">
      <c r="CU942" s="47"/>
      <c r="CV942" s="47"/>
      <c r="CW942" s="47"/>
      <c r="CX942" s="47"/>
      <c r="CY942" s="47"/>
      <c r="DD942" s="47"/>
      <c r="DE942" s="47"/>
      <c r="DF942" s="47"/>
      <c r="DG942" s="47"/>
      <c r="DH942" s="47"/>
      <c r="DL942" s="47"/>
      <c r="DM942" s="47"/>
      <c r="DN942" s="47"/>
      <c r="DO942" s="47"/>
      <c r="DP942" s="47"/>
      <c r="DQ942" s="47"/>
    </row>
    <row r="943">
      <c r="CU943" s="47"/>
      <c r="CV943" s="47"/>
      <c r="CW943" s="47"/>
      <c r="CX943" s="47"/>
      <c r="CY943" s="47"/>
      <c r="DD943" s="47"/>
      <c r="DE943" s="47"/>
      <c r="DF943" s="47"/>
      <c r="DG943" s="47"/>
      <c r="DH943" s="47"/>
      <c r="DL943" s="47"/>
      <c r="DM943" s="47"/>
      <c r="DN943" s="47"/>
      <c r="DO943" s="47"/>
      <c r="DP943" s="47"/>
      <c r="DQ943" s="47"/>
    </row>
    <row r="944">
      <c r="CU944" s="47"/>
      <c r="CV944" s="47"/>
      <c r="CW944" s="47"/>
      <c r="CX944" s="47"/>
      <c r="CY944" s="47"/>
      <c r="DD944" s="47"/>
      <c r="DE944" s="47"/>
      <c r="DF944" s="47"/>
      <c r="DG944" s="47"/>
      <c r="DH944" s="47"/>
      <c r="DL944" s="47"/>
      <c r="DM944" s="47"/>
      <c r="DN944" s="47"/>
      <c r="DO944" s="47"/>
      <c r="DP944" s="47"/>
      <c r="DQ944" s="47"/>
    </row>
    <row r="945">
      <c r="CU945" s="47"/>
      <c r="CV945" s="47"/>
      <c r="CW945" s="47"/>
      <c r="CX945" s="47"/>
      <c r="CY945" s="47"/>
      <c r="DD945" s="47"/>
      <c r="DE945" s="47"/>
      <c r="DF945" s="47"/>
      <c r="DG945" s="47"/>
      <c r="DH945" s="47"/>
      <c r="DL945" s="47"/>
      <c r="DM945" s="47"/>
      <c r="DN945" s="47"/>
      <c r="DO945" s="47"/>
      <c r="DP945" s="47"/>
      <c r="DQ945" s="47"/>
    </row>
    <row r="946">
      <c r="CU946" s="47"/>
      <c r="CV946" s="47"/>
      <c r="CW946" s="47"/>
      <c r="CX946" s="47"/>
      <c r="CY946" s="47"/>
      <c r="DD946" s="47"/>
      <c r="DE946" s="47"/>
      <c r="DF946" s="47"/>
      <c r="DG946" s="47"/>
      <c r="DH946" s="47"/>
      <c r="DL946" s="47"/>
      <c r="DM946" s="47"/>
      <c r="DN946" s="47"/>
      <c r="DO946" s="47"/>
      <c r="DP946" s="47"/>
      <c r="DQ946" s="47"/>
    </row>
    <row r="947">
      <c r="CU947" s="47"/>
      <c r="CV947" s="47"/>
      <c r="CW947" s="47"/>
      <c r="CX947" s="47"/>
      <c r="CY947" s="47"/>
      <c r="DD947" s="47"/>
      <c r="DE947" s="47"/>
      <c r="DF947" s="47"/>
      <c r="DG947" s="47"/>
      <c r="DH947" s="47"/>
      <c r="DL947" s="47"/>
      <c r="DM947" s="47"/>
      <c r="DN947" s="47"/>
      <c r="DO947" s="47"/>
      <c r="DP947" s="47"/>
      <c r="DQ947" s="47"/>
    </row>
    <row r="948">
      <c r="CU948" s="47"/>
      <c r="CV948" s="47"/>
      <c r="CW948" s="47"/>
      <c r="CX948" s="47"/>
      <c r="CY948" s="47"/>
      <c r="DD948" s="47"/>
      <c r="DE948" s="47"/>
      <c r="DF948" s="47"/>
      <c r="DG948" s="47"/>
      <c r="DH948" s="47"/>
      <c r="DL948" s="47"/>
      <c r="DM948" s="47"/>
      <c r="DN948" s="47"/>
      <c r="DO948" s="47"/>
      <c r="DP948" s="47"/>
      <c r="DQ948" s="47"/>
    </row>
    <row r="949">
      <c r="CU949" s="47"/>
      <c r="CV949" s="47"/>
      <c r="CW949" s="47"/>
      <c r="CX949" s="47"/>
      <c r="CY949" s="47"/>
      <c r="DD949" s="47"/>
      <c r="DE949" s="47"/>
      <c r="DF949" s="47"/>
      <c r="DG949" s="47"/>
      <c r="DH949" s="47"/>
      <c r="DL949" s="47"/>
      <c r="DM949" s="47"/>
      <c r="DN949" s="47"/>
      <c r="DO949" s="47"/>
      <c r="DP949" s="47"/>
      <c r="DQ949" s="47"/>
    </row>
    <row r="950">
      <c r="CU950" s="47"/>
      <c r="CV950" s="47"/>
      <c r="CW950" s="47"/>
      <c r="CX950" s="47"/>
      <c r="CY950" s="47"/>
      <c r="DD950" s="47"/>
      <c r="DE950" s="47"/>
      <c r="DF950" s="47"/>
      <c r="DG950" s="47"/>
      <c r="DH950" s="47"/>
      <c r="DL950" s="47"/>
      <c r="DM950" s="47"/>
      <c r="DN950" s="47"/>
      <c r="DO950" s="47"/>
      <c r="DP950" s="47"/>
      <c r="DQ950" s="47"/>
    </row>
    <row r="951">
      <c r="CU951" s="47"/>
      <c r="CV951" s="47"/>
      <c r="CW951" s="47"/>
      <c r="CX951" s="47"/>
      <c r="CY951" s="47"/>
      <c r="DD951" s="47"/>
      <c r="DE951" s="47"/>
      <c r="DF951" s="47"/>
      <c r="DG951" s="47"/>
      <c r="DH951" s="47"/>
      <c r="DL951" s="47"/>
      <c r="DM951" s="47"/>
      <c r="DN951" s="47"/>
      <c r="DO951" s="47"/>
      <c r="DP951" s="47"/>
      <c r="DQ951" s="47"/>
    </row>
    <row r="952">
      <c r="CU952" s="47"/>
      <c r="CV952" s="47"/>
      <c r="CW952" s="47"/>
      <c r="CX952" s="47"/>
      <c r="CY952" s="47"/>
      <c r="DD952" s="47"/>
      <c r="DE952" s="47"/>
      <c r="DF952" s="47"/>
      <c r="DG952" s="47"/>
      <c r="DH952" s="47"/>
      <c r="DL952" s="47"/>
      <c r="DM952" s="47"/>
      <c r="DN952" s="47"/>
      <c r="DO952" s="47"/>
      <c r="DP952" s="47"/>
      <c r="DQ952" s="47"/>
    </row>
    <row r="953">
      <c r="CU953" s="47"/>
      <c r="CV953" s="47"/>
      <c r="CW953" s="47"/>
      <c r="CX953" s="47"/>
      <c r="CY953" s="47"/>
      <c r="DD953" s="47"/>
      <c r="DE953" s="47"/>
      <c r="DF953" s="47"/>
      <c r="DG953" s="47"/>
      <c r="DH953" s="47"/>
      <c r="DL953" s="47"/>
      <c r="DM953" s="47"/>
      <c r="DN953" s="47"/>
      <c r="DO953" s="47"/>
      <c r="DP953" s="47"/>
      <c r="DQ953" s="47"/>
    </row>
    <row r="954">
      <c r="CU954" s="47"/>
      <c r="CV954" s="47"/>
      <c r="CW954" s="47"/>
      <c r="CX954" s="47"/>
      <c r="CY954" s="47"/>
      <c r="DD954" s="47"/>
      <c r="DE954" s="47"/>
      <c r="DF954" s="47"/>
      <c r="DG954" s="47"/>
      <c r="DH954" s="47"/>
      <c r="DL954" s="47"/>
      <c r="DM954" s="47"/>
      <c r="DN954" s="47"/>
      <c r="DO954" s="47"/>
      <c r="DP954" s="47"/>
      <c r="DQ954" s="47"/>
    </row>
    <row r="955">
      <c r="CU955" s="47"/>
      <c r="CV955" s="47"/>
      <c r="CW955" s="47"/>
      <c r="CX955" s="47"/>
      <c r="CY955" s="47"/>
      <c r="DD955" s="47"/>
      <c r="DE955" s="47"/>
      <c r="DF955" s="47"/>
      <c r="DG955" s="47"/>
      <c r="DH955" s="47"/>
      <c r="DL955" s="47"/>
      <c r="DM955" s="47"/>
      <c r="DN955" s="47"/>
      <c r="DO955" s="47"/>
      <c r="DP955" s="47"/>
      <c r="DQ955" s="47"/>
    </row>
    <row r="956">
      <c r="CU956" s="47"/>
      <c r="CV956" s="47"/>
      <c r="CW956" s="47"/>
      <c r="CX956" s="47"/>
      <c r="CY956" s="47"/>
      <c r="DD956" s="47"/>
      <c r="DE956" s="47"/>
      <c r="DF956" s="47"/>
      <c r="DG956" s="47"/>
      <c r="DH956" s="47"/>
      <c r="DL956" s="47"/>
      <c r="DM956" s="47"/>
      <c r="DN956" s="47"/>
      <c r="DO956" s="47"/>
      <c r="DP956" s="47"/>
      <c r="DQ956" s="47"/>
    </row>
    <row r="957">
      <c r="CU957" s="47"/>
      <c r="CV957" s="47"/>
      <c r="CW957" s="47"/>
      <c r="CX957" s="47"/>
      <c r="CY957" s="47"/>
      <c r="DD957" s="47"/>
      <c r="DE957" s="47"/>
      <c r="DF957" s="47"/>
      <c r="DG957" s="47"/>
      <c r="DH957" s="47"/>
      <c r="DL957" s="47"/>
      <c r="DM957" s="47"/>
      <c r="DN957" s="47"/>
      <c r="DO957" s="47"/>
      <c r="DP957" s="47"/>
      <c r="DQ957" s="47"/>
    </row>
    <row r="958">
      <c r="CU958" s="47"/>
      <c r="CV958" s="47"/>
      <c r="CW958" s="47"/>
      <c r="CX958" s="47"/>
      <c r="CY958" s="47"/>
      <c r="DD958" s="47"/>
      <c r="DE958" s="47"/>
      <c r="DF958" s="47"/>
      <c r="DG958" s="47"/>
      <c r="DH958" s="47"/>
      <c r="DL958" s="47"/>
      <c r="DM958" s="47"/>
      <c r="DN958" s="47"/>
      <c r="DO958" s="47"/>
      <c r="DP958" s="47"/>
      <c r="DQ958" s="47"/>
    </row>
    <row r="959">
      <c r="CU959" s="47"/>
      <c r="CV959" s="47"/>
      <c r="CW959" s="47"/>
      <c r="CX959" s="47"/>
      <c r="CY959" s="47"/>
      <c r="DD959" s="47"/>
      <c r="DE959" s="47"/>
      <c r="DF959" s="47"/>
      <c r="DG959" s="47"/>
      <c r="DH959" s="47"/>
      <c r="DL959" s="47"/>
      <c r="DM959" s="47"/>
      <c r="DN959" s="47"/>
      <c r="DO959" s="47"/>
      <c r="DP959" s="47"/>
      <c r="DQ959" s="47"/>
    </row>
    <row r="960">
      <c r="CU960" s="47"/>
      <c r="CV960" s="47"/>
      <c r="CW960" s="47"/>
      <c r="CX960" s="47"/>
      <c r="CY960" s="47"/>
      <c r="DD960" s="47"/>
      <c r="DE960" s="47"/>
      <c r="DF960" s="47"/>
      <c r="DG960" s="47"/>
      <c r="DH960" s="47"/>
      <c r="DL960" s="47"/>
      <c r="DM960" s="47"/>
      <c r="DN960" s="47"/>
      <c r="DO960" s="47"/>
      <c r="DP960" s="47"/>
      <c r="DQ960" s="47"/>
    </row>
    <row r="961">
      <c r="CU961" s="47"/>
      <c r="CV961" s="47"/>
      <c r="CW961" s="47"/>
      <c r="CX961" s="47"/>
      <c r="CY961" s="47"/>
      <c r="DD961" s="47"/>
      <c r="DE961" s="47"/>
      <c r="DF961" s="47"/>
      <c r="DG961" s="47"/>
      <c r="DH961" s="47"/>
      <c r="DL961" s="47"/>
      <c r="DM961" s="47"/>
      <c r="DN961" s="47"/>
      <c r="DO961" s="47"/>
      <c r="DP961" s="47"/>
      <c r="DQ961" s="47"/>
    </row>
    <row r="962">
      <c r="CU962" s="47"/>
      <c r="CV962" s="47"/>
      <c r="CW962" s="47"/>
      <c r="CX962" s="47"/>
      <c r="CY962" s="47"/>
      <c r="DD962" s="47"/>
      <c r="DE962" s="47"/>
      <c r="DF962" s="47"/>
      <c r="DG962" s="47"/>
      <c r="DH962" s="47"/>
      <c r="DL962" s="47"/>
      <c r="DM962" s="47"/>
      <c r="DN962" s="47"/>
      <c r="DO962" s="47"/>
      <c r="DP962" s="47"/>
      <c r="DQ962" s="47"/>
    </row>
    <row r="963">
      <c r="CU963" s="47"/>
      <c r="CV963" s="47"/>
      <c r="CW963" s="47"/>
      <c r="CX963" s="47"/>
      <c r="CY963" s="47"/>
      <c r="DD963" s="47"/>
      <c r="DE963" s="47"/>
      <c r="DF963" s="47"/>
      <c r="DG963" s="47"/>
      <c r="DH963" s="47"/>
      <c r="DL963" s="47"/>
      <c r="DM963" s="47"/>
      <c r="DN963" s="47"/>
      <c r="DO963" s="47"/>
      <c r="DP963" s="47"/>
      <c r="DQ963" s="47"/>
    </row>
    <row r="964">
      <c r="CU964" s="47"/>
      <c r="CV964" s="47"/>
      <c r="CW964" s="47"/>
      <c r="CX964" s="47"/>
      <c r="CY964" s="47"/>
      <c r="DD964" s="47"/>
      <c r="DE964" s="47"/>
      <c r="DF964" s="47"/>
      <c r="DG964" s="47"/>
      <c r="DH964" s="47"/>
      <c r="DL964" s="47"/>
      <c r="DM964" s="47"/>
      <c r="DN964" s="47"/>
      <c r="DO964" s="47"/>
      <c r="DP964" s="47"/>
      <c r="DQ964" s="47"/>
    </row>
    <row r="965">
      <c r="CU965" s="47"/>
      <c r="CV965" s="47"/>
      <c r="CW965" s="47"/>
      <c r="CX965" s="47"/>
      <c r="CY965" s="47"/>
      <c r="DD965" s="47"/>
      <c r="DE965" s="47"/>
      <c r="DF965" s="47"/>
      <c r="DG965" s="47"/>
      <c r="DH965" s="47"/>
      <c r="DL965" s="47"/>
      <c r="DM965" s="47"/>
      <c r="DN965" s="47"/>
      <c r="DO965" s="47"/>
      <c r="DP965" s="47"/>
      <c r="DQ965" s="47"/>
    </row>
    <row r="966">
      <c r="CU966" s="47"/>
      <c r="CV966" s="47"/>
      <c r="CW966" s="47"/>
      <c r="CX966" s="47"/>
      <c r="CY966" s="47"/>
      <c r="DD966" s="47"/>
      <c r="DE966" s="47"/>
      <c r="DF966" s="47"/>
      <c r="DG966" s="47"/>
      <c r="DH966" s="47"/>
      <c r="DL966" s="47"/>
      <c r="DM966" s="47"/>
      <c r="DN966" s="47"/>
      <c r="DO966" s="47"/>
      <c r="DP966" s="47"/>
      <c r="DQ966" s="47"/>
    </row>
    <row r="967">
      <c r="CU967" s="47"/>
      <c r="CV967" s="47"/>
      <c r="CW967" s="47"/>
      <c r="CX967" s="47"/>
      <c r="CY967" s="47"/>
      <c r="DD967" s="47"/>
      <c r="DE967" s="47"/>
      <c r="DF967" s="47"/>
      <c r="DG967" s="47"/>
      <c r="DH967" s="47"/>
      <c r="DL967" s="47"/>
      <c r="DM967" s="47"/>
      <c r="DN967" s="47"/>
      <c r="DO967" s="47"/>
      <c r="DP967" s="47"/>
      <c r="DQ967" s="47"/>
    </row>
    <row r="968">
      <c r="CU968" s="47"/>
      <c r="CV968" s="47"/>
      <c r="CW968" s="47"/>
      <c r="CX968" s="47"/>
      <c r="CY968" s="47"/>
      <c r="DD968" s="47"/>
      <c r="DE968" s="47"/>
      <c r="DF968" s="47"/>
      <c r="DG968" s="47"/>
      <c r="DH968" s="47"/>
      <c r="DL968" s="47"/>
      <c r="DM968" s="47"/>
      <c r="DN968" s="47"/>
      <c r="DO968" s="47"/>
      <c r="DP968" s="47"/>
      <c r="DQ968" s="47"/>
    </row>
    <row r="969">
      <c r="CU969" s="47"/>
      <c r="CV969" s="47"/>
      <c r="CW969" s="47"/>
      <c r="CX969" s="47"/>
      <c r="CY969" s="47"/>
      <c r="DD969" s="47"/>
      <c r="DE969" s="47"/>
      <c r="DF969" s="47"/>
      <c r="DG969" s="47"/>
      <c r="DH969" s="47"/>
      <c r="DL969" s="47"/>
      <c r="DM969" s="47"/>
      <c r="DN969" s="47"/>
      <c r="DO969" s="47"/>
      <c r="DP969" s="47"/>
      <c r="DQ969" s="47"/>
    </row>
    <row r="970">
      <c r="CU970" s="47"/>
      <c r="CV970" s="47"/>
      <c r="CW970" s="47"/>
      <c r="CX970" s="47"/>
      <c r="CY970" s="47"/>
      <c r="DD970" s="47"/>
      <c r="DE970" s="47"/>
      <c r="DF970" s="47"/>
      <c r="DG970" s="47"/>
      <c r="DH970" s="47"/>
      <c r="DL970" s="47"/>
      <c r="DM970" s="47"/>
      <c r="DN970" s="47"/>
      <c r="DO970" s="47"/>
      <c r="DP970" s="47"/>
      <c r="DQ970" s="47"/>
    </row>
    <row r="971">
      <c r="CU971" s="47"/>
      <c r="CV971" s="47"/>
      <c r="CW971" s="47"/>
      <c r="CX971" s="47"/>
      <c r="CY971" s="47"/>
      <c r="DD971" s="47"/>
      <c r="DE971" s="47"/>
      <c r="DF971" s="47"/>
      <c r="DG971" s="47"/>
      <c r="DH971" s="47"/>
      <c r="DL971" s="47"/>
      <c r="DM971" s="47"/>
      <c r="DN971" s="47"/>
      <c r="DO971" s="47"/>
      <c r="DP971" s="47"/>
      <c r="DQ971" s="47"/>
    </row>
    <row r="972">
      <c r="CU972" s="47"/>
      <c r="CV972" s="47"/>
      <c r="CW972" s="47"/>
      <c r="CX972" s="47"/>
      <c r="CY972" s="47"/>
      <c r="DD972" s="47"/>
      <c r="DE972" s="47"/>
      <c r="DF972" s="47"/>
      <c r="DG972" s="47"/>
      <c r="DH972" s="47"/>
      <c r="DL972" s="47"/>
      <c r="DM972" s="47"/>
      <c r="DN972" s="47"/>
      <c r="DO972" s="47"/>
      <c r="DP972" s="47"/>
      <c r="DQ972" s="47"/>
    </row>
    <row r="973">
      <c r="CU973" s="47"/>
      <c r="CV973" s="47"/>
      <c r="CW973" s="47"/>
      <c r="CX973" s="47"/>
      <c r="CY973" s="47"/>
      <c r="DD973" s="47"/>
      <c r="DE973" s="47"/>
      <c r="DF973" s="47"/>
      <c r="DG973" s="47"/>
      <c r="DH973" s="47"/>
      <c r="DL973" s="47"/>
      <c r="DM973" s="47"/>
      <c r="DN973" s="47"/>
      <c r="DO973" s="47"/>
      <c r="DP973" s="47"/>
      <c r="DQ973" s="47"/>
    </row>
    <row r="974">
      <c r="CU974" s="47"/>
      <c r="CV974" s="47"/>
      <c r="CW974" s="47"/>
      <c r="CX974" s="47"/>
      <c r="CY974" s="47"/>
      <c r="DD974" s="47"/>
      <c r="DE974" s="47"/>
      <c r="DF974" s="47"/>
      <c r="DG974" s="47"/>
      <c r="DH974" s="47"/>
      <c r="DL974" s="47"/>
      <c r="DM974" s="47"/>
      <c r="DN974" s="47"/>
      <c r="DO974" s="47"/>
      <c r="DP974" s="47"/>
      <c r="DQ974" s="47"/>
    </row>
    <row r="975">
      <c r="CU975" s="47"/>
      <c r="CV975" s="47"/>
      <c r="CW975" s="47"/>
      <c r="CX975" s="47"/>
      <c r="CY975" s="47"/>
      <c r="DD975" s="47"/>
      <c r="DE975" s="47"/>
      <c r="DF975" s="47"/>
      <c r="DG975" s="47"/>
      <c r="DH975" s="47"/>
      <c r="DL975" s="47"/>
      <c r="DM975" s="47"/>
      <c r="DN975" s="47"/>
      <c r="DO975" s="47"/>
      <c r="DP975" s="47"/>
      <c r="DQ975" s="47"/>
    </row>
    <row r="976">
      <c r="CU976" s="47"/>
      <c r="CV976" s="47"/>
      <c r="CW976" s="47"/>
      <c r="CX976" s="47"/>
      <c r="CY976" s="47"/>
      <c r="DD976" s="47"/>
      <c r="DE976" s="47"/>
      <c r="DF976" s="47"/>
      <c r="DG976" s="47"/>
      <c r="DH976" s="47"/>
      <c r="DL976" s="47"/>
      <c r="DM976" s="47"/>
      <c r="DN976" s="47"/>
      <c r="DO976" s="47"/>
      <c r="DP976" s="47"/>
      <c r="DQ976" s="47"/>
    </row>
    <row r="977">
      <c r="CU977" s="47"/>
      <c r="CV977" s="47"/>
      <c r="CW977" s="47"/>
      <c r="CX977" s="47"/>
      <c r="CY977" s="47"/>
      <c r="DD977" s="47"/>
      <c r="DE977" s="47"/>
      <c r="DF977" s="47"/>
      <c r="DG977" s="47"/>
      <c r="DH977" s="47"/>
      <c r="DL977" s="47"/>
      <c r="DM977" s="47"/>
      <c r="DN977" s="47"/>
      <c r="DO977" s="47"/>
      <c r="DP977" s="47"/>
      <c r="DQ977" s="47"/>
    </row>
    <row r="978">
      <c r="CU978" s="47"/>
      <c r="CV978" s="47"/>
      <c r="CW978" s="47"/>
      <c r="CX978" s="47"/>
      <c r="CY978" s="47"/>
      <c r="DD978" s="47"/>
      <c r="DE978" s="47"/>
      <c r="DF978" s="47"/>
      <c r="DG978" s="47"/>
      <c r="DH978" s="47"/>
      <c r="DL978" s="47"/>
      <c r="DM978" s="47"/>
      <c r="DN978" s="47"/>
      <c r="DO978" s="47"/>
      <c r="DP978" s="47"/>
      <c r="DQ978" s="47"/>
    </row>
    <row r="979">
      <c r="CU979" s="47"/>
      <c r="CV979" s="47"/>
      <c r="CW979" s="47"/>
      <c r="CX979" s="47"/>
      <c r="CY979" s="47"/>
      <c r="DD979" s="47"/>
      <c r="DE979" s="47"/>
      <c r="DF979" s="47"/>
      <c r="DG979" s="47"/>
      <c r="DH979" s="47"/>
      <c r="DL979" s="47"/>
      <c r="DM979" s="47"/>
      <c r="DN979" s="47"/>
      <c r="DO979" s="47"/>
      <c r="DP979" s="47"/>
      <c r="DQ979" s="47"/>
    </row>
    <row r="980">
      <c r="CU980" s="47"/>
      <c r="CV980" s="47"/>
      <c r="CW980" s="47"/>
      <c r="CX980" s="47"/>
      <c r="CY980" s="47"/>
      <c r="DD980" s="47"/>
      <c r="DE980" s="47"/>
      <c r="DF980" s="47"/>
      <c r="DG980" s="47"/>
      <c r="DH980" s="47"/>
      <c r="DL980" s="47"/>
      <c r="DM980" s="47"/>
      <c r="DN980" s="47"/>
      <c r="DO980" s="47"/>
      <c r="DP980" s="47"/>
      <c r="DQ980" s="47"/>
    </row>
    <row r="981">
      <c r="CU981" s="47"/>
      <c r="CV981" s="47"/>
      <c r="CW981" s="47"/>
      <c r="CX981" s="47"/>
      <c r="CY981" s="47"/>
      <c r="DD981" s="47"/>
      <c r="DE981" s="47"/>
      <c r="DF981" s="47"/>
      <c r="DG981" s="47"/>
      <c r="DH981" s="47"/>
      <c r="DL981" s="47"/>
      <c r="DM981" s="47"/>
      <c r="DN981" s="47"/>
      <c r="DO981" s="47"/>
      <c r="DP981" s="47"/>
      <c r="DQ981" s="47"/>
    </row>
    <row r="982">
      <c r="CU982" s="47"/>
      <c r="CV982" s="47"/>
      <c r="CW982" s="47"/>
      <c r="CX982" s="47"/>
      <c r="CY982" s="47"/>
      <c r="DD982" s="47"/>
      <c r="DE982" s="47"/>
      <c r="DF982" s="47"/>
      <c r="DG982" s="47"/>
      <c r="DH982" s="47"/>
      <c r="DL982" s="47"/>
      <c r="DM982" s="47"/>
      <c r="DN982" s="47"/>
      <c r="DO982" s="47"/>
      <c r="DP982" s="47"/>
      <c r="DQ982" s="47"/>
    </row>
    <row r="983">
      <c r="CU983" s="47"/>
      <c r="CV983" s="47"/>
      <c r="CW983" s="47"/>
      <c r="CX983" s="47"/>
      <c r="CY983" s="47"/>
      <c r="DD983" s="47"/>
      <c r="DE983" s="47"/>
      <c r="DF983" s="47"/>
      <c r="DG983" s="47"/>
      <c r="DH983" s="47"/>
      <c r="DL983" s="47"/>
      <c r="DM983" s="47"/>
      <c r="DN983" s="47"/>
      <c r="DO983" s="47"/>
      <c r="DP983" s="47"/>
      <c r="DQ983" s="47"/>
    </row>
    <row r="984">
      <c r="CU984" s="47"/>
      <c r="CV984" s="47"/>
      <c r="CW984" s="47"/>
      <c r="CX984" s="47"/>
      <c r="CY984" s="47"/>
      <c r="DD984" s="47"/>
      <c r="DE984" s="47"/>
      <c r="DF984" s="47"/>
      <c r="DG984" s="47"/>
      <c r="DH984" s="47"/>
      <c r="DL984" s="47"/>
      <c r="DM984" s="47"/>
      <c r="DN984" s="47"/>
      <c r="DO984" s="47"/>
      <c r="DP984" s="47"/>
      <c r="DQ984" s="47"/>
    </row>
    <row r="985">
      <c r="CU985" s="47"/>
      <c r="CV985" s="47"/>
      <c r="CW985" s="47"/>
      <c r="CX985" s="47"/>
      <c r="CY985" s="47"/>
      <c r="DD985" s="47"/>
      <c r="DE985" s="47"/>
      <c r="DF985" s="47"/>
      <c r="DG985" s="47"/>
      <c r="DH985" s="47"/>
      <c r="DL985" s="47"/>
      <c r="DM985" s="47"/>
      <c r="DN985" s="47"/>
      <c r="DO985" s="47"/>
      <c r="DP985" s="47"/>
      <c r="DQ985" s="47"/>
    </row>
    <row r="986">
      <c r="CU986" s="47"/>
      <c r="CV986" s="47"/>
      <c r="CW986" s="47"/>
      <c r="CX986" s="47"/>
      <c r="CY986" s="47"/>
      <c r="DD986" s="47"/>
      <c r="DE986" s="47"/>
      <c r="DF986" s="47"/>
      <c r="DG986" s="47"/>
      <c r="DH986" s="47"/>
      <c r="DL986" s="47"/>
      <c r="DM986" s="47"/>
      <c r="DN986" s="47"/>
      <c r="DO986" s="47"/>
      <c r="DP986" s="47"/>
      <c r="DQ986" s="47"/>
    </row>
    <row r="987">
      <c r="CU987" s="47"/>
      <c r="CV987" s="47"/>
      <c r="CW987" s="47"/>
      <c r="CX987" s="47"/>
      <c r="CY987" s="47"/>
      <c r="DD987" s="47"/>
      <c r="DE987" s="47"/>
      <c r="DF987" s="47"/>
      <c r="DG987" s="47"/>
      <c r="DH987" s="47"/>
      <c r="DL987" s="47"/>
      <c r="DM987" s="47"/>
      <c r="DN987" s="47"/>
      <c r="DO987" s="47"/>
      <c r="DP987" s="47"/>
      <c r="DQ987" s="47"/>
    </row>
    <row r="988">
      <c r="CU988" s="47"/>
      <c r="CV988" s="47"/>
      <c r="CW988" s="47"/>
      <c r="CX988" s="47"/>
      <c r="CY988" s="47"/>
      <c r="DD988" s="47"/>
      <c r="DE988" s="47"/>
      <c r="DF988" s="47"/>
      <c r="DG988" s="47"/>
      <c r="DH988" s="47"/>
      <c r="DL988" s="47"/>
      <c r="DM988" s="47"/>
      <c r="DN988" s="47"/>
      <c r="DO988" s="47"/>
      <c r="DP988" s="47"/>
      <c r="DQ988" s="47"/>
    </row>
    <row r="989">
      <c r="CU989" s="47"/>
      <c r="CV989" s="47"/>
      <c r="CW989" s="47"/>
      <c r="CX989" s="47"/>
      <c r="CY989" s="47"/>
      <c r="DD989" s="47"/>
      <c r="DE989" s="47"/>
      <c r="DF989" s="47"/>
      <c r="DG989" s="47"/>
      <c r="DH989" s="47"/>
      <c r="DL989" s="47"/>
      <c r="DM989" s="47"/>
      <c r="DN989" s="47"/>
      <c r="DO989" s="47"/>
      <c r="DP989" s="47"/>
      <c r="DQ989" s="47"/>
    </row>
    <row r="990">
      <c r="CU990" s="47"/>
      <c r="CV990" s="47"/>
      <c r="CW990" s="47"/>
      <c r="CX990" s="47"/>
      <c r="CY990" s="47"/>
      <c r="DD990" s="47"/>
      <c r="DE990" s="47"/>
      <c r="DF990" s="47"/>
      <c r="DG990" s="47"/>
      <c r="DH990" s="47"/>
      <c r="DL990" s="47"/>
      <c r="DM990" s="47"/>
      <c r="DN990" s="47"/>
      <c r="DO990" s="47"/>
      <c r="DP990" s="47"/>
      <c r="DQ990" s="47"/>
    </row>
    <row r="991">
      <c r="CU991" s="47"/>
      <c r="CV991" s="47"/>
      <c r="CW991" s="47"/>
      <c r="CX991" s="47"/>
      <c r="CY991" s="47"/>
      <c r="DD991" s="47"/>
      <c r="DE991" s="47"/>
      <c r="DF991" s="47"/>
      <c r="DG991" s="47"/>
      <c r="DH991" s="47"/>
      <c r="DL991" s="47"/>
      <c r="DM991" s="47"/>
      <c r="DN991" s="47"/>
      <c r="DO991" s="47"/>
      <c r="DP991" s="47"/>
      <c r="DQ991" s="47"/>
    </row>
    <row r="992">
      <c r="CU992" s="47"/>
      <c r="CV992" s="47"/>
      <c r="CW992" s="47"/>
      <c r="CX992" s="47"/>
      <c r="CY992" s="47"/>
      <c r="DD992" s="47"/>
      <c r="DE992" s="47"/>
      <c r="DF992" s="47"/>
      <c r="DG992" s="47"/>
      <c r="DH992" s="47"/>
      <c r="DL992" s="47"/>
      <c r="DM992" s="47"/>
      <c r="DN992" s="47"/>
      <c r="DO992" s="47"/>
      <c r="DP992" s="47"/>
      <c r="DQ992" s="47"/>
    </row>
    <row r="993">
      <c r="CU993" s="47"/>
      <c r="CV993" s="47"/>
      <c r="CW993" s="47"/>
      <c r="CX993" s="47"/>
      <c r="CY993" s="47"/>
      <c r="DD993" s="47"/>
      <c r="DE993" s="47"/>
      <c r="DF993" s="47"/>
      <c r="DG993" s="47"/>
      <c r="DH993" s="47"/>
      <c r="DL993" s="47"/>
      <c r="DM993" s="47"/>
      <c r="DN993" s="47"/>
      <c r="DO993" s="47"/>
      <c r="DP993" s="47"/>
      <c r="DQ993" s="47"/>
    </row>
    <row r="994">
      <c r="CU994" s="47"/>
      <c r="CV994" s="47"/>
      <c r="CW994" s="47"/>
      <c r="CX994" s="47"/>
      <c r="CY994" s="47"/>
      <c r="DD994" s="47"/>
      <c r="DE994" s="47"/>
      <c r="DF994" s="47"/>
      <c r="DG994" s="47"/>
      <c r="DH994" s="47"/>
      <c r="DL994" s="47"/>
      <c r="DM994" s="47"/>
      <c r="DN994" s="47"/>
      <c r="DO994" s="47"/>
      <c r="DP994" s="47"/>
      <c r="DQ994" s="47"/>
    </row>
    <row r="995">
      <c r="CU995" s="47"/>
      <c r="CV995" s="47"/>
      <c r="CW995" s="47"/>
      <c r="CX995" s="47"/>
      <c r="CY995" s="47"/>
      <c r="DD995" s="47"/>
      <c r="DE995" s="47"/>
      <c r="DF995" s="47"/>
      <c r="DG995" s="47"/>
      <c r="DH995" s="47"/>
      <c r="DL995" s="47"/>
      <c r="DM995" s="47"/>
      <c r="DN995" s="47"/>
      <c r="DO995" s="47"/>
      <c r="DP995" s="47"/>
      <c r="DQ995" s="47"/>
    </row>
    <row r="996">
      <c r="CU996" s="47"/>
      <c r="CV996" s="47"/>
      <c r="CW996" s="47"/>
      <c r="CX996" s="47"/>
      <c r="CY996" s="47"/>
      <c r="DD996" s="47"/>
      <c r="DE996" s="47"/>
      <c r="DF996" s="47"/>
      <c r="DG996" s="47"/>
      <c r="DH996" s="47"/>
      <c r="DL996" s="47"/>
      <c r="DM996" s="47"/>
      <c r="DN996" s="47"/>
      <c r="DO996" s="47"/>
      <c r="DP996" s="47"/>
      <c r="DQ996" s="47"/>
    </row>
    <row r="997">
      <c r="CU997" s="47"/>
      <c r="CV997" s="47"/>
      <c r="CW997" s="47"/>
      <c r="CX997" s="47"/>
      <c r="CY997" s="47"/>
      <c r="DD997" s="47"/>
      <c r="DE997" s="47"/>
      <c r="DF997" s="47"/>
      <c r="DG997" s="47"/>
      <c r="DH997" s="47"/>
      <c r="DL997" s="47"/>
      <c r="DM997" s="47"/>
      <c r="DN997" s="47"/>
      <c r="DO997" s="47"/>
      <c r="DP997" s="47"/>
      <c r="DQ997" s="47"/>
    </row>
    <row r="998">
      <c r="CU998" s="47"/>
      <c r="CV998" s="47"/>
      <c r="CW998" s="47"/>
      <c r="CX998" s="47"/>
      <c r="CY998" s="47"/>
      <c r="DD998" s="47"/>
      <c r="DE998" s="47"/>
      <c r="DF998" s="47"/>
      <c r="DG998" s="47"/>
      <c r="DH998" s="47"/>
      <c r="DL998" s="47"/>
      <c r="DM998" s="47"/>
      <c r="DN998" s="47"/>
      <c r="DO998" s="47"/>
      <c r="DP998" s="47"/>
      <c r="DQ998" s="47"/>
    </row>
    <row r="999">
      <c r="CU999" s="47"/>
      <c r="CV999" s="47"/>
      <c r="CW999" s="47"/>
      <c r="CX999" s="47"/>
      <c r="CY999" s="47"/>
      <c r="DD999" s="47"/>
      <c r="DE999" s="47"/>
      <c r="DF999" s="47"/>
      <c r="DG999" s="47"/>
      <c r="DH999" s="47"/>
      <c r="DL999" s="47"/>
      <c r="DM999" s="47"/>
      <c r="DN999" s="47"/>
      <c r="DO999" s="47"/>
      <c r="DP999" s="47"/>
      <c r="DQ999" s="47"/>
    </row>
    <row r="1000">
      <c r="CU1000" s="47"/>
      <c r="CV1000" s="47"/>
      <c r="CW1000" s="47"/>
      <c r="CX1000" s="47"/>
      <c r="CY1000" s="47"/>
      <c r="DD1000" s="47"/>
      <c r="DE1000" s="47"/>
      <c r="DF1000" s="47"/>
      <c r="DG1000" s="47"/>
      <c r="DH1000" s="47"/>
      <c r="DL1000" s="47"/>
      <c r="DM1000" s="47"/>
      <c r="DN1000" s="47"/>
      <c r="DO1000" s="47"/>
      <c r="DP1000" s="47"/>
      <c r="DQ1000" s="47"/>
    </row>
    <row r="1001">
      <c r="CU1001" s="47"/>
      <c r="CV1001" s="47"/>
      <c r="CW1001" s="47"/>
      <c r="CX1001" s="47"/>
      <c r="CY1001" s="47"/>
      <c r="DD1001" s="47"/>
      <c r="DE1001" s="47"/>
      <c r="DF1001" s="47"/>
      <c r="DG1001" s="47"/>
      <c r="DH1001" s="47"/>
      <c r="DL1001" s="47"/>
      <c r="DM1001" s="47"/>
      <c r="DN1001" s="47"/>
      <c r="DO1001" s="47"/>
      <c r="DP1001" s="47"/>
      <c r="DQ1001" s="47"/>
    </row>
    <row r="1002">
      <c r="CU1002" s="47"/>
      <c r="CV1002" s="47"/>
      <c r="CW1002" s="47"/>
      <c r="CX1002" s="47"/>
      <c r="CY1002" s="47"/>
      <c r="DD1002" s="47"/>
      <c r="DE1002" s="47"/>
      <c r="DF1002" s="47"/>
      <c r="DG1002" s="47"/>
      <c r="DH1002" s="47"/>
      <c r="DL1002" s="47"/>
      <c r="DM1002" s="47"/>
      <c r="DN1002" s="47"/>
      <c r="DO1002" s="47"/>
      <c r="DP1002" s="47"/>
      <c r="DQ1002" s="47"/>
    </row>
    <row r="1003">
      <c r="CU1003" s="47"/>
      <c r="CV1003" s="47"/>
      <c r="CW1003" s="47"/>
      <c r="CX1003" s="47"/>
      <c r="CY1003" s="47"/>
      <c r="DD1003" s="47"/>
      <c r="DE1003" s="47"/>
      <c r="DF1003" s="47"/>
      <c r="DG1003" s="47"/>
      <c r="DH1003" s="47"/>
      <c r="DL1003" s="47"/>
      <c r="DM1003" s="47"/>
      <c r="DN1003" s="47"/>
      <c r="DO1003" s="47"/>
      <c r="DP1003" s="47"/>
      <c r="DQ1003" s="47"/>
    </row>
    <row r="1004">
      <c r="CU1004" s="47"/>
      <c r="CV1004" s="47"/>
      <c r="CW1004" s="47"/>
      <c r="CX1004" s="47"/>
      <c r="CY1004" s="47"/>
      <c r="DD1004" s="47"/>
      <c r="DE1004" s="47"/>
      <c r="DF1004" s="47"/>
      <c r="DG1004" s="47"/>
      <c r="DH1004" s="47"/>
      <c r="DL1004" s="47"/>
      <c r="DM1004" s="47"/>
      <c r="DN1004" s="47"/>
      <c r="DO1004" s="47"/>
      <c r="DP1004" s="47"/>
      <c r="DQ1004" s="47"/>
    </row>
  </sheetData>
  <mergeCells count="6">
    <mergeCell ref="C1:X1"/>
    <mergeCell ref="Y1:AO1"/>
    <mergeCell ref="AP1:BN1"/>
    <mergeCell ref="CT1:CY1"/>
    <mergeCell ref="DC1:DH1"/>
    <mergeCell ref="DL1:DQ1"/>
  </mergeCells>
  <conditionalFormatting sqref="B3:B8 B10:B12 B14:B19 B21:B27 B29:B33">
    <cfRule type="cellIs" dxfId="2" priority="1" operator="greaterThanOrEqual">
      <formula>10</formula>
    </cfRule>
  </conditionalFormatting>
  <conditionalFormatting sqref="B3:B8 B10:B12 B14:B19 B21:B27 B29:B33">
    <cfRule type="cellIs" dxfId="3" priority="2" operator="between">
      <formula>10</formula>
      <formula>5</formula>
    </cfRule>
  </conditionalFormatting>
  <conditionalFormatting sqref="B3:B8 B10:B12 B14:B19 B21:B27 B29:B33">
    <cfRule type="cellIs" dxfId="4" priority="3" operator="lessThan">
      <formula>5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75"/>
    <col customWidth="1" min="3" max="3" width="3.0"/>
    <col customWidth="1" min="4" max="9" width="1.88"/>
    <col customWidth="1" min="10" max="10" width="2.88"/>
    <col customWidth="1" min="11" max="11" width="2.75"/>
    <col customWidth="1" min="12" max="23" width="2.88"/>
    <col customWidth="1" min="24" max="25" width="3.0"/>
    <col customWidth="1" min="26" max="33" width="1.88"/>
    <col customWidth="1" min="34" max="34" width="2.88"/>
    <col customWidth="1" min="35" max="35" width="2.75"/>
    <col customWidth="1" min="36" max="40" width="2.88"/>
    <col customWidth="1" min="41" max="42" width="3.0"/>
    <col customWidth="1" min="43" max="50" width="1.88"/>
    <col customWidth="1" min="51" max="51" width="2.88"/>
    <col customWidth="1" min="52" max="52" width="2.75"/>
    <col customWidth="1" min="53" max="65" width="2.88"/>
    <col customWidth="1" min="66" max="66" width="3.0"/>
    <col customWidth="1" min="69" max="95" width="3.0"/>
    <col customWidth="1" min="96" max="96" width="3.88"/>
    <col customWidth="1" min="97" max="97" width="6.13"/>
    <col customWidth="1" min="98" max="98" width="6.0"/>
    <col customWidth="1" min="99" max="101" width="6.13"/>
    <col customWidth="1" min="102" max="104" width="3.0"/>
    <col customWidth="1" min="105" max="105" width="4.63"/>
    <col customWidth="1" min="106" max="110" width="6.13"/>
    <col customWidth="1" min="111" max="113" width="3.0"/>
    <col customWidth="1" min="114" max="114" width="4.5"/>
    <col customWidth="1" min="115" max="116" width="6.13"/>
    <col customWidth="1" min="117" max="117" width="4.5"/>
    <col customWidth="1" min="118" max="119" width="6.13"/>
    <col customWidth="1" min="120" max="176" width="3.0"/>
  </cols>
  <sheetData>
    <row r="1">
      <c r="A1" s="18"/>
      <c r="B1" s="76"/>
      <c r="C1" s="77" t="s">
        <v>165</v>
      </c>
      <c r="X1" s="78"/>
      <c r="Y1" s="79" t="s">
        <v>8</v>
      </c>
      <c r="AO1" s="78"/>
      <c r="AP1" s="80" t="s">
        <v>166</v>
      </c>
      <c r="BN1" s="78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57"/>
      <c r="CS1" s="83" t="s">
        <v>165</v>
      </c>
      <c r="DA1" s="110" t="s">
        <v>8</v>
      </c>
      <c r="DB1" s="57"/>
      <c r="DC1" s="57"/>
      <c r="DD1" s="57"/>
      <c r="DE1" s="57"/>
      <c r="DF1" s="57"/>
      <c r="DI1" s="42" t="s">
        <v>166</v>
      </c>
      <c r="DJ1" s="57"/>
      <c r="DK1" s="57"/>
      <c r="DL1" s="57"/>
      <c r="DM1" s="57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</row>
    <row r="2">
      <c r="A2" s="81" t="s">
        <v>167</v>
      </c>
      <c r="B2" s="82" t="s">
        <v>168</v>
      </c>
      <c r="C2" s="83">
        <v>3.0</v>
      </c>
      <c r="D2" s="83">
        <v>4.0</v>
      </c>
      <c r="E2" s="83">
        <v>5.0</v>
      </c>
      <c r="F2" s="83">
        <v>6.0</v>
      </c>
      <c r="G2" s="83">
        <v>7.0</v>
      </c>
      <c r="H2" s="83">
        <v>8.0</v>
      </c>
      <c r="I2" s="83">
        <v>9.0</v>
      </c>
      <c r="J2" s="83">
        <v>10.0</v>
      </c>
      <c r="K2" s="83">
        <v>11.0</v>
      </c>
      <c r="L2" s="83">
        <v>12.0</v>
      </c>
      <c r="M2" s="83">
        <v>13.0</v>
      </c>
      <c r="N2" s="83">
        <v>14.0</v>
      </c>
      <c r="O2" s="83">
        <v>15.0</v>
      </c>
      <c r="P2" s="83">
        <v>16.0</v>
      </c>
      <c r="Q2" s="83">
        <v>17.0</v>
      </c>
      <c r="R2" s="83">
        <v>18.0</v>
      </c>
      <c r="S2" s="83">
        <v>19.0</v>
      </c>
      <c r="T2" s="83">
        <v>20.0</v>
      </c>
      <c r="U2" s="83">
        <v>21.0</v>
      </c>
      <c r="V2" s="83">
        <v>22.0</v>
      </c>
      <c r="W2" s="83">
        <v>23.0</v>
      </c>
      <c r="X2" s="84">
        <v>24.0</v>
      </c>
      <c r="Y2" s="83">
        <v>1.0</v>
      </c>
      <c r="Z2" s="83">
        <v>2.0</v>
      </c>
      <c r="AA2" s="83">
        <v>3.0</v>
      </c>
      <c r="AB2" s="83">
        <v>4.0</v>
      </c>
      <c r="AC2" s="83">
        <v>5.0</v>
      </c>
      <c r="AD2" s="83">
        <v>6.0</v>
      </c>
      <c r="AE2" s="83">
        <v>7.0</v>
      </c>
      <c r="AF2" s="83">
        <v>8.0</v>
      </c>
      <c r="AG2" s="83">
        <v>9.0</v>
      </c>
      <c r="AH2" s="83">
        <v>10.0</v>
      </c>
      <c r="AI2" s="83">
        <v>11.0</v>
      </c>
      <c r="AJ2" s="83">
        <v>13.0</v>
      </c>
      <c r="AK2" s="83">
        <v>14.0</v>
      </c>
      <c r="AL2" s="83">
        <v>15.0</v>
      </c>
      <c r="AM2" s="83">
        <v>16.0</v>
      </c>
      <c r="AN2" s="83">
        <v>17.0</v>
      </c>
      <c r="AO2" s="84">
        <v>18.0</v>
      </c>
      <c r="AP2" s="83">
        <v>1.0</v>
      </c>
      <c r="AQ2" s="83">
        <v>2.0</v>
      </c>
      <c r="AR2" s="83">
        <v>3.0</v>
      </c>
      <c r="AS2" s="83">
        <v>4.0</v>
      </c>
      <c r="AT2" s="83">
        <v>5.0</v>
      </c>
      <c r="AU2" s="83">
        <v>6.0</v>
      </c>
      <c r="AV2" s="83">
        <v>7.0</v>
      </c>
      <c r="AW2" s="83">
        <v>8.0</v>
      </c>
      <c r="AX2" s="83">
        <v>9.0</v>
      </c>
      <c r="AY2" s="83">
        <v>10.0</v>
      </c>
      <c r="AZ2" s="83">
        <v>11.0</v>
      </c>
      <c r="BA2" s="83">
        <v>12.0</v>
      </c>
      <c r="BB2" s="83">
        <v>13.0</v>
      </c>
      <c r="BC2" s="83">
        <v>14.0</v>
      </c>
      <c r="BD2" s="83">
        <v>15.0</v>
      </c>
      <c r="BE2" s="83">
        <v>16.0</v>
      </c>
      <c r="BF2" s="83">
        <v>17.0</v>
      </c>
      <c r="BG2" s="83">
        <v>18.0</v>
      </c>
      <c r="BH2" s="83">
        <v>19.0</v>
      </c>
      <c r="BI2" s="83">
        <v>20.0</v>
      </c>
      <c r="BJ2" s="83">
        <v>21.0</v>
      </c>
      <c r="BK2" s="83">
        <v>22.0</v>
      </c>
      <c r="BL2" s="83">
        <v>23.0</v>
      </c>
      <c r="BM2" s="83">
        <v>24.0</v>
      </c>
      <c r="BN2" s="84">
        <v>25.0</v>
      </c>
      <c r="BQ2" s="83"/>
      <c r="BR2" s="83"/>
      <c r="BS2" s="83" t="s">
        <v>165</v>
      </c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57"/>
      <c r="CS2" s="104" t="s">
        <v>167</v>
      </c>
      <c r="CT2" s="104" t="s">
        <v>169</v>
      </c>
      <c r="CU2" s="104" t="s">
        <v>175</v>
      </c>
      <c r="CV2" s="104" t="s">
        <v>170</v>
      </c>
      <c r="CW2" s="104" t="s">
        <v>171</v>
      </c>
      <c r="CX2" s="104" t="s">
        <v>172</v>
      </c>
      <c r="CY2" s="104" t="s">
        <v>173</v>
      </c>
      <c r="DA2" s="104" t="s">
        <v>167</v>
      </c>
      <c r="DB2" s="104" t="s">
        <v>169</v>
      </c>
      <c r="DC2" s="104" t="s">
        <v>175</v>
      </c>
      <c r="DD2" s="104" t="s">
        <v>170</v>
      </c>
      <c r="DE2" s="104" t="s">
        <v>171</v>
      </c>
      <c r="DF2" s="104" t="s">
        <v>172</v>
      </c>
      <c r="DG2" s="104" t="s">
        <v>173</v>
      </c>
      <c r="DI2" s="104" t="s">
        <v>167</v>
      </c>
      <c r="DJ2" s="104" t="s">
        <v>169</v>
      </c>
      <c r="DK2" s="104" t="s">
        <v>175</v>
      </c>
      <c r="DL2" s="104" t="s">
        <v>170</v>
      </c>
      <c r="DM2" s="104" t="s">
        <v>171</v>
      </c>
      <c r="DN2" s="104" t="s">
        <v>172</v>
      </c>
      <c r="DO2" s="104" t="s">
        <v>173</v>
      </c>
      <c r="DP2" s="83"/>
      <c r="DQ2" s="80"/>
      <c r="DR2" s="83"/>
      <c r="DS2" s="83" t="s">
        <v>165</v>
      </c>
      <c r="EA2" s="110" t="s">
        <v>8</v>
      </c>
      <c r="EB2" s="57"/>
      <c r="EC2" s="57"/>
      <c r="ED2" s="57"/>
      <c r="EE2" s="57"/>
      <c r="EF2" s="57"/>
      <c r="EI2" s="42" t="s">
        <v>166</v>
      </c>
      <c r="EJ2" s="57"/>
      <c r="EK2" s="57"/>
      <c r="EL2" s="57"/>
      <c r="EM2" s="57"/>
      <c r="EP2" s="83"/>
      <c r="EQ2" s="83"/>
      <c r="ER2" s="80"/>
      <c r="ES2" s="83"/>
      <c r="ET2" s="83" t="s">
        <v>165</v>
      </c>
      <c r="FA2" s="110" t="s">
        <v>8</v>
      </c>
      <c r="FB2" s="57"/>
      <c r="FC2" s="57"/>
      <c r="FD2" s="57"/>
      <c r="FE2" s="57"/>
      <c r="FH2" s="42" t="s">
        <v>166</v>
      </c>
      <c r="FI2" s="57"/>
      <c r="FJ2" s="57"/>
      <c r="FK2" s="57"/>
      <c r="FL2" s="57"/>
      <c r="FN2" s="83"/>
      <c r="FO2" s="83"/>
      <c r="FP2" s="83"/>
      <c r="FQ2" s="83"/>
      <c r="FR2" s="83"/>
      <c r="FS2" s="83"/>
      <c r="FT2" s="83"/>
    </row>
    <row r="3">
      <c r="A3" s="20" t="s">
        <v>67</v>
      </c>
      <c r="B3" s="85">
        <f t="shared" ref="B3:B5" si="1">sum(C3:BN3)</f>
        <v>13</v>
      </c>
      <c r="C3" s="42">
        <v>1.0</v>
      </c>
      <c r="N3" s="42">
        <v>1.0</v>
      </c>
      <c r="P3" s="42">
        <v>1.0</v>
      </c>
      <c r="X3" s="86"/>
      <c r="AB3" s="42">
        <v>1.0</v>
      </c>
      <c r="AO3" s="86"/>
      <c r="AP3" s="42">
        <v>1.0</v>
      </c>
      <c r="AQ3" s="42">
        <v>1.0</v>
      </c>
      <c r="AT3" s="42">
        <v>1.0</v>
      </c>
      <c r="AU3" s="42">
        <v>1.0</v>
      </c>
      <c r="AX3" s="42">
        <v>1.0</v>
      </c>
      <c r="BA3" s="42">
        <v>1.0</v>
      </c>
      <c r="BE3" s="42">
        <v>1.0</v>
      </c>
      <c r="BI3" s="42">
        <v>1.0</v>
      </c>
      <c r="BJ3" s="42">
        <v>1.0</v>
      </c>
      <c r="BN3" s="86"/>
      <c r="BR3" s="104" t="s">
        <v>167</v>
      </c>
      <c r="BS3" s="105">
        <v>3.0</v>
      </c>
      <c r="BT3" s="105">
        <v>4.0</v>
      </c>
      <c r="BU3" s="105">
        <v>5.0</v>
      </c>
      <c r="BV3" s="105">
        <v>6.0</v>
      </c>
      <c r="BW3" s="105">
        <v>7.0</v>
      </c>
      <c r="BX3" s="105">
        <v>8.0</v>
      </c>
      <c r="BY3" s="105">
        <v>9.0</v>
      </c>
      <c r="BZ3" s="105">
        <v>10.0</v>
      </c>
      <c r="CA3" s="105">
        <v>11.0</v>
      </c>
      <c r="CB3" s="105">
        <v>12.0</v>
      </c>
      <c r="CC3" s="105">
        <v>13.0</v>
      </c>
      <c r="CD3" s="105">
        <v>14.0</v>
      </c>
      <c r="CE3" s="105">
        <v>15.0</v>
      </c>
      <c r="CF3" s="105">
        <v>16.0</v>
      </c>
      <c r="CG3" s="105">
        <v>17.0</v>
      </c>
      <c r="CH3" s="105">
        <v>18.0</v>
      </c>
      <c r="CI3" s="105">
        <v>19.0</v>
      </c>
      <c r="CJ3" s="105">
        <v>20.0</v>
      </c>
      <c r="CK3" s="105">
        <v>21.0</v>
      </c>
      <c r="CL3" s="105">
        <v>22.0</v>
      </c>
      <c r="CM3" s="105">
        <v>23.0</v>
      </c>
      <c r="CN3" s="105">
        <v>24.0</v>
      </c>
      <c r="CS3" s="105">
        <v>3.0</v>
      </c>
      <c r="CT3" s="109">
        <v>0.0</v>
      </c>
      <c r="CU3" s="104">
        <v>0.0</v>
      </c>
      <c r="CV3" s="105">
        <v>1.0</v>
      </c>
      <c r="CW3" s="105">
        <v>0.0</v>
      </c>
      <c r="CX3" s="105">
        <v>0.0</v>
      </c>
      <c r="CY3" s="105">
        <v>0.0</v>
      </c>
      <c r="DA3" s="105">
        <v>1.0</v>
      </c>
      <c r="DB3" s="109">
        <v>1.0</v>
      </c>
      <c r="DC3" s="104">
        <v>0.0</v>
      </c>
      <c r="DD3" s="105">
        <v>0.0</v>
      </c>
      <c r="DE3" s="105">
        <v>0.0</v>
      </c>
      <c r="DF3" s="105">
        <v>0.0</v>
      </c>
      <c r="DG3" s="105">
        <v>0.0</v>
      </c>
      <c r="DI3" s="105">
        <v>1.0</v>
      </c>
      <c r="DJ3" s="104">
        <v>1.0</v>
      </c>
      <c r="DK3" s="104">
        <v>0.0</v>
      </c>
      <c r="DL3" s="105">
        <v>0.0</v>
      </c>
      <c r="DM3" s="105">
        <v>0.0</v>
      </c>
      <c r="DN3" s="105">
        <v>0.0</v>
      </c>
      <c r="DO3" s="105">
        <v>0.0</v>
      </c>
      <c r="DQ3" s="80"/>
      <c r="DS3" s="104" t="s">
        <v>167</v>
      </c>
      <c r="DT3" s="104" t="s">
        <v>169</v>
      </c>
      <c r="DU3" s="104" t="s">
        <v>175</v>
      </c>
      <c r="DV3" s="104" t="s">
        <v>170</v>
      </c>
      <c r="DW3" s="104" t="s">
        <v>171</v>
      </c>
      <c r="DX3" s="104" t="s">
        <v>172</v>
      </c>
      <c r="DY3" s="104" t="s">
        <v>173</v>
      </c>
      <c r="EA3" s="104" t="s">
        <v>167</v>
      </c>
      <c r="EB3" s="104" t="s">
        <v>169</v>
      </c>
      <c r="EC3" s="104" t="s">
        <v>175</v>
      </c>
      <c r="ED3" s="104" t="s">
        <v>170</v>
      </c>
      <c r="EE3" s="104" t="s">
        <v>171</v>
      </c>
      <c r="EF3" s="104" t="s">
        <v>172</v>
      </c>
      <c r="EG3" s="104" t="s">
        <v>173</v>
      </c>
      <c r="EI3" s="104" t="s">
        <v>167</v>
      </c>
      <c r="EJ3" s="104" t="s">
        <v>169</v>
      </c>
      <c r="EK3" s="104" t="s">
        <v>175</v>
      </c>
      <c r="EL3" s="104" t="s">
        <v>170</v>
      </c>
      <c r="EM3" s="104" t="s">
        <v>171</v>
      </c>
      <c r="EN3" s="104" t="s">
        <v>172</v>
      </c>
      <c r="EO3" s="104" t="s">
        <v>173</v>
      </c>
      <c r="ER3" s="80"/>
      <c r="ET3" s="104" t="s">
        <v>167</v>
      </c>
      <c r="EU3" s="104" t="s">
        <v>169</v>
      </c>
      <c r="EV3" s="104" t="s">
        <v>175</v>
      </c>
      <c r="EW3" s="104" t="s">
        <v>170</v>
      </c>
      <c r="EX3" s="104" t="s">
        <v>171</v>
      </c>
      <c r="EY3" s="104" t="s">
        <v>173</v>
      </c>
      <c r="FA3" s="104" t="s">
        <v>167</v>
      </c>
      <c r="FB3" s="104" t="s">
        <v>169</v>
      </c>
      <c r="FC3" s="104" t="s">
        <v>175</v>
      </c>
      <c r="FD3" s="104" t="s">
        <v>170</v>
      </c>
      <c r="FE3" s="104" t="s">
        <v>171</v>
      </c>
      <c r="FF3" s="104" t="s">
        <v>173</v>
      </c>
      <c r="FH3" s="104" t="s">
        <v>167</v>
      </c>
      <c r="FI3" s="104" t="s">
        <v>169</v>
      </c>
      <c r="FJ3" s="104" t="s">
        <v>175</v>
      </c>
      <c r="FK3" s="104" t="s">
        <v>170</v>
      </c>
      <c r="FL3" s="104" t="s">
        <v>171</v>
      </c>
      <c r="FM3" s="104" t="s">
        <v>173</v>
      </c>
    </row>
    <row r="4">
      <c r="A4" s="20" t="s">
        <v>70</v>
      </c>
      <c r="B4" s="85">
        <f t="shared" si="1"/>
        <v>18</v>
      </c>
      <c r="G4" s="42">
        <v>1.0</v>
      </c>
      <c r="I4" s="42">
        <v>1.0</v>
      </c>
      <c r="S4" s="42">
        <v>1.0</v>
      </c>
      <c r="V4" s="42">
        <v>1.0</v>
      </c>
      <c r="X4" s="87">
        <v>1.0</v>
      </c>
      <c r="Y4" s="42">
        <v>1.0</v>
      </c>
      <c r="Z4" s="42">
        <v>1.0</v>
      </c>
      <c r="AC4" s="42">
        <v>1.0</v>
      </c>
      <c r="AO4" s="86"/>
      <c r="AP4" s="42">
        <v>1.0</v>
      </c>
      <c r="AR4" s="42">
        <v>1.0</v>
      </c>
      <c r="AS4" s="42">
        <v>1.0</v>
      </c>
      <c r="AY4" s="42">
        <v>1.0</v>
      </c>
      <c r="AZ4" s="42">
        <v>1.0</v>
      </c>
      <c r="BE4" s="42">
        <v>1.0</v>
      </c>
      <c r="BF4" s="42">
        <v>1.0</v>
      </c>
      <c r="BG4" s="42">
        <v>1.0</v>
      </c>
      <c r="BJ4" s="42">
        <v>1.0</v>
      </c>
      <c r="BK4" s="42">
        <v>1.0</v>
      </c>
      <c r="BN4" s="86"/>
      <c r="BR4" s="104" t="s">
        <v>169</v>
      </c>
      <c r="BS4" s="109">
        <v>0.0</v>
      </c>
      <c r="BT4" s="109">
        <v>0.0</v>
      </c>
      <c r="BU4" s="109">
        <v>0.0</v>
      </c>
      <c r="BV4" s="104">
        <v>0.0</v>
      </c>
      <c r="BW4" s="109">
        <v>0.0</v>
      </c>
      <c r="BX4" s="109">
        <v>0.0</v>
      </c>
      <c r="BY4" s="109">
        <v>0.0</v>
      </c>
      <c r="BZ4" s="109">
        <v>0.0</v>
      </c>
      <c r="CA4" s="109">
        <v>0.0</v>
      </c>
      <c r="CB4" s="109">
        <v>0.0</v>
      </c>
      <c r="CC4" s="109">
        <v>0.0</v>
      </c>
      <c r="CD4" s="109">
        <v>1.0</v>
      </c>
      <c r="CE4" s="109">
        <v>0.0</v>
      </c>
      <c r="CF4" s="109">
        <v>1.0</v>
      </c>
      <c r="CG4" s="109">
        <v>0.0</v>
      </c>
      <c r="CH4" s="109">
        <v>0.0</v>
      </c>
      <c r="CI4" s="109">
        <v>1.0</v>
      </c>
      <c r="CJ4" s="109">
        <v>0.0</v>
      </c>
      <c r="CK4" s="109">
        <v>0.0</v>
      </c>
      <c r="CL4" s="109">
        <v>1.0</v>
      </c>
      <c r="CM4" s="109">
        <v>0.0</v>
      </c>
      <c r="CN4" s="109">
        <v>1.0</v>
      </c>
      <c r="CO4" s="48">
        <f t="shared" ref="CO4:CO9" si="2">SUM(BS4:CN4)</f>
        <v>5</v>
      </c>
      <c r="CS4" s="105">
        <v>4.0</v>
      </c>
      <c r="CT4" s="109">
        <v>0.0</v>
      </c>
      <c r="CU4" s="104">
        <v>0.0</v>
      </c>
      <c r="CV4" s="105">
        <v>0.0</v>
      </c>
      <c r="CW4" s="105">
        <v>1.0</v>
      </c>
      <c r="CX4" s="105">
        <v>0.0</v>
      </c>
      <c r="CY4" s="105">
        <v>0.0</v>
      </c>
      <c r="DA4" s="105">
        <v>2.0</v>
      </c>
      <c r="DB4" s="109">
        <v>1.0</v>
      </c>
      <c r="DC4" s="104">
        <v>0.0</v>
      </c>
      <c r="DD4" s="105">
        <v>0.0</v>
      </c>
      <c r="DE4" s="105">
        <v>0.0</v>
      </c>
      <c r="DF4" s="105">
        <v>0.0</v>
      </c>
      <c r="DG4" s="105">
        <v>0.0</v>
      </c>
      <c r="DI4" s="105">
        <v>2.0</v>
      </c>
      <c r="DJ4" s="109">
        <v>1.0</v>
      </c>
      <c r="DK4" s="104">
        <v>0.0</v>
      </c>
      <c r="DL4" s="105">
        <v>0.0</v>
      </c>
      <c r="DM4" s="105">
        <v>0.0</v>
      </c>
      <c r="DN4" s="105">
        <v>0.0</v>
      </c>
      <c r="DO4" s="105">
        <v>0.0</v>
      </c>
      <c r="DQ4" s="80"/>
      <c r="DS4" s="105">
        <v>3.0</v>
      </c>
      <c r="DT4" s="104">
        <v>1.0</v>
      </c>
      <c r="DU4" s="104">
        <v>0.0</v>
      </c>
      <c r="DV4" s="105">
        <v>1.0</v>
      </c>
      <c r="DW4" s="105">
        <v>0.0</v>
      </c>
      <c r="DX4" s="105">
        <v>0.0</v>
      </c>
      <c r="DY4" s="105">
        <v>0.0</v>
      </c>
      <c r="EA4" s="105">
        <v>1.0</v>
      </c>
      <c r="EB4" s="109">
        <v>1.0</v>
      </c>
      <c r="EC4" s="104">
        <v>0.0</v>
      </c>
      <c r="ED4" s="105">
        <v>0.0</v>
      </c>
      <c r="EE4" s="105">
        <v>0.0</v>
      </c>
      <c r="EF4" s="105">
        <v>0.0</v>
      </c>
      <c r="EG4" s="105">
        <v>0.0</v>
      </c>
      <c r="EI4" s="105">
        <v>1.0</v>
      </c>
      <c r="EJ4" s="104">
        <v>1.0</v>
      </c>
      <c r="EK4" s="104">
        <v>0.0</v>
      </c>
      <c r="EL4" s="105">
        <v>0.0</v>
      </c>
      <c r="EM4" s="105">
        <v>0.0</v>
      </c>
      <c r="EN4" s="105">
        <v>0.0</v>
      </c>
      <c r="EO4" s="105">
        <v>0.0</v>
      </c>
      <c r="ER4" s="80"/>
      <c r="ET4" s="105">
        <v>3.0</v>
      </c>
      <c r="EU4" s="104">
        <v>1.0</v>
      </c>
      <c r="EV4" s="104">
        <v>0.0</v>
      </c>
      <c r="EW4" s="105">
        <v>1.0</v>
      </c>
      <c r="EX4" s="105">
        <v>0.0</v>
      </c>
      <c r="EY4" s="105">
        <v>0.0</v>
      </c>
      <c r="FA4" s="105">
        <v>1.0</v>
      </c>
      <c r="FB4" s="109">
        <v>1.0</v>
      </c>
      <c r="FC4" s="104">
        <v>0.0</v>
      </c>
      <c r="FD4" s="105">
        <v>0.0</v>
      </c>
      <c r="FE4" s="105">
        <v>0.0</v>
      </c>
      <c r="FF4" s="105">
        <v>0.0</v>
      </c>
      <c r="FH4" s="105">
        <v>1.0</v>
      </c>
      <c r="FI4" s="104">
        <v>1.0</v>
      </c>
      <c r="FJ4" s="104">
        <v>0.0</v>
      </c>
      <c r="FK4" s="105">
        <v>0.0</v>
      </c>
      <c r="FL4" s="105">
        <v>0.0</v>
      </c>
      <c r="FM4" s="105">
        <v>0.0</v>
      </c>
    </row>
    <row r="5">
      <c r="A5" s="20" t="s">
        <v>73</v>
      </c>
      <c r="B5" s="85">
        <f t="shared" si="1"/>
        <v>1</v>
      </c>
      <c r="X5" s="86"/>
      <c r="AA5" s="42">
        <v>1.0</v>
      </c>
      <c r="AO5" s="86"/>
      <c r="BN5" s="86"/>
      <c r="BR5" s="104" t="s">
        <v>175</v>
      </c>
      <c r="BS5" s="104">
        <v>0.0</v>
      </c>
      <c r="BT5" s="104">
        <v>0.0</v>
      </c>
      <c r="BU5" s="104">
        <v>0.0</v>
      </c>
      <c r="BV5" s="104">
        <v>1.0</v>
      </c>
      <c r="BW5" s="104">
        <v>0.0</v>
      </c>
      <c r="BX5" s="104">
        <v>0.0</v>
      </c>
      <c r="BY5" s="104">
        <v>0.0</v>
      </c>
      <c r="BZ5" s="104">
        <v>0.0</v>
      </c>
      <c r="CA5" s="104">
        <v>0.0</v>
      </c>
      <c r="CB5" s="104">
        <v>0.0</v>
      </c>
      <c r="CC5" s="104">
        <v>0.0</v>
      </c>
      <c r="CD5" s="104">
        <v>0.0</v>
      </c>
      <c r="CE5" s="104">
        <v>0.0</v>
      </c>
      <c r="CF5" s="104">
        <v>0.0</v>
      </c>
      <c r="CG5" s="104">
        <v>0.0</v>
      </c>
      <c r="CH5" s="104">
        <v>0.0</v>
      </c>
      <c r="CI5" s="104">
        <v>0.0</v>
      </c>
      <c r="CJ5" s="104">
        <v>0.0</v>
      </c>
      <c r="CK5" s="104">
        <v>0.0</v>
      </c>
      <c r="CL5" s="104">
        <v>0.0</v>
      </c>
      <c r="CM5" s="104">
        <v>0.0</v>
      </c>
      <c r="CN5" s="104">
        <v>0.0</v>
      </c>
      <c r="CO5" s="48">
        <f t="shared" si="2"/>
        <v>1</v>
      </c>
      <c r="CS5" s="105">
        <v>5.0</v>
      </c>
      <c r="CT5" s="109">
        <v>0.0</v>
      </c>
      <c r="CU5" s="104">
        <v>0.0</v>
      </c>
      <c r="CV5" s="105">
        <v>0.0</v>
      </c>
      <c r="CW5" s="105">
        <v>1.0</v>
      </c>
      <c r="CX5" s="105">
        <v>0.0</v>
      </c>
      <c r="CY5" s="105">
        <v>0.0</v>
      </c>
      <c r="DA5" s="105">
        <v>3.0</v>
      </c>
      <c r="DB5" s="109">
        <v>1.0</v>
      </c>
      <c r="DC5" s="104">
        <v>0.0</v>
      </c>
      <c r="DD5" s="105">
        <v>0.0</v>
      </c>
      <c r="DE5" s="105">
        <v>0.0</v>
      </c>
      <c r="DF5" s="105">
        <v>0.0</v>
      </c>
      <c r="DG5" s="105">
        <v>0.0</v>
      </c>
      <c r="DI5" s="105">
        <v>3.0</v>
      </c>
      <c r="DJ5" s="109">
        <v>1.0</v>
      </c>
      <c r="DK5" s="104">
        <v>0.0</v>
      </c>
      <c r="DL5" s="105">
        <v>0.0</v>
      </c>
      <c r="DM5" s="105">
        <v>0.0</v>
      </c>
      <c r="DN5" s="105">
        <v>0.0</v>
      </c>
      <c r="DO5" s="105">
        <v>0.0</v>
      </c>
      <c r="DQ5" s="80"/>
      <c r="DS5" s="105">
        <v>4.0</v>
      </c>
      <c r="DT5" s="109">
        <v>0.0</v>
      </c>
      <c r="DU5" s="104">
        <v>0.0</v>
      </c>
      <c r="DV5" s="105">
        <v>0.0</v>
      </c>
      <c r="DW5" s="105">
        <v>1.0</v>
      </c>
      <c r="DX5" s="105">
        <v>0.0</v>
      </c>
      <c r="DY5" s="105">
        <v>0.0</v>
      </c>
      <c r="EA5" s="105">
        <v>2.0</v>
      </c>
      <c r="EB5" s="109">
        <v>1.0</v>
      </c>
      <c r="EC5" s="104">
        <v>0.0</v>
      </c>
      <c r="ED5" s="105">
        <v>0.0</v>
      </c>
      <c r="EE5" s="105">
        <v>0.0</v>
      </c>
      <c r="EF5" s="105">
        <v>0.0</v>
      </c>
      <c r="EG5" s="105">
        <v>0.0</v>
      </c>
      <c r="EI5" s="105">
        <v>2.0</v>
      </c>
      <c r="EJ5" s="109">
        <v>1.0</v>
      </c>
      <c r="EK5" s="104">
        <v>0.0</v>
      </c>
      <c r="EL5" s="105">
        <v>0.0</v>
      </c>
      <c r="EM5" s="105">
        <v>0.0</v>
      </c>
      <c r="EN5" s="105">
        <v>0.0</v>
      </c>
      <c r="EO5" s="105">
        <v>0.0</v>
      </c>
      <c r="ER5" s="80"/>
      <c r="ET5" s="105">
        <v>4.0</v>
      </c>
      <c r="EU5" s="109">
        <v>0.0</v>
      </c>
      <c r="EV5" s="104">
        <v>0.0</v>
      </c>
      <c r="EW5" s="105">
        <v>0.0</v>
      </c>
      <c r="EX5" s="105">
        <v>1.0</v>
      </c>
      <c r="EY5" s="105">
        <v>0.0</v>
      </c>
      <c r="FA5" s="105">
        <v>2.0</v>
      </c>
      <c r="FB5" s="109">
        <v>1.0</v>
      </c>
      <c r="FC5" s="104">
        <v>0.0</v>
      </c>
      <c r="FD5" s="105">
        <v>0.0</v>
      </c>
      <c r="FE5" s="105">
        <v>0.0</v>
      </c>
      <c r="FF5" s="105">
        <v>0.0</v>
      </c>
      <c r="FH5" s="105">
        <v>2.0</v>
      </c>
      <c r="FI5" s="109">
        <v>1.0</v>
      </c>
      <c r="FJ5" s="104">
        <v>0.0</v>
      </c>
      <c r="FK5" s="105">
        <v>0.0</v>
      </c>
      <c r="FL5" s="105">
        <v>0.0</v>
      </c>
      <c r="FM5" s="105">
        <v>0.0</v>
      </c>
    </row>
    <row r="6">
      <c r="AY6" s="57"/>
      <c r="BB6" s="57"/>
      <c r="BC6" s="57"/>
      <c r="BL6" s="57"/>
      <c r="BR6" s="104" t="s">
        <v>170</v>
      </c>
      <c r="BS6" s="105">
        <v>1.0</v>
      </c>
      <c r="BT6" s="105">
        <v>0.0</v>
      </c>
      <c r="BU6" s="105">
        <v>0.0</v>
      </c>
      <c r="BV6" s="105">
        <v>0.0</v>
      </c>
      <c r="BW6" s="105">
        <v>0.0</v>
      </c>
      <c r="BX6" s="105">
        <v>1.0</v>
      </c>
      <c r="BY6" s="105">
        <v>0.0</v>
      </c>
      <c r="BZ6" s="105">
        <v>0.0</v>
      </c>
      <c r="CA6" s="105">
        <v>0.0</v>
      </c>
      <c r="CB6" s="105">
        <v>0.0</v>
      </c>
      <c r="CC6" s="105">
        <v>0.0</v>
      </c>
      <c r="CD6" s="105">
        <v>0.0</v>
      </c>
      <c r="CE6" s="105">
        <v>0.0</v>
      </c>
      <c r="CF6" s="105">
        <v>0.0</v>
      </c>
      <c r="CG6" s="105">
        <v>0.0</v>
      </c>
      <c r="CH6" s="105">
        <v>0.0</v>
      </c>
      <c r="CI6" s="105">
        <v>0.0</v>
      </c>
      <c r="CJ6" s="105">
        <v>1.0</v>
      </c>
      <c r="CK6" s="105">
        <v>0.0</v>
      </c>
      <c r="CL6" s="105">
        <v>0.0</v>
      </c>
      <c r="CM6" s="105">
        <v>0.0</v>
      </c>
      <c r="CN6" s="105">
        <v>0.0</v>
      </c>
      <c r="CO6" s="48">
        <f t="shared" si="2"/>
        <v>3</v>
      </c>
      <c r="CS6" s="105">
        <v>6.0</v>
      </c>
      <c r="CT6" s="104">
        <v>0.0</v>
      </c>
      <c r="CU6" s="104">
        <v>1.0</v>
      </c>
      <c r="CV6" s="105">
        <v>0.0</v>
      </c>
      <c r="CW6" s="105">
        <v>0.0</v>
      </c>
      <c r="CX6" s="105">
        <v>0.0</v>
      </c>
      <c r="CY6" s="105">
        <v>0.0</v>
      </c>
      <c r="DA6" s="105">
        <v>4.0</v>
      </c>
      <c r="DB6" s="109">
        <v>1.0</v>
      </c>
      <c r="DC6" s="104">
        <v>0.0</v>
      </c>
      <c r="DD6" s="105">
        <v>0.0</v>
      </c>
      <c r="DE6" s="105">
        <v>0.0</v>
      </c>
      <c r="DF6" s="105">
        <v>0.0</v>
      </c>
      <c r="DG6" s="105">
        <v>0.0</v>
      </c>
      <c r="DI6" s="105">
        <v>4.0</v>
      </c>
      <c r="DJ6" s="109">
        <v>1.0</v>
      </c>
      <c r="DK6" s="104">
        <v>0.0</v>
      </c>
      <c r="DL6" s="105">
        <v>0.0</v>
      </c>
      <c r="DM6" s="105">
        <v>0.0</v>
      </c>
      <c r="DN6" s="105">
        <v>0.0</v>
      </c>
      <c r="DO6" s="105">
        <v>0.0</v>
      </c>
      <c r="DQ6" s="80"/>
      <c r="DS6" s="105">
        <v>5.0</v>
      </c>
      <c r="DT6" s="109">
        <v>0.0</v>
      </c>
      <c r="DU6" s="104">
        <v>0.0</v>
      </c>
      <c r="DV6" s="105">
        <v>0.0</v>
      </c>
      <c r="DW6" s="105">
        <v>1.0</v>
      </c>
      <c r="DX6" s="105">
        <v>0.0</v>
      </c>
      <c r="DY6" s="105">
        <v>0.0</v>
      </c>
      <c r="EA6" s="105">
        <v>3.0</v>
      </c>
      <c r="EB6" s="104">
        <v>0.0</v>
      </c>
      <c r="EC6" s="104">
        <v>1.0</v>
      </c>
      <c r="ED6" s="105">
        <v>0.0</v>
      </c>
      <c r="EE6" s="105">
        <v>0.0</v>
      </c>
      <c r="EF6" s="105">
        <v>0.0</v>
      </c>
      <c r="EG6" s="105">
        <v>0.0</v>
      </c>
      <c r="EI6" s="105">
        <v>3.0</v>
      </c>
      <c r="EJ6" s="109">
        <v>1.0</v>
      </c>
      <c r="EK6" s="104">
        <v>0.0</v>
      </c>
      <c r="EL6" s="105">
        <v>0.0</v>
      </c>
      <c r="EM6" s="105">
        <v>0.0</v>
      </c>
      <c r="EN6" s="105">
        <v>0.0</v>
      </c>
      <c r="EO6" s="105">
        <v>0.0</v>
      </c>
      <c r="ER6" s="80"/>
      <c r="ET6" s="105">
        <v>5.0</v>
      </c>
      <c r="EU6" s="109">
        <v>0.0</v>
      </c>
      <c r="EV6" s="104">
        <v>0.0</v>
      </c>
      <c r="EW6" s="105">
        <v>0.0</v>
      </c>
      <c r="EX6" s="105">
        <v>1.0</v>
      </c>
      <c r="EY6" s="105">
        <v>0.0</v>
      </c>
      <c r="FA6" s="105">
        <v>3.0</v>
      </c>
      <c r="FB6" s="104">
        <v>0.0</v>
      </c>
      <c r="FC6" s="104">
        <v>1.0</v>
      </c>
      <c r="FD6" s="105">
        <v>0.0</v>
      </c>
      <c r="FE6" s="105">
        <v>0.0</v>
      </c>
      <c r="FF6" s="105">
        <v>0.0</v>
      </c>
      <c r="FH6" s="105">
        <v>3.0</v>
      </c>
      <c r="FI6" s="109">
        <v>1.0</v>
      </c>
      <c r="FJ6" s="104">
        <v>0.0</v>
      </c>
      <c r="FK6" s="105">
        <v>0.0</v>
      </c>
      <c r="FL6" s="105">
        <v>0.0</v>
      </c>
      <c r="FM6" s="105">
        <v>0.0</v>
      </c>
    </row>
    <row r="7">
      <c r="A7" s="20" t="s">
        <v>76</v>
      </c>
      <c r="B7" s="85">
        <f t="shared" ref="B7:B8" si="3">sum(C7:BN7)</f>
        <v>4</v>
      </c>
      <c r="X7" s="86"/>
      <c r="AO7" s="86"/>
      <c r="AP7" s="118"/>
      <c r="AQ7" s="118"/>
      <c r="AR7" s="118"/>
      <c r="AS7" s="118"/>
      <c r="AT7" s="118"/>
      <c r="AU7" s="118"/>
      <c r="AV7" s="118"/>
      <c r="AW7" s="118"/>
      <c r="AX7" s="118"/>
      <c r="AY7" s="119">
        <v>1.0</v>
      </c>
      <c r="AZ7" s="118"/>
      <c r="BA7" s="118"/>
      <c r="BB7" s="119">
        <v>1.0</v>
      </c>
      <c r="BC7" s="119">
        <v>1.0</v>
      </c>
      <c r="BD7" s="118"/>
      <c r="BE7" s="118"/>
      <c r="BF7" s="118"/>
      <c r="BG7" s="118"/>
      <c r="BH7" s="118"/>
      <c r="BI7" s="118"/>
      <c r="BJ7" s="118"/>
      <c r="BK7" s="118"/>
      <c r="BL7" s="119">
        <v>1.0</v>
      </c>
      <c r="BM7" s="118"/>
      <c r="BN7" s="120"/>
      <c r="BR7" s="104" t="s">
        <v>171</v>
      </c>
      <c r="BS7" s="105">
        <v>0.0</v>
      </c>
      <c r="BT7" s="105">
        <v>1.0</v>
      </c>
      <c r="BU7" s="105">
        <v>1.0</v>
      </c>
      <c r="BV7" s="105">
        <v>0.0</v>
      </c>
      <c r="BW7" s="105">
        <v>1.0</v>
      </c>
      <c r="BX7" s="105">
        <v>0.0</v>
      </c>
      <c r="BY7" s="105">
        <v>1.0</v>
      </c>
      <c r="BZ7" s="105">
        <v>0.0</v>
      </c>
      <c r="CA7" s="105">
        <v>0.0</v>
      </c>
      <c r="CB7" s="105">
        <v>0.0</v>
      </c>
      <c r="CC7" s="105">
        <v>0.0</v>
      </c>
      <c r="CD7" s="105">
        <v>0.0</v>
      </c>
      <c r="CE7" s="105">
        <v>0.0</v>
      </c>
      <c r="CF7" s="105">
        <v>0.0</v>
      </c>
      <c r="CG7" s="105">
        <v>1.0</v>
      </c>
      <c r="CH7" s="105">
        <v>0.0</v>
      </c>
      <c r="CI7" s="105">
        <v>0.0</v>
      </c>
      <c r="CJ7" s="105">
        <v>0.0</v>
      </c>
      <c r="CK7" s="105">
        <v>1.0</v>
      </c>
      <c r="CL7" s="105">
        <v>0.0</v>
      </c>
      <c r="CM7" s="105">
        <v>0.0</v>
      </c>
      <c r="CN7" s="105">
        <v>0.0</v>
      </c>
      <c r="CO7" s="48">
        <f t="shared" si="2"/>
        <v>6</v>
      </c>
      <c r="CS7" s="105">
        <v>7.0</v>
      </c>
      <c r="CT7" s="109">
        <v>0.0</v>
      </c>
      <c r="CU7" s="104">
        <v>0.0</v>
      </c>
      <c r="CV7" s="105">
        <v>0.0</v>
      </c>
      <c r="CW7" s="105">
        <v>1.0</v>
      </c>
      <c r="CX7" s="105">
        <v>0.0</v>
      </c>
      <c r="CY7" s="105">
        <v>0.0</v>
      </c>
      <c r="DA7" s="105">
        <v>5.0</v>
      </c>
      <c r="DB7" s="109">
        <v>1.0</v>
      </c>
      <c r="DC7" s="104">
        <v>0.0</v>
      </c>
      <c r="DD7" s="105">
        <v>0.0</v>
      </c>
      <c r="DE7" s="105">
        <v>0.0</v>
      </c>
      <c r="DF7" s="105">
        <v>0.0</v>
      </c>
      <c r="DG7" s="105">
        <v>0.0</v>
      </c>
      <c r="DI7" s="105">
        <v>5.0</v>
      </c>
      <c r="DJ7" s="109">
        <v>1.0</v>
      </c>
      <c r="DK7" s="104">
        <v>0.0</v>
      </c>
      <c r="DL7" s="105">
        <v>0.0</v>
      </c>
      <c r="DM7" s="105">
        <v>0.0</v>
      </c>
      <c r="DN7" s="105">
        <v>0.0</v>
      </c>
      <c r="DO7" s="105">
        <v>0.0</v>
      </c>
      <c r="DQ7" s="80"/>
      <c r="DS7" s="105">
        <v>6.0</v>
      </c>
      <c r="DT7" s="104">
        <v>0.0</v>
      </c>
      <c r="DU7" s="104">
        <v>1.0</v>
      </c>
      <c r="DV7" s="105">
        <v>0.0</v>
      </c>
      <c r="DW7" s="105">
        <v>0.0</v>
      </c>
      <c r="DX7" s="105">
        <v>0.0</v>
      </c>
      <c r="DY7" s="105">
        <v>0.0</v>
      </c>
      <c r="EA7" s="105">
        <v>4.0</v>
      </c>
      <c r="EB7" s="109">
        <v>1.0</v>
      </c>
      <c r="EC7" s="104">
        <v>0.0</v>
      </c>
      <c r="ED7" s="105">
        <v>0.0</v>
      </c>
      <c r="EE7" s="105">
        <v>0.0</v>
      </c>
      <c r="EF7" s="105">
        <v>0.0</v>
      </c>
      <c r="EG7" s="105">
        <v>0.0</v>
      </c>
      <c r="EI7" s="105">
        <v>4.0</v>
      </c>
      <c r="EJ7" s="109">
        <v>1.0</v>
      </c>
      <c r="EK7" s="104">
        <v>0.0</v>
      </c>
      <c r="EL7" s="105">
        <v>0.0</v>
      </c>
      <c r="EM7" s="105">
        <v>0.0</v>
      </c>
      <c r="EN7" s="105">
        <v>0.0</v>
      </c>
      <c r="EO7" s="105">
        <v>0.0</v>
      </c>
      <c r="ER7" s="80"/>
      <c r="ET7" s="105">
        <v>6.0</v>
      </c>
      <c r="EU7" s="104">
        <v>0.0</v>
      </c>
      <c r="EV7" s="104">
        <v>1.0</v>
      </c>
      <c r="EW7" s="105">
        <v>0.0</v>
      </c>
      <c r="EX7" s="105">
        <v>0.0</v>
      </c>
      <c r="EY7" s="105">
        <v>0.0</v>
      </c>
      <c r="FA7" s="105">
        <v>4.0</v>
      </c>
      <c r="FB7" s="109">
        <v>1.0</v>
      </c>
      <c r="FC7" s="104">
        <v>0.0</v>
      </c>
      <c r="FD7" s="105">
        <v>0.0</v>
      </c>
      <c r="FE7" s="105">
        <v>0.0</v>
      </c>
      <c r="FF7" s="105">
        <v>0.0</v>
      </c>
      <c r="FH7" s="105">
        <v>4.0</v>
      </c>
      <c r="FI7" s="109">
        <v>1.0</v>
      </c>
      <c r="FJ7" s="104">
        <v>0.0</v>
      </c>
      <c r="FK7" s="105">
        <v>0.0</v>
      </c>
      <c r="FL7" s="105">
        <v>0.0</v>
      </c>
      <c r="FM7" s="105">
        <v>0.0</v>
      </c>
    </row>
    <row r="8">
      <c r="A8" s="20" t="s">
        <v>79</v>
      </c>
      <c r="B8" s="88">
        <f t="shared" si="3"/>
        <v>5</v>
      </c>
      <c r="F8" s="42">
        <v>1.0</v>
      </c>
      <c r="X8" s="86"/>
      <c r="AD8" s="89">
        <v>1.0</v>
      </c>
      <c r="AE8" s="42">
        <v>1.0</v>
      </c>
      <c r="AP8" s="118"/>
      <c r="AQ8" s="118"/>
      <c r="AR8" s="118"/>
      <c r="AS8" s="118"/>
      <c r="AT8" s="118"/>
      <c r="AU8" s="118"/>
      <c r="AV8" s="119">
        <v>1.0</v>
      </c>
      <c r="AW8" s="118"/>
      <c r="AX8" s="118"/>
      <c r="AY8" s="118"/>
      <c r="AZ8" s="118"/>
      <c r="BA8" s="118"/>
      <c r="BB8" s="118"/>
      <c r="BC8" s="119">
        <v>1.0</v>
      </c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20"/>
      <c r="BR8" s="104" t="s">
        <v>172</v>
      </c>
      <c r="BS8" s="105">
        <v>0.0</v>
      </c>
      <c r="BT8" s="105">
        <v>0.0</v>
      </c>
      <c r="BU8" s="105">
        <v>0.0</v>
      </c>
      <c r="BV8" s="105">
        <v>0.0</v>
      </c>
      <c r="BW8" s="105">
        <v>0.0</v>
      </c>
      <c r="BX8" s="105">
        <v>0.0</v>
      </c>
      <c r="BY8" s="105">
        <v>0.0</v>
      </c>
      <c r="BZ8" s="105">
        <v>1.0</v>
      </c>
      <c r="CA8" s="105">
        <v>1.0</v>
      </c>
      <c r="CB8" s="105">
        <v>1.0</v>
      </c>
      <c r="CC8" s="105">
        <v>1.0</v>
      </c>
      <c r="CD8" s="105">
        <v>0.0</v>
      </c>
      <c r="CE8" s="105">
        <v>1.0</v>
      </c>
      <c r="CF8" s="105">
        <v>0.0</v>
      </c>
      <c r="CG8" s="105">
        <v>0.0</v>
      </c>
      <c r="CH8" s="105">
        <v>0.0</v>
      </c>
      <c r="CI8" s="105">
        <v>0.0</v>
      </c>
      <c r="CJ8" s="105">
        <v>0.0</v>
      </c>
      <c r="CK8" s="105">
        <v>0.0</v>
      </c>
      <c r="CL8" s="105">
        <v>0.0</v>
      </c>
      <c r="CM8" s="105">
        <v>1.0</v>
      </c>
      <c r="CN8" s="105">
        <v>0.0</v>
      </c>
      <c r="CO8" s="48">
        <f t="shared" si="2"/>
        <v>6</v>
      </c>
      <c r="CS8" s="105">
        <v>8.0</v>
      </c>
      <c r="CT8" s="109">
        <v>0.0</v>
      </c>
      <c r="CU8" s="104">
        <v>0.0</v>
      </c>
      <c r="CV8" s="105">
        <v>1.0</v>
      </c>
      <c r="CW8" s="105">
        <v>0.0</v>
      </c>
      <c r="CX8" s="105">
        <v>0.0</v>
      </c>
      <c r="CY8" s="105">
        <v>0.0</v>
      </c>
      <c r="DA8" s="105">
        <v>6.0</v>
      </c>
      <c r="DB8" s="104">
        <v>0.0</v>
      </c>
      <c r="DC8" s="104">
        <v>1.0</v>
      </c>
      <c r="DD8" s="105">
        <v>0.0</v>
      </c>
      <c r="DE8" s="105">
        <v>0.0</v>
      </c>
      <c r="DF8" s="105">
        <v>1.0</v>
      </c>
      <c r="DG8" s="105">
        <v>0.0</v>
      </c>
      <c r="DI8" s="105">
        <v>6.0</v>
      </c>
      <c r="DJ8" s="109">
        <v>1.0</v>
      </c>
      <c r="DK8" s="104">
        <v>0.0</v>
      </c>
      <c r="DL8" s="105">
        <v>0.0</v>
      </c>
      <c r="DM8" s="105">
        <v>0.0</v>
      </c>
      <c r="DN8" s="105">
        <v>0.0</v>
      </c>
      <c r="DO8" s="105">
        <v>0.0</v>
      </c>
      <c r="DQ8" s="80"/>
      <c r="DS8" s="105">
        <v>7.0</v>
      </c>
      <c r="DT8" s="104">
        <v>1.0</v>
      </c>
      <c r="DU8" s="104">
        <v>0.0</v>
      </c>
      <c r="DV8" s="105">
        <v>0.0</v>
      </c>
      <c r="DW8" s="105">
        <v>1.0</v>
      </c>
      <c r="DX8" s="105">
        <v>0.0</v>
      </c>
      <c r="DY8" s="105">
        <v>0.0</v>
      </c>
      <c r="EA8" s="105">
        <v>5.0</v>
      </c>
      <c r="EB8" s="109">
        <v>1.0</v>
      </c>
      <c r="EC8" s="104">
        <v>0.0</v>
      </c>
      <c r="ED8" s="105">
        <v>0.0</v>
      </c>
      <c r="EE8" s="105">
        <v>0.0</v>
      </c>
      <c r="EF8" s="105">
        <v>0.0</v>
      </c>
      <c r="EG8" s="105">
        <v>0.0</v>
      </c>
      <c r="EI8" s="105">
        <v>5.0</v>
      </c>
      <c r="EJ8" s="109">
        <v>1.0</v>
      </c>
      <c r="EK8" s="104">
        <v>0.0</v>
      </c>
      <c r="EL8" s="105">
        <v>0.0</v>
      </c>
      <c r="EM8" s="105">
        <v>0.0</v>
      </c>
      <c r="EN8" s="105">
        <v>0.0</v>
      </c>
      <c r="EO8" s="105">
        <v>0.0</v>
      </c>
      <c r="ER8" s="80"/>
      <c r="ET8" s="105">
        <v>7.0</v>
      </c>
      <c r="EU8" s="104">
        <v>1.0</v>
      </c>
      <c r="EV8" s="104">
        <v>0.0</v>
      </c>
      <c r="EW8" s="105">
        <v>0.0</v>
      </c>
      <c r="EX8" s="105">
        <v>1.0</v>
      </c>
      <c r="EY8" s="105">
        <v>0.0</v>
      </c>
      <c r="FA8" s="105">
        <v>5.0</v>
      </c>
      <c r="FB8" s="109">
        <v>1.0</v>
      </c>
      <c r="FC8" s="104">
        <v>0.0</v>
      </c>
      <c r="FD8" s="105">
        <v>0.0</v>
      </c>
      <c r="FE8" s="105">
        <v>0.0</v>
      </c>
      <c r="FF8" s="105">
        <v>0.0</v>
      </c>
      <c r="FH8" s="105">
        <v>5.0</v>
      </c>
      <c r="FI8" s="109">
        <v>1.0</v>
      </c>
      <c r="FJ8" s="104">
        <v>0.0</v>
      </c>
      <c r="FK8" s="105">
        <v>0.0</v>
      </c>
      <c r="FL8" s="105">
        <v>0.0</v>
      </c>
      <c r="FM8" s="105">
        <v>0.0</v>
      </c>
    </row>
    <row r="9">
      <c r="C9" s="57"/>
      <c r="H9" s="57"/>
      <c r="T9" s="57"/>
      <c r="AF9" s="57"/>
      <c r="AG9" s="57"/>
      <c r="AH9" s="57"/>
      <c r="AI9" s="57"/>
      <c r="AZ9" s="57"/>
      <c r="BM9" s="57"/>
      <c r="BR9" s="104" t="s">
        <v>173</v>
      </c>
      <c r="BS9" s="105">
        <v>0.0</v>
      </c>
      <c r="BT9" s="105">
        <v>0.0</v>
      </c>
      <c r="BU9" s="105">
        <v>0.0</v>
      </c>
      <c r="BV9" s="105">
        <v>0.0</v>
      </c>
      <c r="BW9" s="105">
        <v>0.0</v>
      </c>
      <c r="BX9" s="105">
        <v>0.0</v>
      </c>
      <c r="BY9" s="105">
        <v>0.0</v>
      </c>
      <c r="BZ9" s="105">
        <v>0.0</v>
      </c>
      <c r="CA9" s="105">
        <v>0.0</v>
      </c>
      <c r="CB9" s="105">
        <v>0.0</v>
      </c>
      <c r="CC9" s="105">
        <v>0.0</v>
      </c>
      <c r="CD9" s="105">
        <v>0.0</v>
      </c>
      <c r="CE9" s="105">
        <v>0.0</v>
      </c>
      <c r="CF9" s="105">
        <v>0.0</v>
      </c>
      <c r="CG9" s="105">
        <v>0.0</v>
      </c>
      <c r="CH9" s="105">
        <v>1.0</v>
      </c>
      <c r="CI9" s="105">
        <v>0.0</v>
      </c>
      <c r="CJ9" s="105">
        <v>0.0</v>
      </c>
      <c r="CK9" s="105">
        <v>0.0</v>
      </c>
      <c r="CL9" s="105">
        <v>0.0</v>
      </c>
      <c r="CM9" s="105">
        <v>0.0</v>
      </c>
      <c r="CN9" s="105">
        <v>0.0</v>
      </c>
      <c r="CO9" s="48">
        <f t="shared" si="2"/>
        <v>1</v>
      </c>
      <c r="CQ9" s="57"/>
      <c r="CS9" s="105">
        <v>9.0</v>
      </c>
      <c r="CT9" s="109">
        <v>0.0</v>
      </c>
      <c r="CU9" s="104">
        <v>0.0</v>
      </c>
      <c r="CV9" s="105">
        <v>0.0</v>
      </c>
      <c r="CW9" s="105">
        <v>1.0</v>
      </c>
      <c r="CX9" s="105">
        <v>0.0</v>
      </c>
      <c r="CY9" s="105">
        <v>0.0</v>
      </c>
      <c r="DA9" s="105">
        <v>7.0</v>
      </c>
      <c r="DB9" s="104">
        <v>0.0</v>
      </c>
      <c r="DC9" s="104">
        <v>1.0</v>
      </c>
      <c r="DD9" s="105">
        <v>0.0</v>
      </c>
      <c r="DE9" s="105">
        <v>0.0</v>
      </c>
      <c r="DF9" s="105">
        <v>0.0</v>
      </c>
      <c r="DG9" s="105">
        <v>0.0</v>
      </c>
      <c r="DI9" s="105">
        <v>7.0</v>
      </c>
      <c r="DJ9" s="104">
        <v>0.0</v>
      </c>
      <c r="DK9" s="104">
        <v>1.0</v>
      </c>
      <c r="DL9" s="105">
        <v>0.0</v>
      </c>
      <c r="DM9" s="105">
        <v>0.0</v>
      </c>
      <c r="DN9" s="105">
        <v>0.0</v>
      </c>
      <c r="DO9" s="105">
        <v>0.0</v>
      </c>
      <c r="DP9" s="57"/>
      <c r="DQ9" s="80"/>
      <c r="DR9" s="57"/>
      <c r="DS9" s="105">
        <v>8.0</v>
      </c>
      <c r="DT9" s="109">
        <v>0.0</v>
      </c>
      <c r="DU9" s="104">
        <v>0.0</v>
      </c>
      <c r="DV9" s="105">
        <v>1.0</v>
      </c>
      <c r="DW9" s="105">
        <v>0.0</v>
      </c>
      <c r="DX9" s="105">
        <v>0.0</v>
      </c>
      <c r="DY9" s="105">
        <v>0.0</v>
      </c>
      <c r="EA9" s="105">
        <v>6.0</v>
      </c>
      <c r="EB9" s="104">
        <v>0.0</v>
      </c>
      <c r="EC9" s="104">
        <v>1.0</v>
      </c>
      <c r="ED9" s="105">
        <v>0.0</v>
      </c>
      <c r="EE9" s="105">
        <v>0.0</v>
      </c>
      <c r="EF9" s="105">
        <v>1.0</v>
      </c>
      <c r="EG9" s="105">
        <v>0.0</v>
      </c>
      <c r="EI9" s="105">
        <v>6.0</v>
      </c>
      <c r="EJ9" s="109">
        <v>1.0</v>
      </c>
      <c r="EK9" s="104">
        <v>0.0</v>
      </c>
      <c r="EL9" s="105">
        <v>0.0</v>
      </c>
      <c r="EM9" s="105">
        <v>0.0</v>
      </c>
      <c r="EN9" s="105">
        <v>0.0</v>
      </c>
      <c r="EO9" s="105">
        <v>0.0</v>
      </c>
      <c r="EP9" s="57"/>
      <c r="EQ9" s="57"/>
      <c r="ER9" s="80"/>
      <c r="ES9" s="57"/>
      <c r="ET9" s="105">
        <v>8.0</v>
      </c>
      <c r="EU9" s="109">
        <v>0.0</v>
      </c>
      <c r="EV9" s="104">
        <v>0.0</v>
      </c>
      <c r="EW9" s="105">
        <v>1.0</v>
      </c>
      <c r="EX9" s="105">
        <v>0.0</v>
      </c>
      <c r="EY9" s="105">
        <v>0.0</v>
      </c>
      <c r="FA9" s="105">
        <v>6.0</v>
      </c>
      <c r="FB9" s="104">
        <v>0.0</v>
      </c>
      <c r="FC9" s="104">
        <v>1.0</v>
      </c>
      <c r="FD9" s="105">
        <v>0.0</v>
      </c>
      <c r="FE9" s="104">
        <v>1.0</v>
      </c>
      <c r="FF9" s="105">
        <v>0.0</v>
      </c>
      <c r="FH9" s="105">
        <v>6.0</v>
      </c>
      <c r="FI9" s="109">
        <v>1.0</v>
      </c>
      <c r="FJ9" s="104">
        <v>0.0</v>
      </c>
      <c r="FK9" s="105">
        <v>0.0</v>
      </c>
      <c r="FL9" s="105">
        <v>0.0</v>
      </c>
      <c r="FM9" s="105">
        <v>0.0</v>
      </c>
      <c r="FN9" s="57"/>
      <c r="FO9" s="57"/>
      <c r="FP9" s="57"/>
      <c r="FQ9" s="57"/>
      <c r="FR9" s="57"/>
      <c r="FS9" s="57"/>
      <c r="FT9" s="57"/>
    </row>
    <row r="10">
      <c r="A10" s="27" t="s">
        <v>88</v>
      </c>
      <c r="B10" s="85">
        <f t="shared" ref="B10:B30" si="4">sum(C10:BN10)</f>
        <v>9</v>
      </c>
      <c r="C10" s="42">
        <v>1.0</v>
      </c>
      <c r="H10" s="42">
        <v>1.0</v>
      </c>
      <c r="T10" s="42">
        <v>1.0</v>
      </c>
      <c r="X10" s="86"/>
      <c r="AF10" s="42">
        <v>1.0</v>
      </c>
      <c r="AG10" s="42">
        <v>1.0</v>
      </c>
      <c r="AH10" s="42">
        <v>1.0</v>
      </c>
      <c r="AI10" s="42">
        <v>1.0</v>
      </c>
      <c r="AO10" s="86"/>
      <c r="AZ10" s="42">
        <v>1.0</v>
      </c>
      <c r="BM10" s="42">
        <v>1.0</v>
      </c>
      <c r="BN10" s="86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S10" s="105">
        <v>10.0</v>
      </c>
      <c r="CT10" s="109">
        <v>0.0</v>
      </c>
      <c r="CU10" s="104">
        <v>0.0</v>
      </c>
      <c r="CV10" s="105">
        <v>0.0</v>
      </c>
      <c r="CW10" s="105">
        <v>0.0</v>
      </c>
      <c r="CX10" s="105">
        <v>1.0</v>
      </c>
      <c r="CY10" s="105">
        <v>0.0</v>
      </c>
      <c r="DA10" s="105">
        <v>8.0</v>
      </c>
      <c r="DB10" s="109">
        <v>0.0</v>
      </c>
      <c r="DC10" s="104">
        <v>0.0</v>
      </c>
      <c r="DD10" s="105">
        <v>1.0</v>
      </c>
      <c r="DE10" s="105">
        <v>0.0</v>
      </c>
      <c r="DF10" s="105">
        <v>0.0</v>
      </c>
      <c r="DG10" s="105">
        <v>0.0</v>
      </c>
      <c r="DI10" s="105">
        <v>8.0</v>
      </c>
      <c r="DJ10" s="109">
        <v>0.0</v>
      </c>
      <c r="DK10" s="104">
        <v>0.0</v>
      </c>
      <c r="DL10" s="105">
        <v>0.0</v>
      </c>
      <c r="DM10" s="105">
        <v>0.0</v>
      </c>
      <c r="DN10" s="105">
        <v>0.0</v>
      </c>
      <c r="DO10" s="105">
        <v>1.0</v>
      </c>
      <c r="DQ10" s="80"/>
      <c r="DS10" s="105">
        <v>9.0</v>
      </c>
      <c r="DT10" s="104">
        <v>1.0</v>
      </c>
      <c r="DU10" s="104">
        <v>0.0</v>
      </c>
      <c r="DV10" s="105">
        <v>0.0</v>
      </c>
      <c r="DW10" s="105">
        <v>1.0</v>
      </c>
      <c r="DX10" s="105">
        <v>0.0</v>
      </c>
      <c r="DY10" s="105">
        <v>0.0</v>
      </c>
      <c r="EA10" s="105">
        <v>7.0</v>
      </c>
      <c r="EB10" s="104">
        <v>0.0</v>
      </c>
      <c r="EC10" s="104">
        <v>1.0</v>
      </c>
      <c r="ED10" s="105">
        <v>0.0</v>
      </c>
      <c r="EE10" s="105">
        <v>0.0</v>
      </c>
      <c r="EF10" s="105">
        <v>0.0</v>
      </c>
      <c r="EG10" s="105">
        <v>0.0</v>
      </c>
      <c r="EI10" s="105">
        <v>7.0</v>
      </c>
      <c r="EJ10" s="104">
        <v>0.0</v>
      </c>
      <c r="EK10" s="104">
        <v>1.0</v>
      </c>
      <c r="EL10" s="105">
        <v>0.0</v>
      </c>
      <c r="EM10" s="105">
        <v>0.0</v>
      </c>
      <c r="EN10" s="105">
        <v>0.0</v>
      </c>
      <c r="EO10" s="105">
        <v>0.0</v>
      </c>
      <c r="ER10" s="80"/>
      <c r="ET10" s="105">
        <v>9.0</v>
      </c>
      <c r="EU10" s="104">
        <v>1.0</v>
      </c>
      <c r="EV10" s="104">
        <v>0.0</v>
      </c>
      <c r="EW10" s="105">
        <v>0.0</v>
      </c>
      <c r="EX10" s="105">
        <v>1.0</v>
      </c>
      <c r="EY10" s="105">
        <v>0.0</v>
      </c>
      <c r="FA10" s="105">
        <v>7.0</v>
      </c>
      <c r="FB10" s="104">
        <v>0.0</v>
      </c>
      <c r="FC10" s="104">
        <v>1.0</v>
      </c>
      <c r="FD10" s="105">
        <v>0.0</v>
      </c>
      <c r="FE10" s="105">
        <v>0.0</v>
      </c>
      <c r="FF10" s="105">
        <v>0.0</v>
      </c>
      <c r="FH10" s="105">
        <v>7.0</v>
      </c>
      <c r="FI10" s="104">
        <v>0.0</v>
      </c>
      <c r="FJ10" s="104">
        <v>1.0</v>
      </c>
      <c r="FK10" s="105">
        <v>0.0</v>
      </c>
      <c r="FL10" s="105">
        <v>0.0</v>
      </c>
      <c r="FM10" s="105">
        <v>0.0</v>
      </c>
    </row>
    <row r="11">
      <c r="A11" s="27" t="s">
        <v>91</v>
      </c>
      <c r="B11" s="85">
        <f t="shared" si="4"/>
        <v>1</v>
      </c>
      <c r="X11" s="86"/>
      <c r="AO11" s="86"/>
      <c r="BN11" s="87">
        <v>1.0</v>
      </c>
      <c r="BR11" s="83"/>
      <c r="BS11" s="110" t="s">
        <v>8</v>
      </c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Q11" s="42"/>
      <c r="CS11" s="105">
        <v>11.0</v>
      </c>
      <c r="CT11" s="109">
        <v>0.0</v>
      </c>
      <c r="CU11" s="104">
        <v>0.0</v>
      </c>
      <c r="CV11" s="105">
        <v>0.0</v>
      </c>
      <c r="CW11" s="105">
        <v>0.0</v>
      </c>
      <c r="CX11" s="105">
        <v>1.0</v>
      </c>
      <c r="CY11" s="105">
        <v>0.0</v>
      </c>
      <c r="DA11" s="105">
        <v>9.0</v>
      </c>
      <c r="DB11" s="109">
        <v>0.0</v>
      </c>
      <c r="DC11" s="104">
        <v>0.0</v>
      </c>
      <c r="DD11" s="105">
        <v>1.0</v>
      </c>
      <c r="DE11" s="105">
        <v>0.0</v>
      </c>
      <c r="DF11" s="105">
        <v>0.0</v>
      </c>
      <c r="DG11" s="105">
        <v>0.0</v>
      </c>
      <c r="DI11" s="105">
        <v>9.0</v>
      </c>
      <c r="DJ11" s="109">
        <v>1.0</v>
      </c>
      <c r="DK11" s="104">
        <v>0.0</v>
      </c>
      <c r="DL11" s="105">
        <v>0.0</v>
      </c>
      <c r="DM11" s="105">
        <v>0.0</v>
      </c>
      <c r="DN11" s="105">
        <v>0.0</v>
      </c>
      <c r="DO11" s="105">
        <v>0.0</v>
      </c>
      <c r="DP11" s="42"/>
      <c r="DQ11" s="80"/>
      <c r="DR11" s="42"/>
      <c r="DS11" s="105">
        <v>10.0</v>
      </c>
      <c r="DT11" s="109">
        <v>0.0</v>
      </c>
      <c r="DU11" s="104">
        <v>0.0</v>
      </c>
      <c r="DV11" s="105">
        <v>0.0</v>
      </c>
      <c r="DW11" s="105">
        <v>0.0</v>
      </c>
      <c r="DX11" s="105">
        <v>1.0</v>
      </c>
      <c r="DY11" s="105">
        <v>0.0</v>
      </c>
      <c r="EA11" s="105">
        <v>8.0</v>
      </c>
      <c r="EB11" s="104">
        <v>1.0</v>
      </c>
      <c r="EC11" s="104">
        <v>0.0</v>
      </c>
      <c r="ED11" s="105">
        <v>1.0</v>
      </c>
      <c r="EE11" s="105">
        <v>0.0</v>
      </c>
      <c r="EF11" s="105">
        <v>0.0</v>
      </c>
      <c r="EG11" s="105">
        <v>0.0</v>
      </c>
      <c r="EI11" s="105">
        <v>8.0</v>
      </c>
      <c r="EJ11" s="109">
        <v>0.0</v>
      </c>
      <c r="EK11" s="104">
        <v>0.0</v>
      </c>
      <c r="EL11" s="105">
        <v>0.0</v>
      </c>
      <c r="EM11" s="105">
        <v>0.0</v>
      </c>
      <c r="EN11" s="105">
        <v>0.0</v>
      </c>
      <c r="EO11" s="105">
        <v>1.0</v>
      </c>
      <c r="EP11" s="42"/>
      <c r="EQ11" s="42"/>
      <c r="ER11" s="80"/>
      <c r="ES11" s="42"/>
      <c r="ET11" s="105">
        <v>10.0</v>
      </c>
      <c r="EU11" s="109">
        <v>0.0</v>
      </c>
      <c r="EV11" s="104">
        <v>0.0</v>
      </c>
      <c r="EW11" s="105">
        <v>0.0</v>
      </c>
      <c r="EX11" s="104">
        <v>1.0</v>
      </c>
      <c r="EY11" s="105">
        <v>0.0</v>
      </c>
      <c r="FA11" s="105">
        <v>8.0</v>
      </c>
      <c r="FB11" s="104">
        <v>1.0</v>
      </c>
      <c r="FC11" s="104">
        <v>0.0</v>
      </c>
      <c r="FD11" s="105">
        <v>1.0</v>
      </c>
      <c r="FE11" s="105">
        <v>0.0</v>
      </c>
      <c r="FF11" s="105">
        <v>0.0</v>
      </c>
      <c r="FH11" s="105">
        <v>8.0</v>
      </c>
      <c r="FI11" s="109">
        <v>0.0</v>
      </c>
      <c r="FJ11" s="104">
        <v>0.0</v>
      </c>
      <c r="FK11" s="105">
        <v>0.0</v>
      </c>
      <c r="FL11" s="105">
        <v>0.0</v>
      </c>
      <c r="FM11" s="105">
        <v>1.0</v>
      </c>
      <c r="FN11" s="42"/>
      <c r="FO11" s="42"/>
      <c r="FP11" s="42"/>
      <c r="FQ11" s="42"/>
      <c r="FR11" s="42"/>
      <c r="FS11" s="42"/>
      <c r="FT11" s="42"/>
    </row>
    <row r="12">
      <c r="A12" s="95" t="s">
        <v>94</v>
      </c>
      <c r="B12" s="96">
        <f t="shared" si="4"/>
        <v>0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3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3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3"/>
      <c r="BQ12" s="42"/>
      <c r="BR12" s="104" t="s">
        <v>167</v>
      </c>
      <c r="BS12" s="105">
        <v>1.0</v>
      </c>
      <c r="BT12" s="105">
        <v>2.0</v>
      </c>
      <c r="BU12" s="105">
        <v>3.0</v>
      </c>
      <c r="BV12" s="105">
        <v>4.0</v>
      </c>
      <c r="BW12" s="105">
        <v>5.0</v>
      </c>
      <c r="BX12" s="105">
        <v>6.0</v>
      </c>
      <c r="BY12" s="105">
        <v>7.0</v>
      </c>
      <c r="BZ12" s="105">
        <v>8.0</v>
      </c>
      <c r="CA12" s="105">
        <v>9.0</v>
      </c>
      <c r="CB12" s="105">
        <v>10.0</v>
      </c>
      <c r="CC12" s="105">
        <v>11.0</v>
      </c>
      <c r="CD12" s="105">
        <v>13.0</v>
      </c>
      <c r="CE12" s="105">
        <v>14.0</v>
      </c>
      <c r="CF12" s="105">
        <v>15.0</v>
      </c>
      <c r="CG12" s="105">
        <v>16.0</v>
      </c>
      <c r="CH12" s="105">
        <v>17.0</v>
      </c>
      <c r="CI12" s="105">
        <v>18.0</v>
      </c>
      <c r="CO12" s="42"/>
      <c r="CP12" s="42"/>
      <c r="CS12" s="105">
        <v>12.0</v>
      </c>
      <c r="CT12" s="109">
        <v>0.0</v>
      </c>
      <c r="CU12" s="104">
        <v>0.0</v>
      </c>
      <c r="CV12" s="105">
        <v>0.0</v>
      </c>
      <c r="CW12" s="105">
        <v>0.0</v>
      </c>
      <c r="CX12" s="105">
        <v>1.0</v>
      </c>
      <c r="CY12" s="105">
        <v>0.0</v>
      </c>
      <c r="DA12" s="105">
        <v>10.0</v>
      </c>
      <c r="DB12" s="109">
        <v>0.0</v>
      </c>
      <c r="DC12" s="104">
        <v>0.0</v>
      </c>
      <c r="DD12" s="105">
        <v>1.0</v>
      </c>
      <c r="DE12" s="105">
        <v>0.0</v>
      </c>
      <c r="DF12" s="105">
        <v>0.0</v>
      </c>
      <c r="DG12" s="105">
        <v>0.0</v>
      </c>
      <c r="DI12" s="105">
        <v>10.0</v>
      </c>
      <c r="DJ12" s="104">
        <v>1.0</v>
      </c>
      <c r="DK12" s="104">
        <v>1.0</v>
      </c>
      <c r="DL12" s="105">
        <v>0.0</v>
      </c>
      <c r="DM12" s="105">
        <v>0.0</v>
      </c>
      <c r="DN12" s="105">
        <v>0.0</v>
      </c>
      <c r="DO12" s="105">
        <v>0.0</v>
      </c>
      <c r="DQ12" s="80"/>
      <c r="DS12" s="105">
        <v>11.0</v>
      </c>
      <c r="DT12" s="104">
        <v>1.0</v>
      </c>
      <c r="DU12" s="104">
        <v>0.0</v>
      </c>
      <c r="DV12" s="105">
        <v>0.0</v>
      </c>
      <c r="DW12" s="105">
        <v>0.0</v>
      </c>
      <c r="DX12" s="105">
        <v>1.0</v>
      </c>
      <c r="DY12" s="105">
        <v>0.0</v>
      </c>
      <c r="EA12" s="105">
        <v>9.0</v>
      </c>
      <c r="EB12" s="104">
        <v>1.0</v>
      </c>
      <c r="EC12" s="104">
        <v>0.0</v>
      </c>
      <c r="ED12" s="105">
        <v>1.0</v>
      </c>
      <c r="EE12" s="105">
        <v>0.0</v>
      </c>
      <c r="EF12" s="105">
        <v>0.0</v>
      </c>
      <c r="EG12" s="105">
        <v>0.0</v>
      </c>
      <c r="EI12" s="105">
        <v>9.0</v>
      </c>
      <c r="EJ12" s="109">
        <v>1.0</v>
      </c>
      <c r="EK12" s="104">
        <v>0.0</v>
      </c>
      <c r="EL12" s="105">
        <v>0.0</v>
      </c>
      <c r="EM12" s="105">
        <v>0.0</v>
      </c>
      <c r="EN12" s="105">
        <v>0.0</v>
      </c>
      <c r="EO12" s="105">
        <v>0.0</v>
      </c>
      <c r="ER12" s="80"/>
      <c r="ET12" s="105">
        <v>11.0</v>
      </c>
      <c r="EU12" s="104">
        <v>1.0</v>
      </c>
      <c r="EV12" s="104">
        <v>0.0</v>
      </c>
      <c r="EW12" s="105">
        <v>0.0</v>
      </c>
      <c r="EX12" s="104">
        <v>1.0</v>
      </c>
      <c r="EY12" s="105">
        <v>0.0</v>
      </c>
      <c r="FA12" s="105">
        <v>9.0</v>
      </c>
      <c r="FB12" s="104">
        <v>1.0</v>
      </c>
      <c r="FC12" s="104">
        <v>0.0</v>
      </c>
      <c r="FD12" s="105">
        <v>1.0</v>
      </c>
      <c r="FE12" s="105">
        <v>0.0</v>
      </c>
      <c r="FF12" s="105">
        <v>0.0</v>
      </c>
      <c r="FH12" s="105">
        <v>9.0</v>
      </c>
      <c r="FI12" s="109">
        <v>1.0</v>
      </c>
      <c r="FJ12" s="104">
        <v>0.0</v>
      </c>
      <c r="FK12" s="105">
        <v>0.0</v>
      </c>
      <c r="FL12" s="105">
        <v>0.0</v>
      </c>
      <c r="FM12" s="105">
        <v>0.0</v>
      </c>
    </row>
    <row r="13">
      <c r="A13" s="30" t="s">
        <v>98</v>
      </c>
      <c r="B13" s="85">
        <f t="shared" si="4"/>
        <v>4</v>
      </c>
      <c r="G13" s="42">
        <v>1.0</v>
      </c>
      <c r="Q13" s="42">
        <v>1.0</v>
      </c>
      <c r="S13" s="97"/>
      <c r="X13" s="86"/>
      <c r="AJ13" s="42">
        <v>1.0</v>
      </c>
      <c r="AL13" s="42">
        <v>1.0</v>
      </c>
      <c r="AO13" s="86"/>
      <c r="BN13" s="86"/>
      <c r="BR13" s="104" t="s">
        <v>169</v>
      </c>
      <c r="BS13" s="109">
        <v>1.0</v>
      </c>
      <c r="BT13" s="109">
        <v>1.0</v>
      </c>
      <c r="BU13" s="109">
        <v>1.0</v>
      </c>
      <c r="BV13" s="109">
        <v>1.0</v>
      </c>
      <c r="BW13" s="109">
        <v>1.0</v>
      </c>
      <c r="BX13" s="104">
        <v>0.0</v>
      </c>
      <c r="BY13" s="104">
        <v>0.0</v>
      </c>
      <c r="BZ13" s="109">
        <v>0.0</v>
      </c>
      <c r="CA13" s="109">
        <v>0.0</v>
      </c>
      <c r="CB13" s="109">
        <v>0.0</v>
      </c>
      <c r="CC13" s="109">
        <v>0.0</v>
      </c>
      <c r="CD13" s="109">
        <v>0.0</v>
      </c>
      <c r="CE13" s="109">
        <v>0.0</v>
      </c>
      <c r="CF13" s="109">
        <v>0.0</v>
      </c>
      <c r="CG13" s="109">
        <v>0.0</v>
      </c>
      <c r="CH13" s="109">
        <v>0.0</v>
      </c>
      <c r="CI13" s="109">
        <v>0.0</v>
      </c>
      <c r="CJ13" s="48">
        <f t="shared" ref="CJ13:CJ18" si="5">SUM(BS13:CI13)</f>
        <v>5</v>
      </c>
      <c r="CS13" s="105">
        <v>13.0</v>
      </c>
      <c r="CT13" s="109">
        <v>0.0</v>
      </c>
      <c r="CU13" s="104">
        <v>0.0</v>
      </c>
      <c r="CV13" s="105">
        <v>0.0</v>
      </c>
      <c r="CW13" s="105">
        <v>0.0</v>
      </c>
      <c r="CX13" s="105">
        <v>1.0</v>
      </c>
      <c r="CY13" s="105">
        <v>0.0</v>
      </c>
      <c r="DA13" s="105">
        <v>11.0</v>
      </c>
      <c r="DB13" s="109">
        <v>0.0</v>
      </c>
      <c r="DC13" s="104">
        <v>0.0</v>
      </c>
      <c r="DD13" s="105">
        <v>1.0</v>
      </c>
      <c r="DE13" s="105">
        <v>0.0</v>
      </c>
      <c r="DF13" s="105">
        <v>0.0</v>
      </c>
      <c r="DG13" s="105">
        <v>0.0</v>
      </c>
      <c r="DI13" s="105">
        <v>11.0</v>
      </c>
      <c r="DJ13" s="109">
        <v>1.0</v>
      </c>
      <c r="DK13" s="104">
        <v>0.0</v>
      </c>
      <c r="DL13" s="105">
        <v>1.0</v>
      </c>
      <c r="DM13" s="105">
        <v>0.0</v>
      </c>
      <c r="DN13" s="105">
        <v>0.0</v>
      </c>
      <c r="DO13" s="105">
        <v>0.0</v>
      </c>
      <c r="DQ13" s="80"/>
      <c r="DS13" s="105">
        <v>12.0</v>
      </c>
      <c r="DT13" s="109">
        <v>0.0</v>
      </c>
      <c r="DU13" s="104">
        <v>0.0</v>
      </c>
      <c r="DV13" s="105">
        <v>0.0</v>
      </c>
      <c r="DW13" s="105">
        <v>0.0</v>
      </c>
      <c r="DX13" s="105">
        <v>1.0</v>
      </c>
      <c r="DY13" s="105">
        <v>0.0</v>
      </c>
      <c r="EA13" s="105">
        <v>10.0</v>
      </c>
      <c r="EB13" s="109">
        <v>0.0</v>
      </c>
      <c r="EC13" s="104">
        <v>0.0</v>
      </c>
      <c r="ED13" s="105">
        <v>1.0</v>
      </c>
      <c r="EE13" s="105">
        <v>0.0</v>
      </c>
      <c r="EF13" s="105">
        <v>0.0</v>
      </c>
      <c r="EG13" s="105">
        <v>0.0</v>
      </c>
      <c r="EI13" s="105">
        <v>10.0</v>
      </c>
      <c r="EJ13" s="104">
        <v>1.0</v>
      </c>
      <c r="EK13" s="104">
        <v>1.0</v>
      </c>
      <c r="EL13" s="105">
        <v>0.0</v>
      </c>
      <c r="EM13" s="105">
        <v>0.0</v>
      </c>
      <c r="EN13" s="105">
        <v>0.0</v>
      </c>
      <c r="EO13" s="105">
        <v>0.0</v>
      </c>
      <c r="ER13" s="80"/>
      <c r="ET13" s="105">
        <v>12.0</v>
      </c>
      <c r="EU13" s="109">
        <v>0.0</v>
      </c>
      <c r="EV13" s="104">
        <v>0.0</v>
      </c>
      <c r="EW13" s="105">
        <v>0.0</v>
      </c>
      <c r="EX13" s="104">
        <v>1.0</v>
      </c>
      <c r="EY13" s="105">
        <v>0.0</v>
      </c>
      <c r="FA13" s="105">
        <v>10.0</v>
      </c>
      <c r="FB13" s="109">
        <v>0.0</v>
      </c>
      <c r="FC13" s="104">
        <v>0.0</v>
      </c>
      <c r="FD13" s="105">
        <v>1.0</v>
      </c>
      <c r="FE13" s="105">
        <v>0.0</v>
      </c>
      <c r="FF13" s="105">
        <v>0.0</v>
      </c>
      <c r="FH13" s="105">
        <v>10.0</v>
      </c>
      <c r="FI13" s="104">
        <v>1.0</v>
      </c>
      <c r="FJ13" s="104">
        <v>1.0</v>
      </c>
      <c r="FK13" s="105">
        <v>0.0</v>
      </c>
      <c r="FL13" s="105">
        <v>0.0</v>
      </c>
      <c r="FM13" s="105">
        <v>0.0</v>
      </c>
    </row>
    <row r="14">
      <c r="A14" s="30" t="s">
        <v>101</v>
      </c>
      <c r="B14" s="85">
        <f t="shared" si="4"/>
        <v>5</v>
      </c>
      <c r="D14" s="42">
        <v>1.0</v>
      </c>
      <c r="E14" s="42">
        <v>1.0</v>
      </c>
      <c r="I14" s="42">
        <v>1.0</v>
      </c>
      <c r="U14" s="42">
        <v>1.0</v>
      </c>
      <c r="X14" s="86"/>
      <c r="AM14" s="42">
        <v>1.0</v>
      </c>
      <c r="AO14" s="86"/>
      <c r="BN14" s="86"/>
      <c r="BR14" s="104" t="s">
        <v>175</v>
      </c>
      <c r="BS14" s="104">
        <v>0.0</v>
      </c>
      <c r="BT14" s="104">
        <v>0.0</v>
      </c>
      <c r="BU14" s="104">
        <v>0.0</v>
      </c>
      <c r="BV14" s="104">
        <v>0.0</v>
      </c>
      <c r="BW14" s="104">
        <v>0.0</v>
      </c>
      <c r="BX14" s="104">
        <v>1.0</v>
      </c>
      <c r="BY14" s="104">
        <v>1.0</v>
      </c>
      <c r="BZ14" s="104">
        <v>0.0</v>
      </c>
      <c r="CA14" s="104">
        <v>0.0</v>
      </c>
      <c r="CB14" s="104">
        <v>0.0</v>
      </c>
      <c r="CC14" s="104">
        <v>0.0</v>
      </c>
      <c r="CD14" s="104">
        <v>0.0</v>
      </c>
      <c r="CE14" s="104">
        <v>0.0</v>
      </c>
      <c r="CF14" s="104">
        <v>0.0</v>
      </c>
      <c r="CG14" s="104">
        <v>0.0</v>
      </c>
      <c r="CH14" s="104">
        <v>0.0</v>
      </c>
      <c r="CI14" s="104">
        <v>0.0</v>
      </c>
      <c r="CJ14" s="48">
        <f t="shared" si="5"/>
        <v>2</v>
      </c>
      <c r="CS14" s="105">
        <v>14.0</v>
      </c>
      <c r="CT14" s="109">
        <v>1.0</v>
      </c>
      <c r="CU14" s="104">
        <v>0.0</v>
      </c>
      <c r="CV14" s="105">
        <v>0.0</v>
      </c>
      <c r="CW14" s="105">
        <v>0.0</v>
      </c>
      <c r="CX14" s="105">
        <v>0.0</v>
      </c>
      <c r="CY14" s="105">
        <v>0.0</v>
      </c>
      <c r="DA14" s="105">
        <v>13.0</v>
      </c>
      <c r="DB14" s="109">
        <v>0.0</v>
      </c>
      <c r="DC14" s="104">
        <v>0.0</v>
      </c>
      <c r="DD14" s="105">
        <v>0.0</v>
      </c>
      <c r="DE14" s="105">
        <v>1.0</v>
      </c>
      <c r="DF14" s="105">
        <v>0.0</v>
      </c>
      <c r="DG14" s="105">
        <v>0.0</v>
      </c>
      <c r="DI14" s="105">
        <v>12.0</v>
      </c>
      <c r="DJ14" s="109">
        <v>1.0</v>
      </c>
      <c r="DK14" s="104">
        <v>0.0</v>
      </c>
      <c r="DL14" s="105">
        <v>0.0</v>
      </c>
      <c r="DM14" s="105">
        <v>0.0</v>
      </c>
      <c r="DN14" s="105">
        <v>0.0</v>
      </c>
      <c r="DO14" s="105">
        <v>0.0</v>
      </c>
      <c r="DQ14" s="80"/>
      <c r="DS14" s="105">
        <v>13.0</v>
      </c>
      <c r="DT14" s="109">
        <v>0.0</v>
      </c>
      <c r="DU14" s="104">
        <v>0.0</v>
      </c>
      <c r="DV14" s="105">
        <v>0.0</v>
      </c>
      <c r="DW14" s="105">
        <v>0.0</v>
      </c>
      <c r="DX14" s="105">
        <v>1.0</v>
      </c>
      <c r="DY14" s="105">
        <v>0.0</v>
      </c>
      <c r="EA14" s="105">
        <v>11.0</v>
      </c>
      <c r="EB14" s="109">
        <v>0.0</v>
      </c>
      <c r="EC14" s="104">
        <v>0.0</v>
      </c>
      <c r="ED14" s="105">
        <v>1.0</v>
      </c>
      <c r="EE14" s="105">
        <v>0.0</v>
      </c>
      <c r="EF14" s="105">
        <v>0.0</v>
      </c>
      <c r="EG14" s="105">
        <v>0.0</v>
      </c>
      <c r="EI14" s="105">
        <v>11.0</v>
      </c>
      <c r="EJ14" s="109">
        <v>1.0</v>
      </c>
      <c r="EK14" s="104">
        <v>0.0</v>
      </c>
      <c r="EL14" s="105">
        <v>1.0</v>
      </c>
      <c r="EM14" s="105">
        <v>0.0</v>
      </c>
      <c r="EN14" s="105">
        <v>0.0</v>
      </c>
      <c r="EO14" s="105">
        <v>0.0</v>
      </c>
      <c r="ER14" s="80"/>
      <c r="ET14" s="105">
        <v>13.0</v>
      </c>
      <c r="EU14" s="109">
        <v>0.0</v>
      </c>
      <c r="EV14" s="104">
        <v>0.0</v>
      </c>
      <c r="EW14" s="105">
        <v>0.0</v>
      </c>
      <c r="EX14" s="104">
        <v>1.0</v>
      </c>
      <c r="EY14" s="105">
        <v>0.0</v>
      </c>
      <c r="FA14" s="105">
        <v>11.0</v>
      </c>
      <c r="FB14" s="109">
        <v>0.0</v>
      </c>
      <c r="FC14" s="104">
        <v>0.0</v>
      </c>
      <c r="FD14" s="105">
        <v>1.0</v>
      </c>
      <c r="FE14" s="105">
        <v>0.0</v>
      </c>
      <c r="FF14" s="105">
        <v>0.0</v>
      </c>
      <c r="FH14" s="105">
        <v>11.0</v>
      </c>
      <c r="FI14" s="109">
        <v>1.0</v>
      </c>
      <c r="FJ14" s="104">
        <v>0.0</v>
      </c>
      <c r="FK14" s="105">
        <v>1.0</v>
      </c>
      <c r="FL14" s="105">
        <v>0.0</v>
      </c>
      <c r="FM14" s="105">
        <v>0.0</v>
      </c>
    </row>
    <row r="15">
      <c r="A15" s="30" t="s">
        <v>104</v>
      </c>
      <c r="B15" s="85">
        <f t="shared" si="4"/>
        <v>0</v>
      </c>
      <c r="X15" s="86"/>
      <c r="AO15" s="86"/>
      <c r="BN15" s="86"/>
      <c r="BR15" s="104" t="s">
        <v>170</v>
      </c>
      <c r="BS15" s="105">
        <v>0.0</v>
      </c>
      <c r="BT15" s="105">
        <v>0.0</v>
      </c>
      <c r="BU15" s="105">
        <v>0.0</v>
      </c>
      <c r="BV15" s="105">
        <v>0.0</v>
      </c>
      <c r="BW15" s="105">
        <v>0.0</v>
      </c>
      <c r="BX15" s="105">
        <v>0.0</v>
      </c>
      <c r="BY15" s="105">
        <v>0.0</v>
      </c>
      <c r="BZ15" s="105">
        <v>1.0</v>
      </c>
      <c r="CA15" s="105">
        <v>1.0</v>
      </c>
      <c r="CB15" s="105">
        <v>1.0</v>
      </c>
      <c r="CC15" s="105">
        <v>1.0</v>
      </c>
      <c r="CD15" s="105">
        <v>0.0</v>
      </c>
      <c r="CE15" s="105">
        <v>0.0</v>
      </c>
      <c r="CF15" s="105">
        <v>0.0</v>
      </c>
      <c r="CG15" s="105">
        <v>0.0</v>
      </c>
      <c r="CH15" s="105">
        <v>0.0</v>
      </c>
      <c r="CI15" s="105">
        <v>0.0</v>
      </c>
      <c r="CJ15" s="48">
        <f t="shared" si="5"/>
        <v>4</v>
      </c>
      <c r="CS15" s="105">
        <v>15.0</v>
      </c>
      <c r="CT15" s="109">
        <v>0.0</v>
      </c>
      <c r="CU15" s="104">
        <v>0.0</v>
      </c>
      <c r="CV15" s="105">
        <v>0.0</v>
      </c>
      <c r="CW15" s="105">
        <v>0.0</v>
      </c>
      <c r="CX15" s="105">
        <v>1.0</v>
      </c>
      <c r="CY15" s="105">
        <v>0.0</v>
      </c>
      <c r="DA15" s="105">
        <v>14.0</v>
      </c>
      <c r="DB15" s="109">
        <v>0.0</v>
      </c>
      <c r="DC15" s="104">
        <v>0.0</v>
      </c>
      <c r="DD15" s="105">
        <v>0.0</v>
      </c>
      <c r="DE15" s="105">
        <v>0.0</v>
      </c>
      <c r="DF15" s="105">
        <v>1.0</v>
      </c>
      <c r="DG15" s="105">
        <v>0.0</v>
      </c>
      <c r="DI15" s="105">
        <v>13.0</v>
      </c>
      <c r="DJ15" s="104">
        <v>0.0</v>
      </c>
      <c r="DK15" s="104">
        <v>1.0</v>
      </c>
      <c r="DL15" s="105">
        <v>0.0</v>
      </c>
      <c r="DM15" s="105">
        <v>0.0</v>
      </c>
      <c r="DN15" s="105">
        <v>0.0</v>
      </c>
      <c r="DO15" s="105">
        <v>0.0</v>
      </c>
      <c r="DQ15" s="80"/>
      <c r="DS15" s="105">
        <v>14.0</v>
      </c>
      <c r="DT15" s="109">
        <v>1.0</v>
      </c>
      <c r="DU15" s="104">
        <v>0.0</v>
      </c>
      <c r="DV15" s="105">
        <v>0.0</v>
      </c>
      <c r="DW15" s="105">
        <v>0.0</v>
      </c>
      <c r="DX15" s="105">
        <v>0.0</v>
      </c>
      <c r="DY15" s="105">
        <v>0.0</v>
      </c>
      <c r="EA15" s="105">
        <v>13.0</v>
      </c>
      <c r="EB15" s="109">
        <v>0.0</v>
      </c>
      <c r="EC15" s="104">
        <v>0.0</v>
      </c>
      <c r="ED15" s="105">
        <v>0.0</v>
      </c>
      <c r="EE15" s="105">
        <v>1.0</v>
      </c>
      <c r="EF15" s="105">
        <v>0.0</v>
      </c>
      <c r="EG15" s="105">
        <v>0.0</v>
      </c>
      <c r="EI15" s="105">
        <v>12.0</v>
      </c>
      <c r="EJ15" s="109">
        <v>1.0</v>
      </c>
      <c r="EK15" s="104">
        <v>0.0</v>
      </c>
      <c r="EL15" s="105">
        <v>0.0</v>
      </c>
      <c r="EM15" s="105">
        <v>0.0</v>
      </c>
      <c r="EN15" s="105">
        <v>0.0</v>
      </c>
      <c r="EO15" s="105">
        <v>0.0</v>
      </c>
      <c r="ER15" s="80"/>
      <c r="ET15" s="105">
        <v>14.0</v>
      </c>
      <c r="EU15" s="109">
        <v>1.0</v>
      </c>
      <c r="EV15" s="104">
        <v>0.0</v>
      </c>
      <c r="EW15" s="105">
        <v>0.0</v>
      </c>
      <c r="EX15" s="105">
        <v>0.0</v>
      </c>
      <c r="EY15" s="105">
        <v>0.0</v>
      </c>
      <c r="FA15" s="105">
        <v>13.0</v>
      </c>
      <c r="FB15" s="109">
        <v>0.0</v>
      </c>
      <c r="FC15" s="104">
        <v>0.0</v>
      </c>
      <c r="FD15" s="105">
        <v>0.0</v>
      </c>
      <c r="FE15" s="105">
        <v>1.0</v>
      </c>
      <c r="FF15" s="105">
        <v>0.0</v>
      </c>
      <c r="FH15" s="105">
        <v>12.0</v>
      </c>
      <c r="FI15" s="109">
        <v>1.0</v>
      </c>
      <c r="FJ15" s="104">
        <v>0.0</v>
      </c>
      <c r="FK15" s="105">
        <v>0.0</v>
      </c>
      <c r="FL15" s="105">
        <v>0.0</v>
      </c>
      <c r="FM15" s="105">
        <v>0.0</v>
      </c>
    </row>
    <row r="16">
      <c r="A16" s="30" t="s">
        <v>107</v>
      </c>
      <c r="B16" s="85">
        <f t="shared" si="4"/>
        <v>0</v>
      </c>
      <c r="X16" s="86"/>
      <c r="AO16" s="86"/>
      <c r="BN16" s="86"/>
      <c r="BR16" s="104" t="s">
        <v>171</v>
      </c>
      <c r="BS16" s="105">
        <v>0.0</v>
      </c>
      <c r="BT16" s="105">
        <v>0.0</v>
      </c>
      <c r="BU16" s="105">
        <v>0.0</v>
      </c>
      <c r="BV16" s="105">
        <v>0.0</v>
      </c>
      <c r="BW16" s="105">
        <v>0.0</v>
      </c>
      <c r="BX16" s="105">
        <v>0.0</v>
      </c>
      <c r="BY16" s="105">
        <v>0.0</v>
      </c>
      <c r="BZ16" s="105">
        <v>0.0</v>
      </c>
      <c r="CA16" s="105">
        <v>0.0</v>
      </c>
      <c r="CB16" s="105">
        <v>0.0</v>
      </c>
      <c r="CC16" s="105">
        <v>0.0</v>
      </c>
      <c r="CD16" s="105">
        <v>1.0</v>
      </c>
      <c r="CE16" s="105">
        <v>0.0</v>
      </c>
      <c r="CF16" s="105">
        <v>1.0</v>
      </c>
      <c r="CG16" s="105">
        <v>1.0</v>
      </c>
      <c r="CH16" s="105">
        <v>0.0</v>
      </c>
      <c r="CI16" s="105">
        <v>0.0</v>
      </c>
      <c r="CJ16" s="48">
        <f t="shared" si="5"/>
        <v>3</v>
      </c>
      <c r="CS16" s="105">
        <v>16.0</v>
      </c>
      <c r="CT16" s="109">
        <v>1.0</v>
      </c>
      <c r="CU16" s="104">
        <v>0.0</v>
      </c>
      <c r="CV16" s="105">
        <v>0.0</v>
      </c>
      <c r="CW16" s="105">
        <v>0.0</v>
      </c>
      <c r="CX16" s="105">
        <v>0.0</v>
      </c>
      <c r="CY16" s="105">
        <v>0.0</v>
      </c>
      <c r="DA16" s="105">
        <v>15.0</v>
      </c>
      <c r="DB16" s="109">
        <v>0.0</v>
      </c>
      <c r="DC16" s="104">
        <v>0.0</v>
      </c>
      <c r="DD16" s="105">
        <v>0.0</v>
      </c>
      <c r="DE16" s="105">
        <v>1.0</v>
      </c>
      <c r="DF16" s="105">
        <v>0.0</v>
      </c>
      <c r="DG16" s="105">
        <v>0.0</v>
      </c>
      <c r="DI16" s="105">
        <v>14.0</v>
      </c>
      <c r="DJ16" s="104">
        <v>0.0</v>
      </c>
      <c r="DK16" s="104">
        <v>1.0</v>
      </c>
      <c r="DL16" s="105">
        <v>0.0</v>
      </c>
      <c r="DM16" s="105">
        <v>0.0</v>
      </c>
      <c r="DN16" s="105">
        <v>0.0</v>
      </c>
      <c r="DO16" s="105">
        <v>0.0</v>
      </c>
      <c r="DQ16" s="80"/>
      <c r="DS16" s="105">
        <v>15.0</v>
      </c>
      <c r="DT16" s="109">
        <v>0.0</v>
      </c>
      <c r="DU16" s="104">
        <v>0.0</v>
      </c>
      <c r="DV16" s="105">
        <v>0.0</v>
      </c>
      <c r="DW16" s="105">
        <v>0.0</v>
      </c>
      <c r="DX16" s="105">
        <v>1.0</v>
      </c>
      <c r="DY16" s="105">
        <v>0.0</v>
      </c>
      <c r="EA16" s="105">
        <v>14.0</v>
      </c>
      <c r="EB16" s="109">
        <v>0.0</v>
      </c>
      <c r="EC16" s="104">
        <v>0.0</v>
      </c>
      <c r="ED16" s="105">
        <v>0.0</v>
      </c>
      <c r="EE16" s="105">
        <v>0.0</v>
      </c>
      <c r="EF16" s="105">
        <v>1.0</v>
      </c>
      <c r="EG16" s="105">
        <v>0.0</v>
      </c>
      <c r="EI16" s="105">
        <v>13.0</v>
      </c>
      <c r="EJ16" s="104">
        <v>0.0</v>
      </c>
      <c r="EK16" s="104">
        <v>1.0</v>
      </c>
      <c r="EL16" s="105">
        <v>0.0</v>
      </c>
      <c r="EM16" s="105">
        <v>0.0</v>
      </c>
      <c r="EN16" s="105">
        <v>0.0</v>
      </c>
      <c r="EO16" s="105">
        <v>0.0</v>
      </c>
      <c r="ER16" s="80"/>
      <c r="ET16" s="105">
        <v>15.0</v>
      </c>
      <c r="EU16" s="109">
        <v>0.0</v>
      </c>
      <c r="EV16" s="104">
        <v>0.0</v>
      </c>
      <c r="EW16" s="105">
        <v>0.0</v>
      </c>
      <c r="EX16" s="104">
        <v>1.0</v>
      </c>
      <c r="EY16" s="105">
        <v>0.0</v>
      </c>
      <c r="FA16" s="105">
        <v>14.0</v>
      </c>
      <c r="FB16" s="109">
        <v>0.0</v>
      </c>
      <c r="FC16" s="104">
        <v>0.0</v>
      </c>
      <c r="FD16" s="105">
        <v>0.0</v>
      </c>
      <c r="FE16" s="104">
        <v>1.0</v>
      </c>
      <c r="FF16" s="105">
        <v>0.0</v>
      </c>
      <c r="FH16" s="105">
        <v>13.0</v>
      </c>
      <c r="FI16" s="104">
        <v>0.0</v>
      </c>
      <c r="FJ16" s="104">
        <v>1.0</v>
      </c>
      <c r="FK16" s="105">
        <v>0.0</v>
      </c>
      <c r="FL16" s="105">
        <v>0.0</v>
      </c>
      <c r="FM16" s="105">
        <v>0.0</v>
      </c>
    </row>
    <row r="17">
      <c r="A17" s="30" t="s">
        <v>110</v>
      </c>
      <c r="B17" s="85">
        <f t="shared" si="4"/>
        <v>0</v>
      </c>
      <c r="X17" s="86"/>
      <c r="AO17" s="86"/>
      <c r="BN17" s="86"/>
      <c r="BR17" s="104" t="s">
        <v>172</v>
      </c>
      <c r="BS17" s="105">
        <v>0.0</v>
      </c>
      <c r="BT17" s="105">
        <v>0.0</v>
      </c>
      <c r="BU17" s="105">
        <v>0.0</v>
      </c>
      <c r="BV17" s="105">
        <v>0.0</v>
      </c>
      <c r="BW17" s="105">
        <v>0.0</v>
      </c>
      <c r="BX17" s="105">
        <v>1.0</v>
      </c>
      <c r="BY17" s="105">
        <v>0.0</v>
      </c>
      <c r="BZ17" s="105">
        <v>0.0</v>
      </c>
      <c r="CA17" s="105">
        <v>0.0</v>
      </c>
      <c r="CB17" s="105">
        <v>0.0</v>
      </c>
      <c r="CC17" s="105">
        <v>0.0</v>
      </c>
      <c r="CD17" s="105">
        <v>0.0</v>
      </c>
      <c r="CE17" s="105">
        <v>1.0</v>
      </c>
      <c r="CF17" s="105">
        <v>0.0</v>
      </c>
      <c r="CG17" s="105">
        <v>0.0</v>
      </c>
      <c r="CH17" s="105">
        <v>0.0</v>
      </c>
      <c r="CI17" s="105">
        <v>0.0</v>
      </c>
      <c r="CJ17" s="48">
        <f t="shared" si="5"/>
        <v>2</v>
      </c>
      <c r="CS17" s="105">
        <v>17.0</v>
      </c>
      <c r="CT17" s="109">
        <v>0.0</v>
      </c>
      <c r="CU17" s="104">
        <v>0.0</v>
      </c>
      <c r="CV17" s="105">
        <v>0.0</v>
      </c>
      <c r="CW17" s="105">
        <v>1.0</v>
      </c>
      <c r="CX17" s="105">
        <v>0.0</v>
      </c>
      <c r="CY17" s="105">
        <v>0.0</v>
      </c>
      <c r="DA17" s="105">
        <v>16.0</v>
      </c>
      <c r="DB17" s="109">
        <v>0.0</v>
      </c>
      <c r="DC17" s="104">
        <v>0.0</v>
      </c>
      <c r="DD17" s="105">
        <v>0.0</v>
      </c>
      <c r="DE17" s="105">
        <v>1.0</v>
      </c>
      <c r="DF17" s="105">
        <v>0.0</v>
      </c>
      <c r="DG17" s="105">
        <v>0.0</v>
      </c>
      <c r="DI17" s="105">
        <v>15.0</v>
      </c>
      <c r="DJ17" s="109">
        <v>0.0</v>
      </c>
      <c r="DK17" s="104">
        <v>0.0</v>
      </c>
      <c r="DL17" s="105">
        <v>0.0</v>
      </c>
      <c r="DM17" s="105">
        <v>0.0</v>
      </c>
      <c r="DN17" s="105">
        <v>1.0</v>
      </c>
      <c r="DO17" s="105">
        <v>0.0</v>
      </c>
      <c r="DQ17" s="80"/>
      <c r="DS17" s="105">
        <v>16.0</v>
      </c>
      <c r="DT17" s="109">
        <v>1.0</v>
      </c>
      <c r="DU17" s="104">
        <v>0.0</v>
      </c>
      <c r="DV17" s="105">
        <v>0.0</v>
      </c>
      <c r="DW17" s="105">
        <v>0.0</v>
      </c>
      <c r="DX17" s="105">
        <v>0.0</v>
      </c>
      <c r="DY17" s="105">
        <v>0.0</v>
      </c>
      <c r="EA17" s="105">
        <v>15.0</v>
      </c>
      <c r="EB17" s="109">
        <v>0.0</v>
      </c>
      <c r="EC17" s="104">
        <v>0.0</v>
      </c>
      <c r="ED17" s="105">
        <v>0.0</v>
      </c>
      <c r="EE17" s="105">
        <v>1.0</v>
      </c>
      <c r="EF17" s="105">
        <v>0.0</v>
      </c>
      <c r="EG17" s="105">
        <v>0.0</v>
      </c>
      <c r="EI17" s="105">
        <v>14.0</v>
      </c>
      <c r="EJ17" s="104">
        <v>0.0</v>
      </c>
      <c r="EK17" s="104">
        <v>1.0</v>
      </c>
      <c r="EL17" s="105">
        <v>0.0</v>
      </c>
      <c r="EM17" s="105">
        <v>0.0</v>
      </c>
      <c r="EN17" s="105">
        <v>0.0</v>
      </c>
      <c r="EO17" s="105">
        <v>0.0</v>
      </c>
      <c r="ER17" s="80"/>
      <c r="ET17" s="105">
        <v>16.0</v>
      </c>
      <c r="EU17" s="109">
        <v>1.0</v>
      </c>
      <c r="EV17" s="104">
        <v>0.0</v>
      </c>
      <c r="EW17" s="105">
        <v>0.0</v>
      </c>
      <c r="EX17" s="105">
        <v>0.0</v>
      </c>
      <c r="EY17" s="105">
        <v>0.0</v>
      </c>
      <c r="FA17" s="105">
        <v>15.0</v>
      </c>
      <c r="FB17" s="109">
        <v>0.0</v>
      </c>
      <c r="FC17" s="104">
        <v>0.0</v>
      </c>
      <c r="FD17" s="105">
        <v>0.0</v>
      </c>
      <c r="FE17" s="105">
        <v>1.0</v>
      </c>
      <c r="FF17" s="105">
        <v>0.0</v>
      </c>
      <c r="FH17" s="105">
        <v>14.0</v>
      </c>
      <c r="FI17" s="104">
        <v>0.0</v>
      </c>
      <c r="FJ17" s="104">
        <v>1.0</v>
      </c>
      <c r="FK17" s="105">
        <v>0.0</v>
      </c>
      <c r="FL17" s="105">
        <v>0.0</v>
      </c>
      <c r="FM17" s="105">
        <v>0.0</v>
      </c>
    </row>
    <row r="18">
      <c r="A18" s="98" t="s">
        <v>113</v>
      </c>
      <c r="B18" s="96">
        <f t="shared" si="4"/>
        <v>0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3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3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3"/>
      <c r="BR18" s="104" t="s">
        <v>173</v>
      </c>
      <c r="BS18" s="105">
        <v>0.0</v>
      </c>
      <c r="BT18" s="105">
        <v>0.0</v>
      </c>
      <c r="BU18" s="105">
        <v>0.0</v>
      </c>
      <c r="BV18" s="105">
        <v>0.0</v>
      </c>
      <c r="BW18" s="105">
        <v>0.0</v>
      </c>
      <c r="BX18" s="105">
        <v>0.0</v>
      </c>
      <c r="BY18" s="105">
        <v>0.0</v>
      </c>
      <c r="BZ18" s="105">
        <v>0.0</v>
      </c>
      <c r="CA18" s="105">
        <v>0.0</v>
      </c>
      <c r="CB18" s="105">
        <v>0.0</v>
      </c>
      <c r="CC18" s="105">
        <v>0.0</v>
      </c>
      <c r="CD18" s="105">
        <v>0.0</v>
      </c>
      <c r="CE18" s="105">
        <v>0.0</v>
      </c>
      <c r="CF18" s="105">
        <v>0.0</v>
      </c>
      <c r="CG18" s="105">
        <v>0.0</v>
      </c>
      <c r="CH18" s="105">
        <v>1.0</v>
      </c>
      <c r="CI18" s="105">
        <v>1.0</v>
      </c>
      <c r="CJ18" s="48">
        <f t="shared" si="5"/>
        <v>2</v>
      </c>
      <c r="CS18" s="105">
        <v>18.0</v>
      </c>
      <c r="CT18" s="109">
        <v>0.0</v>
      </c>
      <c r="CU18" s="104">
        <v>0.0</v>
      </c>
      <c r="CV18" s="105">
        <v>0.0</v>
      </c>
      <c r="CW18" s="105">
        <v>0.0</v>
      </c>
      <c r="CX18" s="105">
        <v>0.0</v>
      </c>
      <c r="CY18" s="105">
        <v>1.0</v>
      </c>
      <c r="DA18" s="105">
        <v>17.0</v>
      </c>
      <c r="DB18" s="109">
        <v>0.0</v>
      </c>
      <c r="DC18" s="104">
        <v>0.0</v>
      </c>
      <c r="DD18" s="105">
        <v>0.0</v>
      </c>
      <c r="DE18" s="105">
        <v>0.0</v>
      </c>
      <c r="DF18" s="105">
        <v>0.0</v>
      </c>
      <c r="DG18" s="105">
        <v>1.0</v>
      </c>
      <c r="DI18" s="105">
        <v>16.0</v>
      </c>
      <c r="DJ18" s="104">
        <v>1.0</v>
      </c>
      <c r="DK18" s="104">
        <v>0.0</v>
      </c>
      <c r="DL18" s="105">
        <v>0.0</v>
      </c>
      <c r="DM18" s="105">
        <v>0.0</v>
      </c>
      <c r="DN18" s="105">
        <v>0.0</v>
      </c>
      <c r="DO18" s="105">
        <v>0.0</v>
      </c>
      <c r="DQ18" s="80"/>
      <c r="DS18" s="105">
        <v>17.0</v>
      </c>
      <c r="DT18" s="109">
        <v>0.0</v>
      </c>
      <c r="DU18" s="104">
        <v>0.0</v>
      </c>
      <c r="DV18" s="105">
        <v>0.0</v>
      </c>
      <c r="DW18" s="105">
        <v>1.0</v>
      </c>
      <c r="DX18" s="105">
        <v>0.0</v>
      </c>
      <c r="DY18" s="105">
        <v>0.0</v>
      </c>
      <c r="EA18" s="105">
        <v>16.0</v>
      </c>
      <c r="EB18" s="109">
        <v>0.0</v>
      </c>
      <c r="EC18" s="104">
        <v>0.0</v>
      </c>
      <c r="ED18" s="105">
        <v>0.0</v>
      </c>
      <c r="EE18" s="105">
        <v>1.0</v>
      </c>
      <c r="EF18" s="105">
        <v>0.0</v>
      </c>
      <c r="EG18" s="105">
        <v>0.0</v>
      </c>
      <c r="EI18" s="105">
        <v>15.0</v>
      </c>
      <c r="EJ18" s="109">
        <v>0.0</v>
      </c>
      <c r="EK18" s="104">
        <v>0.0</v>
      </c>
      <c r="EL18" s="105">
        <v>0.0</v>
      </c>
      <c r="EM18" s="105">
        <v>0.0</v>
      </c>
      <c r="EN18" s="105">
        <v>1.0</v>
      </c>
      <c r="EO18" s="105">
        <v>0.0</v>
      </c>
      <c r="ER18" s="80"/>
      <c r="ET18" s="105">
        <v>17.0</v>
      </c>
      <c r="EU18" s="109">
        <v>0.0</v>
      </c>
      <c r="EV18" s="104">
        <v>0.0</v>
      </c>
      <c r="EW18" s="105">
        <v>0.0</v>
      </c>
      <c r="EX18" s="105">
        <v>1.0</v>
      </c>
      <c r="EY18" s="105">
        <v>0.0</v>
      </c>
      <c r="FA18" s="105">
        <v>16.0</v>
      </c>
      <c r="FB18" s="109">
        <v>0.0</v>
      </c>
      <c r="FC18" s="104">
        <v>0.0</v>
      </c>
      <c r="FD18" s="105">
        <v>0.0</v>
      </c>
      <c r="FE18" s="105">
        <v>1.0</v>
      </c>
      <c r="FF18" s="105">
        <v>0.0</v>
      </c>
      <c r="FH18" s="105">
        <v>15.0</v>
      </c>
      <c r="FI18" s="109">
        <v>0.0</v>
      </c>
      <c r="FJ18" s="104">
        <v>0.0</v>
      </c>
      <c r="FK18" s="105">
        <v>0.0</v>
      </c>
      <c r="FL18" s="104">
        <v>1.0</v>
      </c>
      <c r="FM18" s="105">
        <v>0.0</v>
      </c>
    </row>
    <row r="19">
      <c r="A19" s="34" t="s">
        <v>117</v>
      </c>
      <c r="B19" s="85">
        <f t="shared" si="4"/>
        <v>1</v>
      </c>
      <c r="M19" s="42">
        <v>1.0</v>
      </c>
      <c r="X19" s="86"/>
      <c r="AO19" s="86"/>
      <c r="BN19" s="86"/>
      <c r="CS19" s="105">
        <v>19.0</v>
      </c>
      <c r="CT19" s="109">
        <v>1.0</v>
      </c>
      <c r="CU19" s="104">
        <v>0.0</v>
      </c>
      <c r="CV19" s="105">
        <v>0.0</v>
      </c>
      <c r="CW19" s="105">
        <v>0.0</v>
      </c>
      <c r="CX19" s="105">
        <v>0.0</v>
      </c>
      <c r="CY19" s="105">
        <v>0.0</v>
      </c>
      <c r="DA19" s="105">
        <v>18.0</v>
      </c>
      <c r="DB19" s="109">
        <v>0.0</v>
      </c>
      <c r="DC19" s="104">
        <v>0.0</v>
      </c>
      <c r="DD19" s="105">
        <v>0.0</v>
      </c>
      <c r="DE19" s="105">
        <v>0.0</v>
      </c>
      <c r="DF19" s="105">
        <v>0.0</v>
      </c>
      <c r="DG19" s="105">
        <v>1.0</v>
      </c>
      <c r="DI19" s="105">
        <v>17.0</v>
      </c>
      <c r="DJ19" s="109">
        <v>1.0</v>
      </c>
      <c r="DK19" s="104">
        <v>0.0</v>
      </c>
      <c r="DL19" s="105">
        <v>0.0</v>
      </c>
      <c r="DM19" s="105">
        <v>0.0</v>
      </c>
      <c r="DN19" s="105">
        <v>0.0</v>
      </c>
      <c r="DO19" s="105">
        <v>0.0</v>
      </c>
      <c r="DQ19" s="80"/>
      <c r="DS19" s="105">
        <v>18.0</v>
      </c>
      <c r="DT19" s="109">
        <v>0.0</v>
      </c>
      <c r="DU19" s="104">
        <v>0.0</v>
      </c>
      <c r="DV19" s="105">
        <v>0.0</v>
      </c>
      <c r="DW19" s="105">
        <v>0.0</v>
      </c>
      <c r="DX19" s="105">
        <v>0.0</v>
      </c>
      <c r="DY19" s="105">
        <v>1.0</v>
      </c>
      <c r="EA19" s="105">
        <v>17.0</v>
      </c>
      <c r="EB19" s="109">
        <v>0.0</v>
      </c>
      <c r="EC19" s="104">
        <v>0.0</v>
      </c>
      <c r="ED19" s="105">
        <v>0.0</v>
      </c>
      <c r="EE19" s="105">
        <v>0.0</v>
      </c>
      <c r="EF19" s="105">
        <v>0.0</v>
      </c>
      <c r="EG19" s="105">
        <v>1.0</v>
      </c>
      <c r="EI19" s="105">
        <v>16.0</v>
      </c>
      <c r="EJ19" s="104">
        <v>1.0</v>
      </c>
      <c r="EK19" s="104">
        <v>0.0</v>
      </c>
      <c r="EL19" s="105">
        <v>0.0</v>
      </c>
      <c r="EM19" s="105">
        <v>0.0</v>
      </c>
      <c r="EN19" s="105">
        <v>0.0</v>
      </c>
      <c r="EO19" s="105">
        <v>0.0</v>
      </c>
      <c r="ER19" s="80"/>
      <c r="ET19" s="105">
        <v>18.0</v>
      </c>
      <c r="EU19" s="109">
        <v>0.0</v>
      </c>
      <c r="EV19" s="104">
        <v>0.0</v>
      </c>
      <c r="EW19" s="105">
        <v>0.0</v>
      </c>
      <c r="EX19" s="105">
        <v>0.0</v>
      </c>
      <c r="EY19" s="105">
        <v>1.0</v>
      </c>
      <c r="FA19" s="105">
        <v>17.0</v>
      </c>
      <c r="FB19" s="109">
        <v>0.0</v>
      </c>
      <c r="FC19" s="104">
        <v>0.0</v>
      </c>
      <c r="FD19" s="105">
        <v>0.0</v>
      </c>
      <c r="FE19" s="105">
        <v>0.0</v>
      </c>
      <c r="FF19" s="105">
        <v>1.0</v>
      </c>
      <c r="FH19" s="105">
        <v>16.0</v>
      </c>
      <c r="FI19" s="104">
        <v>1.0</v>
      </c>
      <c r="FJ19" s="104">
        <v>0.0</v>
      </c>
      <c r="FK19" s="105">
        <v>0.0</v>
      </c>
      <c r="FL19" s="105">
        <v>0.0</v>
      </c>
      <c r="FM19" s="105">
        <v>0.0</v>
      </c>
    </row>
    <row r="20">
      <c r="A20" s="34" t="s">
        <v>120</v>
      </c>
      <c r="B20" s="85">
        <f t="shared" si="4"/>
        <v>1</v>
      </c>
      <c r="O20" s="42">
        <v>1.0</v>
      </c>
      <c r="X20" s="86"/>
      <c r="AO20" s="86"/>
      <c r="BN20" s="86"/>
      <c r="CS20" s="105">
        <v>20.0</v>
      </c>
      <c r="CT20" s="109">
        <v>0.0</v>
      </c>
      <c r="CU20" s="104">
        <v>0.0</v>
      </c>
      <c r="CV20" s="105">
        <v>1.0</v>
      </c>
      <c r="CW20" s="105">
        <v>0.0</v>
      </c>
      <c r="CX20" s="105">
        <v>0.0</v>
      </c>
      <c r="CY20" s="105">
        <v>0.0</v>
      </c>
      <c r="DA20" s="121" t="s">
        <v>176</v>
      </c>
      <c r="DB20" s="122">
        <f t="shared" ref="DB20:DG20" si="6">sum(DB3:DB19)</f>
        <v>5</v>
      </c>
      <c r="DC20" s="122">
        <f t="shared" si="6"/>
        <v>2</v>
      </c>
      <c r="DD20" s="122">
        <f t="shared" si="6"/>
        <v>4</v>
      </c>
      <c r="DE20" s="122">
        <f t="shared" si="6"/>
        <v>3</v>
      </c>
      <c r="DF20" s="122">
        <f t="shared" si="6"/>
        <v>2</v>
      </c>
      <c r="DG20" s="122">
        <f t="shared" si="6"/>
        <v>2</v>
      </c>
      <c r="DI20" s="105">
        <v>18.0</v>
      </c>
      <c r="DJ20" s="109">
        <v>1.0</v>
      </c>
      <c r="DK20" s="104">
        <v>0.0</v>
      </c>
      <c r="DL20" s="105">
        <v>0.0</v>
      </c>
      <c r="DM20" s="105">
        <v>0.0</v>
      </c>
      <c r="DN20" s="105">
        <v>1.0</v>
      </c>
      <c r="DO20" s="105">
        <v>0.0</v>
      </c>
      <c r="DQ20" s="80"/>
      <c r="DS20" s="105">
        <v>19.0</v>
      </c>
      <c r="DT20" s="109">
        <v>1.0</v>
      </c>
      <c r="DU20" s="104">
        <v>0.0</v>
      </c>
      <c r="DV20" s="105">
        <v>0.0</v>
      </c>
      <c r="DW20" s="105">
        <v>0.0</v>
      </c>
      <c r="DX20" s="105">
        <v>0.0</v>
      </c>
      <c r="DY20" s="105">
        <v>0.0</v>
      </c>
      <c r="EA20" s="105">
        <v>18.0</v>
      </c>
      <c r="EB20" s="109">
        <v>0.0</v>
      </c>
      <c r="EC20" s="104">
        <v>0.0</v>
      </c>
      <c r="ED20" s="105">
        <v>0.0</v>
      </c>
      <c r="EE20" s="105">
        <v>0.0</v>
      </c>
      <c r="EF20" s="105">
        <v>0.0</v>
      </c>
      <c r="EG20" s="105">
        <v>1.0</v>
      </c>
      <c r="EI20" s="105">
        <v>17.0</v>
      </c>
      <c r="EJ20" s="109">
        <v>1.0</v>
      </c>
      <c r="EK20" s="104">
        <v>0.0</v>
      </c>
      <c r="EL20" s="105">
        <v>0.0</v>
      </c>
      <c r="EM20" s="105">
        <v>0.0</v>
      </c>
      <c r="EN20" s="105">
        <v>0.0</v>
      </c>
      <c r="EO20" s="105">
        <v>0.0</v>
      </c>
      <c r="ER20" s="80"/>
      <c r="ET20" s="105">
        <v>19.0</v>
      </c>
      <c r="EU20" s="109">
        <v>1.0</v>
      </c>
      <c r="EV20" s="104">
        <v>0.0</v>
      </c>
      <c r="EW20" s="105">
        <v>0.0</v>
      </c>
      <c r="EX20" s="105">
        <v>0.0</v>
      </c>
      <c r="EY20" s="105">
        <v>0.0</v>
      </c>
      <c r="FA20" s="105">
        <v>18.0</v>
      </c>
      <c r="FB20" s="109">
        <v>0.0</v>
      </c>
      <c r="FC20" s="104">
        <v>0.0</v>
      </c>
      <c r="FD20" s="105">
        <v>0.0</v>
      </c>
      <c r="FE20" s="105">
        <v>0.0</v>
      </c>
      <c r="FF20" s="105">
        <v>1.0</v>
      </c>
      <c r="FH20" s="105">
        <v>17.0</v>
      </c>
      <c r="FI20" s="109">
        <v>1.0</v>
      </c>
      <c r="FJ20" s="104">
        <v>0.0</v>
      </c>
      <c r="FK20" s="105">
        <v>0.0</v>
      </c>
      <c r="FL20" s="105">
        <v>0.0</v>
      </c>
      <c r="FM20" s="105">
        <v>0.0</v>
      </c>
    </row>
    <row r="21">
      <c r="A21" s="34" t="s">
        <v>123</v>
      </c>
      <c r="B21" s="85">
        <f t="shared" si="4"/>
        <v>1</v>
      </c>
      <c r="W21" s="42">
        <v>1.0</v>
      </c>
      <c r="X21" s="86"/>
      <c r="AO21" s="86"/>
      <c r="BN21" s="86"/>
      <c r="BR21" s="88" t="s">
        <v>166</v>
      </c>
      <c r="CS21" s="105">
        <v>21.0</v>
      </c>
      <c r="CT21" s="109">
        <v>0.0</v>
      </c>
      <c r="CU21" s="104">
        <v>0.0</v>
      </c>
      <c r="CV21" s="105">
        <v>0.0</v>
      </c>
      <c r="CW21" s="105">
        <v>1.0</v>
      </c>
      <c r="CX21" s="105">
        <v>0.0</v>
      </c>
      <c r="CY21" s="105">
        <v>0.0</v>
      </c>
      <c r="DI21" s="105">
        <v>19.0</v>
      </c>
      <c r="DJ21" s="109">
        <v>0.0</v>
      </c>
      <c r="DK21" s="104">
        <v>0.0</v>
      </c>
      <c r="DL21" s="105">
        <v>0.0</v>
      </c>
      <c r="DM21" s="105">
        <v>0.0</v>
      </c>
      <c r="DN21" s="105">
        <v>1.0</v>
      </c>
      <c r="DO21" s="105">
        <v>0.0</v>
      </c>
      <c r="DQ21" s="80"/>
      <c r="DS21" s="105">
        <v>20.0</v>
      </c>
      <c r="DT21" s="109">
        <v>0.0</v>
      </c>
      <c r="DU21" s="104">
        <v>0.0</v>
      </c>
      <c r="DV21" s="105">
        <v>1.0</v>
      </c>
      <c r="DW21" s="105">
        <v>0.0</v>
      </c>
      <c r="DX21" s="105">
        <v>0.0</v>
      </c>
      <c r="DY21" s="105">
        <v>0.0</v>
      </c>
      <c r="EA21" s="121" t="s">
        <v>176</v>
      </c>
      <c r="EB21" s="122">
        <f t="shared" ref="EB21:EG21" si="7">sum(EB4:EB20)</f>
        <v>6</v>
      </c>
      <c r="EC21" s="122">
        <f t="shared" si="7"/>
        <v>3</v>
      </c>
      <c r="ED21" s="122">
        <f t="shared" si="7"/>
        <v>4</v>
      </c>
      <c r="EE21" s="122">
        <f t="shared" si="7"/>
        <v>3</v>
      </c>
      <c r="EF21" s="122">
        <f t="shared" si="7"/>
        <v>2</v>
      </c>
      <c r="EG21" s="122">
        <f t="shared" si="7"/>
        <v>2</v>
      </c>
      <c r="EI21" s="105">
        <v>18.0</v>
      </c>
      <c r="EJ21" s="109">
        <v>1.0</v>
      </c>
      <c r="EK21" s="104">
        <v>0.0</v>
      </c>
      <c r="EL21" s="105">
        <v>0.0</v>
      </c>
      <c r="EM21" s="105">
        <v>0.0</v>
      </c>
      <c r="EN21" s="105">
        <v>1.0</v>
      </c>
      <c r="EO21" s="105">
        <v>0.0</v>
      </c>
      <c r="ER21" s="80"/>
      <c r="ET21" s="105">
        <v>20.0</v>
      </c>
      <c r="EU21" s="109">
        <v>0.0</v>
      </c>
      <c r="EV21" s="104">
        <v>0.0</v>
      </c>
      <c r="EW21" s="105">
        <v>1.0</v>
      </c>
      <c r="EX21" s="105">
        <v>0.0</v>
      </c>
      <c r="EY21" s="105">
        <v>0.0</v>
      </c>
      <c r="FA21" s="121" t="s">
        <v>176</v>
      </c>
      <c r="FB21" s="122">
        <f t="shared" ref="FB21:FF21" si="8">sum(FB4:FB20)</f>
        <v>6</v>
      </c>
      <c r="FC21" s="122">
        <f t="shared" si="8"/>
        <v>3</v>
      </c>
      <c r="FD21" s="122">
        <f t="shared" si="8"/>
        <v>4</v>
      </c>
      <c r="FE21" s="122">
        <f t="shared" si="8"/>
        <v>5</v>
      </c>
      <c r="FF21" s="122">
        <f t="shared" si="8"/>
        <v>2</v>
      </c>
      <c r="FH21" s="105">
        <v>18.0</v>
      </c>
      <c r="FI21" s="109">
        <v>1.0</v>
      </c>
      <c r="FJ21" s="104">
        <v>0.0</v>
      </c>
      <c r="FK21" s="105">
        <v>0.0</v>
      </c>
      <c r="FL21" s="104">
        <v>1.0</v>
      </c>
      <c r="FM21" s="105">
        <v>0.0</v>
      </c>
    </row>
    <row r="22">
      <c r="A22" s="34" t="s">
        <v>126</v>
      </c>
      <c r="B22" s="85">
        <f t="shared" si="4"/>
        <v>6</v>
      </c>
      <c r="J22" s="42">
        <v>1.0</v>
      </c>
      <c r="K22" s="42">
        <v>1.0</v>
      </c>
      <c r="L22" s="42">
        <v>1.0</v>
      </c>
      <c r="X22" s="86"/>
      <c r="AK22" s="42">
        <v>1.0</v>
      </c>
      <c r="AO22" s="86"/>
      <c r="BD22" s="42">
        <v>1.0</v>
      </c>
      <c r="BH22" s="42">
        <v>1.0</v>
      </c>
      <c r="BN22" s="86"/>
      <c r="BQ22" s="104" t="s">
        <v>167</v>
      </c>
      <c r="BR22" s="105">
        <v>1.0</v>
      </c>
      <c r="BS22" s="105">
        <v>2.0</v>
      </c>
      <c r="BT22" s="105">
        <v>3.0</v>
      </c>
      <c r="BU22" s="105">
        <v>4.0</v>
      </c>
      <c r="BV22" s="105">
        <v>5.0</v>
      </c>
      <c r="BW22" s="105">
        <v>6.0</v>
      </c>
      <c r="BX22" s="105">
        <v>7.0</v>
      </c>
      <c r="BY22" s="105">
        <v>8.0</v>
      </c>
      <c r="BZ22" s="105">
        <v>9.0</v>
      </c>
      <c r="CA22" s="105">
        <v>10.0</v>
      </c>
      <c r="CB22" s="105">
        <v>11.0</v>
      </c>
      <c r="CC22" s="105">
        <v>12.0</v>
      </c>
      <c r="CD22" s="105">
        <v>13.0</v>
      </c>
      <c r="CE22" s="105">
        <v>14.0</v>
      </c>
      <c r="CF22" s="105">
        <v>15.0</v>
      </c>
      <c r="CG22" s="105">
        <v>16.0</v>
      </c>
      <c r="CH22" s="105">
        <v>17.0</v>
      </c>
      <c r="CI22" s="105">
        <v>18.0</v>
      </c>
      <c r="CJ22" s="105">
        <v>19.0</v>
      </c>
      <c r="CK22" s="105">
        <v>20.0</v>
      </c>
      <c r="CL22" s="105">
        <v>21.0</v>
      </c>
      <c r="CM22" s="105">
        <v>22.0</v>
      </c>
      <c r="CN22" s="105">
        <v>23.0</v>
      </c>
      <c r="CO22" s="105">
        <v>24.0</v>
      </c>
      <c r="CP22" s="105">
        <v>25.0</v>
      </c>
      <c r="CS22" s="105">
        <v>22.0</v>
      </c>
      <c r="CT22" s="109">
        <v>1.0</v>
      </c>
      <c r="CU22" s="104">
        <v>0.0</v>
      </c>
      <c r="CV22" s="105">
        <v>0.0</v>
      </c>
      <c r="CW22" s="105">
        <v>0.0</v>
      </c>
      <c r="CX22" s="105">
        <v>0.0</v>
      </c>
      <c r="CY22" s="105">
        <v>0.0</v>
      </c>
      <c r="DI22" s="105">
        <v>20.0</v>
      </c>
      <c r="DJ22" s="109">
        <v>1.0</v>
      </c>
      <c r="DK22" s="104">
        <v>0.0</v>
      </c>
      <c r="DL22" s="105">
        <v>0.0</v>
      </c>
      <c r="DM22" s="105">
        <v>0.0</v>
      </c>
      <c r="DN22" s="105">
        <v>0.0</v>
      </c>
      <c r="DO22" s="105">
        <v>0.0</v>
      </c>
      <c r="DQ22" s="80"/>
      <c r="DS22" s="105">
        <v>21.0</v>
      </c>
      <c r="DT22" s="109">
        <v>0.0</v>
      </c>
      <c r="DU22" s="104">
        <v>0.0</v>
      </c>
      <c r="DV22" s="105">
        <v>0.0</v>
      </c>
      <c r="DW22" s="105">
        <v>1.0</v>
      </c>
      <c r="DX22" s="105">
        <v>0.0</v>
      </c>
      <c r="DY22" s="105">
        <v>0.0</v>
      </c>
      <c r="EI22" s="105">
        <v>19.0</v>
      </c>
      <c r="EJ22" s="109">
        <v>0.0</v>
      </c>
      <c r="EK22" s="104">
        <v>0.0</v>
      </c>
      <c r="EL22" s="105">
        <v>0.0</v>
      </c>
      <c r="EM22" s="105">
        <v>0.0</v>
      </c>
      <c r="EN22" s="105">
        <v>1.0</v>
      </c>
      <c r="EO22" s="105">
        <v>0.0</v>
      </c>
      <c r="ER22" s="80"/>
      <c r="ET22" s="105">
        <v>21.0</v>
      </c>
      <c r="EU22" s="109">
        <v>0.0</v>
      </c>
      <c r="EV22" s="104">
        <v>0.0</v>
      </c>
      <c r="EW22" s="105">
        <v>0.0</v>
      </c>
      <c r="EX22" s="105">
        <v>1.0</v>
      </c>
      <c r="EY22" s="105">
        <v>0.0</v>
      </c>
      <c r="FH22" s="105">
        <v>19.0</v>
      </c>
      <c r="FI22" s="109">
        <v>0.0</v>
      </c>
      <c r="FJ22" s="104">
        <v>0.0</v>
      </c>
      <c r="FK22" s="105">
        <v>0.0</v>
      </c>
      <c r="FL22" s="104">
        <v>1.0</v>
      </c>
      <c r="FM22" s="105">
        <v>0.0</v>
      </c>
    </row>
    <row r="23">
      <c r="A23" s="34" t="s">
        <v>129</v>
      </c>
      <c r="B23" s="85">
        <f t="shared" si="4"/>
        <v>3</v>
      </c>
      <c r="X23" s="86"/>
      <c r="AC23" s="97"/>
      <c r="AO23" s="86"/>
      <c r="BG23" s="42">
        <v>1.0</v>
      </c>
      <c r="BM23" s="42">
        <v>1.0</v>
      </c>
      <c r="BN23" s="87">
        <v>1.0</v>
      </c>
      <c r="BQ23" s="104" t="s">
        <v>169</v>
      </c>
      <c r="BR23" s="104">
        <v>1.0</v>
      </c>
      <c r="BS23" s="109">
        <v>1.0</v>
      </c>
      <c r="BT23" s="109">
        <v>1.0</v>
      </c>
      <c r="BU23" s="109">
        <v>1.0</v>
      </c>
      <c r="BV23" s="109">
        <v>1.0</v>
      </c>
      <c r="BW23" s="109">
        <v>1.0</v>
      </c>
      <c r="BX23" s="104">
        <v>0.0</v>
      </c>
      <c r="BY23" s="109">
        <v>0.0</v>
      </c>
      <c r="BZ23" s="109">
        <v>1.0</v>
      </c>
      <c r="CA23" s="104">
        <v>1.0</v>
      </c>
      <c r="CB23" s="109">
        <v>1.0</v>
      </c>
      <c r="CC23" s="109">
        <v>1.0</v>
      </c>
      <c r="CD23" s="104">
        <v>0.0</v>
      </c>
      <c r="CE23" s="104">
        <v>0.0</v>
      </c>
      <c r="CF23" s="109">
        <v>0.0</v>
      </c>
      <c r="CG23" s="104">
        <v>1.0</v>
      </c>
      <c r="CH23" s="109">
        <v>1.0</v>
      </c>
      <c r="CI23" s="109">
        <v>1.0</v>
      </c>
      <c r="CJ23" s="109">
        <v>0.0</v>
      </c>
      <c r="CK23" s="109">
        <v>1.0</v>
      </c>
      <c r="CL23" s="104">
        <v>1.0</v>
      </c>
      <c r="CM23" s="109">
        <v>1.0</v>
      </c>
      <c r="CN23" s="104">
        <v>0.0</v>
      </c>
      <c r="CO23" s="109">
        <v>0.0</v>
      </c>
      <c r="CP23" s="109">
        <v>0.0</v>
      </c>
      <c r="CQ23" s="48">
        <f t="shared" ref="CQ23:CQ28" si="9">SUM(BR23:CP23)</f>
        <v>16</v>
      </c>
      <c r="CS23" s="105">
        <v>23.0</v>
      </c>
      <c r="CT23" s="109">
        <v>0.0</v>
      </c>
      <c r="CU23" s="104">
        <v>0.0</v>
      </c>
      <c r="CV23" s="105">
        <v>0.0</v>
      </c>
      <c r="CW23" s="105">
        <v>0.0</v>
      </c>
      <c r="CX23" s="105">
        <v>1.0</v>
      </c>
      <c r="CY23" s="105">
        <v>0.0</v>
      </c>
      <c r="DI23" s="105">
        <v>21.0</v>
      </c>
      <c r="DJ23" s="104">
        <v>1.0</v>
      </c>
      <c r="DK23" s="104">
        <v>0.0</v>
      </c>
      <c r="DL23" s="105">
        <v>0.0</v>
      </c>
      <c r="DM23" s="105">
        <v>0.0</v>
      </c>
      <c r="DN23" s="105">
        <v>0.0</v>
      </c>
      <c r="DO23" s="105">
        <v>0.0</v>
      </c>
      <c r="DQ23" s="80"/>
      <c r="DS23" s="105">
        <v>22.0</v>
      </c>
      <c r="DT23" s="109">
        <v>1.0</v>
      </c>
      <c r="DU23" s="104">
        <v>0.0</v>
      </c>
      <c r="DV23" s="105">
        <v>0.0</v>
      </c>
      <c r="DW23" s="105">
        <v>0.0</v>
      </c>
      <c r="DX23" s="105">
        <v>0.0</v>
      </c>
      <c r="DY23" s="105">
        <v>0.0</v>
      </c>
      <c r="EI23" s="105">
        <v>20.0</v>
      </c>
      <c r="EJ23" s="109">
        <v>1.0</v>
      </c>
      <c r="EK23" s="104">
        <v>0.0</v>
      </c>
      <c r="EL23" s="105">
        <v>0.0</v>
      </c>
      <c r="EM23" s="105">
        <v>0.0</v>
      </c>
      <c r="EN23" s="105">
        <v>0.0</v>
      </c>
      <c r="EO23" s="105">
        <v>0.0</v>
      </c>
      <c r="ER23" s="80"/>
      <c r="ET23" s="105">
        <v>22.0</v>
      </c>
      <c r="EU23" s="109">
        <v>1.0</v>
      </c>
      <c r="EV23" s="104">
        <v>0.0</v>
      </c>
      <c r="EW23" s="105">
        <v>0.0</v>
      </c>
      <c r="EX23" s="105">
        <v>0.0</v>
      </c>
      <c r="EY23" s="105">
        <v>0.0</v>
      </c>
      <c r="FH23" s="105">
        <v>20.0</v>
      </c>
      <c r="FI23" s="109">
        <v>1.0</v>
      </c>
      <c r="FJ23" s="104">
        <v>0.0</v>
      </c>
      <c r="FK23" s="105">
        <v>0.0</v>
      </c>
      <c r="FL23" s="105">
        <v>0.0</v>
      </c>
      <c r="FM23" s="105">
        <v>0.0</v>
      </c>
    </row>
    <row r="24">
      <c r="A24" s="34" t="s">
        <v>132</v>
      </c>
      <c r="B24" s="85">
        <f t="shared" si="4"/>
        <v>1</v>
      </c>
      <c r="H24" s="97"/>
      <c r="X24" s="86"/>
      <c r="AD24" s="42">
        <v>1.0</v>
      </c>
      <c r="AO24" s="86"/>
      <c r="BN24" s="86"/>
      <c r="BQ24" s="104" t="s">
        <v>175</v>
      </c>
      <c r="BR24" s="104">
        <v>0.0</v>
      </c>
      <c r="BS24" s="104">
        <v>0.0</v>
      </c>
      <c r="BT24" s="104">
        <v>0.0</v>
      </c>
      <c r="BU24" s="104">
        <v>0.0</v>
      </c>
      <c r="BV24" s="104">
        <v>0.0</v>
      </c>
      <c r="BW24" s="104">
        <v>0.0</v>
      </c>
      <c r="BX24" s="104">
        <v>1.0</v>
      </c>
      <c r="BY24" s="104">
        <v>0.0</v>
      </c>
      <c r="BZ24" s="104">
        <v>0.0</v>
      </c>
      <c r="CA24" s="104">
        <v>1.0</v>
      </c>
      <c r="CB24" s="104">
        <v>0.0</v>
      </c>
      <c r="CC24" s="104">
        <v>0.0</v>
      </c>
      <c r="CD24" s="104">
        <v>1.0</v>
      </c>
      <c r="CE24" s="104">
        <v>1.0</v>
      </c>
      <c r="CF24" s="104">
        <v>0.0</v>
      </c>
      <c r="CG24" s="104">
        <v>0.0</v>
      </c>
      <c r="CH24" s="104">
        <v>0.0</v>
      </c>
      <c r="CI24" s="104">
        <v>0.0</v>
      </c>
      <c r="CJ24" s="104">
        <v>0.0</v>
      </c>
      <c r="CK24" s="104">
        <v>0.0</v>
      </c>
      <c r="CL24" s="104">
        <v>0.0</v>
      </c>
      <c r="CM24" s="104">
        <v>0.0</v>
      </c>
      <c r="CN24" s="104">
        <v>1.0</v>
      </c>
      <c r="CO24" s="104">
        <v>0.0</v>
      </c>
      <c r="CP24" s="104">
        <v>0.0</v>
      </c>
      <c r="CQ24" s="48">
        <f t="shared" si="9"/>
        <v>5</v>
      </c>
      <c r="CS24" s="105">
        <v>24.0</v>
      </c>
      <c r="CT24" s="109">
        <v>1.0</v>
      </c>
      <c r="CU24" s="104">
        <v>0.0</v>
      </c>
      <c r="CV24" s="105">
        <v>0.0</v>
      </c>
      <c r="CW24" s="105">
        <v>0.0</v>
      </c>
      <c r="CX24" s="105">
        <v>0.0</v>
      </c>
      <c r="CY24" s="105">
        <v>0.0</v>
      </c>
      <c r="DI24" s="105">
        <v>22.0</v>
      </c>
      <c r="DJ24" s="109">
        <v>1.0</v>
      </c>
      <c r="DK24" s="104">
        <v>0.0</v>
      </c>
      <c r="DL24" s="105">
        <v>0.0</v>
      </c>
      <c r="DM24" s="105">
        <v>0.0</v>
      </c>
      <c r="DN24" s="105">
        <v>0.0</v>
      </c>
      <c r="DO24" s="105">
        <v>0.0</v>
      </c>
      <c r="DQ24" s="80"/>
      <c r="DS24" s="105">
        <v>23.0</v>
      </c>
      <c r="DT24" s="109">
        <v>0.0</v>
      </c>
      <c r="DU24" s="104">
        <v>0.0</v>
      </c>
      <c r="DV24" s="105">
        <v>0.0</v>
      </c>
      <c r="DW24" s="105">
        <v>0.0</v>
      </c>
      <c r="DX24" s="105">
        <v>1.0</v>
      </c>
      <c r="DY24" s="105">
        <v>0.0</v>
      </c>
      <c r="EI24" s="105">
        <v>21.0</v>
      </c>
      <c r="EJ24" s="104">
        <v>1.0</v>
      </c>
      <c r="EK24" s="104">
        <v>0.0</v>
      </c>
      <c r="EL24" s="105">
        <v>0.0</v>
      </c>
      <c r="EM24" s="105">
        <v>0.0</v>
      </c>
      <c r="EN24" s="105">
        <v>0.0</v>
      </c>
      <c r="EO24" s="105">
        <v>0.0</v>
      </c>
      <c r="ER24" s="80"/>
      <c r="ET24" s="105">
        <v>23.0</v>
      </c>
      <c r="EU24" s="109">
        <v>0.0</v>
      </c>
      <c r="EV24" s="104">
        <v>0.0</v>
      </c>
      <c r="EW24" s="105">
        <v>0.0</v>
      </c>
      <c r="EX24" s="104">
        <v>1.0</v>
      </c>
      <c r="EY24" s="105">
        <v>0.0</v>
      </c>
      <c r="FH24" s="105">
        <v>21.0</v>
      </c>
      <c r="FI24" s="104">
        <v>1.0</v>
      </c>
      <c r="FJ24" s="104">
        <v>0.0</v>
      </c>
      <c r="FK24" s="105">
        <v>0.0</v>
      </c>
      <c r="FL24" s="105">
        <v>0.0</v>
      </c>
      <c r="FM24" s="105">
        <v>0.0</v>
      </c>
    </row>
    <row r="25">
      <c r="A25" s="99" t="s">
        <v>135</v>
      </c>
      <c r="B25" s="96">
        <f t="shared" si="4"/>
        <v>0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3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3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3"/>
      <c r="BQ25" s="104" t="s">
        <v>170</v>
      </c>
      <c r="BR25" s="105">
        <v>0.0</v>
      </c>
      <c r="BS25" s="105">
        <v>0.0</v>
      </c>
      <c r="BT25" s="105">
        <v>0.0</v>
      </c>
      <c r="BU25" s="105">
        <v>0.0</v>
      </c>
      <c r="BV25" s="105">
        <v>0.0</v>
      </c>
      <c r="BW25" s="105">
        <v>0.0</v>
      </c>
      <c r="BX25" s="105">
        <v>0.0</v>
      </c>
      <c r="BY25" s="105">
        <v>0.0</v>
      </c>
      <c r="BZ25" s="105">
        <v>0.0</v>
      </c>
      <c r="CA25" s="105">
        <v>0.0</v>
      </c>
      <c r="CB25" s="105">
        <v>1.0</v>
      </c>
      <c r="CC25" s="105">
        <v>0.0</v>
      </c>
      <c r="CD25" s="105">
        <v>0.0</v>
      </c>
      <c r="CE25" s="105">
        <v>0.0</v>
      </c>
      <c r="CF25" s="105">
        <v>0.0</v>
      </c>
      <c r="CG25" s="105">
        <v>0.0</v>
      </c>
      <c r="CH25" s="105">
        <v>0.0</v>
      </c>
      <c r="CI25" s="105">
        <v>0.0</v>
      </c>
      <c r="CJ25" s="105">
        <v>0.0</v>
      </c>
      <c r="CK25" s="105">
        <v>0.0</v>
      </c>
      <c r="CL25" s="105">
        <v>0.0</v>
      </c>
      <c r="CM25" s="105">
        <v>0.0</v>
      </c>
      <c r="CN25" s="105">
        <v>0.0</v>
      </c>
      <c r="CO25" s="105">
        <v>1.0</v>
      </c>
      <c r="CP25" s="105">
        <v>1.0</v>
      </c>
      <c r="CQ25" s="48">
        <f t="shared" si="9"/>
        <v>3</v>
      </c>
      <c r="CS25" s="123" t="s">
        <v>176</v>
      </c>
      <c r="CT25" s="113">
        <f t="shared" ref="CT25:CY25" si="10">SUM(CT2:CT24)</f>
        <v>5</v>
      </c>
      <c r="CU25" s="113">
        <f t="shared" si="10"/>
        <v>1</v>
      </c>
      <c r="CV25" s="113">
        <f t="shared" si="10"/>
        <v>3</v>
      </c>
      <c r="CW25" s="113">
        <f t="shared" si="10"/>
        <v>6</v>
      </c>
      <c r="CX25" s="113">
        <f t="shared" si="10"/>
        <v>6</v>
      </c>
      <c r="CY25" s="113">
        <f t="shared" si="10"/>
        <v>1</v>
      </c>
      <c r="DI25" s="105">
        <v>23.0</v>
      </c>
      <c r="DJ25" s="104">
        <v>0.0</v>
      </c>
      <c r="DK25" s="104">
        <v>1.0</v>
      </c>
      <c r="DL25" s="105">
        <v>0.0</v>
      </c>
      <c r="DM25" s="105">
        <v>0.0</v>
      </c>
      <c r="DN25" s="105">
        <v>0.0</v>
      </c>
      <c r="DO25" s="105">
        <v>0.0</v>
      </c>
      <c r="DP25" s="42"/>
      <c r="DQ25" s="80"/>
      <c r="DR25" s="42"/>
      <c r="DS25" s="105">
        <v>24.0</v>
      </c>
      <c r="DT25" s="109">
        <v>1.0</v>
      </c>
      <c r="DU25" s="104">
        <v>0.0</v>
      </c>
      <c r="DV25" s="105">
        <v>0.0</v>
      </c>
      <c r="DW25" s="105">
        <v>0.0</v>
      </c>
      <c r="DX25" s="105">
        <v>0.0</v>
      </c>
      <c r="DY25" s="105">
        <v>0.0</v>
      </c>
      <c r="EI25" s="105">
        <v>22.0</v>
      </c>
      <c r="EJ25" s="109">
        <v>1.0</v>
      </c>
      <c r="EK25" s="104">
        <v>0.0</v>
      </c>
      <c r="EL25" s="105">
        <v>0.0</v>
      </c>
      <c r="EM25" s="105">
        <v>0.0</v>
      </c>
      <c r="EN25" s="105">
        <v>0.0</v>
      </c>
      <c r="EO25" s="105">
        <v>0.0</v>
      </c>
      <c r="EP25" s="42"/>
      <c r="EQ25" s="42"/>
      <c r="ER25" s="80"/>
      <c r="ES25" s="42"/>
      <c r="ET25" s="105">
        <v>24.0</v>
      </c>
      <c r="EU25" s="109">
        <v>1.0</v>
      </c>
      <c r="EV25" s="104">
        <v>0.0</v>
      </c>
      <c r="EW25" s="105">
        <v>0.0</v>
      </c>
      <c r="EX25" s="105">
        <v>0.0</v>
      </c>
      <c r="EY25" s="105">
        <v>0.0</v>
      </c>
      <c r="FH25" s="105">
        <v>22.0</v>
      </c>
      <c r="FI25" s="109">
        <v>1.0</v>
      </c>
      <c r="FJ25" s="104">
        <v>0.0</v>
      </c>
      <c r="FK25" s="105">
        <v>0.0</v>
      </c>
      <c r="FL25" s="105">
        <v>0.0</v>
      </c>
      <c r="FM25" s="105">
        <v>0.0</v>
      </c>
      <c r="FN25" s="42"/>
      <c r="FO25" s="42"/>
      <c r="FP25" s="42"/>
      <c r="FQ25" s="42"/>
      <c r="FR25" s="42"/>
      <c r="FS25" s="42"/>
      <c r="FT25" s="42"/>
    </row>
    <row r="26">
      <c r="A26" s="38" t="s">
        <v>139</v>
      </c>
      <c r="B26" s="85">
        <f t="shared" si="4"/>
        <v>0</v>
      </c>
      <c r="X26" s="86"/>
      <c r="AO26" s="86"/>
      <c r="BN26" s="86"/>
      <c r="BQ26" s="104" t="s">
        <v>171</v>
      </c>
      <c r="BR26" s="105">
        <v>0.0</v>
      </c>
      <c r="BS26" s="105">
        <v>0.0</v>
      </c>
      <c r="BT26" s="105">
        <v>0.0</v>
      </c>
      <c r="BU26" s="105">
        <v>0.0</v>
      </c>
      <c r="BV26" s="105">
        <v>0.0</v>
      </c>
      <c r="BW26" s="105">
        <v>0.0</v>
      </c>
      <c r="BX26" s="105">
        <v>0.0</v>
      </c>
      <c r="BY26" s="105">
        <v>0.0</v>
      </c>
      <c r="BZ26" s="105">
        <v>0.0</v>
      </c>
      <c r="CA26" s="105">
        <v>0.0</v>
      </c>
      <c r="CB26" s="105">
        <v>0.0</v>
      </c>
      <c r="CC26" s="105">
        <v>0.0</v>
      </c>
      <c r="CD26" s="105">
        <v>0.0</v>
      </c>
      <c r="CE26" s="105">
        <v>0.0</v>
      </c>
      <c r="CF26" s="105">
        <v>0.0</v>
      </c>
      <c r="CG26" s="105">
        <v>0.0</v>
      </c>
      <c r="CH26" s="105">
        <v>0.0</v>
      </c>
      <c r="CI26" s="105">
        <v>0.0</v>
      </c>
      <c r="CJ26" s="105">
        <v>0.0</v>
      </c>
      <c r="CK26" s="105">
        <v>0.0</v>
      </c>
      <c r="CL26" s="105">
        <v>0.0</v>
      </c>
      <c r="CM26" s="105">
        <v>0.0</v>
      </c>
      <c r="CN26" s="105">
        <v>0.0</v>
      </c>
      <c r="CO26" s="105">
        <v>0.0</v>
      </c>
      <c r="CP26" s="105">
        <v>0.0</v>
      </c>
      <c r="CQ26" s="48">
        <f t="shared" si="9"/>
        <v>0</v>
      </c>
      <c r="DI26" s="105">
        <v>24.0</v>
      </c>
      <c r="DJ26" s="109">
        <v>0.0</v>
      </c>
      <c r="DK26" s="104">
        <v>0.0</v>
      </c>
      <c r="DL26" s="105">
        <v>1.0</v>
      </c>
      <c r="DM26" s="105">
        <v>0.0</v>
      </c>
      <c r="DN26" s="105">
        <v>1.0</v>
      </c>
      <c r="DO26" s="105">
        <v>0.0</v>
      </c>
      <c r="DQ26" s="80"/>
      <c r="DS26" s="123" t="s">
        <v>176</v>
      </c>
      <c r="DT26" s="113">
        <f t="shared" ref="DT26:DY26" si="11">SUM(DT3:DT25)</f>
        <v>9</v>
      </c>
      <c r="DU26" s="113">
        <f t="shared" si="11"/>
        <v>1</v>
      </c>
      <c r="DV26" s="113">
        <f t="shared" si="11"/>
        <v>3</v>
      </c>
      <c r="DW26" s="113">
        <f t="shared" si="11"/>
        <v>6</v>
      </c>
      <c r="DX26" s="113">
        <f t="shared" si="11"/>
        <v>6</v>
      </c>
      <c r="DY26" s="113">
        <f t="shared" si="11"/>
        <v>1</v>
      </c>
      <c r="EI26" s="105">
        <v>23.0</v>
      </c>
      <c r="EJ26" s="104">
        <v>0.0</v>
      </c>
      <c r="EK26" s="104">
        <v>1.0</v>
      </c>
      <c r="EL26" s="105">
        <v>0.0</v>
      </c>
      <c r="EM26" s="105">
        <v>0.0</v>
      </c>
      <c r="EN26" s="105">
        <v>0.0</v>
      </c>
      <c r="EO26" s="105">
        <v>0.0</v>
      </c>
      <c r="ER26" s="80"/>
      <c r="ET26" s="123" t="s">
        <v>176</v>
      </c>
      <c r="EU26" s="113">
        <f t="shared" ref="EU26:EY26" si="12">SUM(EU3:EU25)</f>
        <v>9</v>
      </c>
      <c r="EV26" s="113">
        <f t="shared" si="12"/>
        <v>1</v>
      </c>
      <c r="EW26" s="113">
        <f t="shared" si="12"/>
        <v>3</v>
      </c>
      <c r="EX26" s="113">
        <f t="shared" si="12"/>
        <v>12</v>
      </c>
      <c r="EY26" s="113">
        <f t="shared" si="12"/>
        <v>1</v>
      </c>
      <c r="FH26" s="105">
        <v>23.0</v>
      </c>
      <c r="FI26" s="104">
        <v>0.0</v>
      </c>
      <c r="FJ26" s="104">
        <v>1.0</v>
      </c>
      <c r="FK26" s="105">
        <v>0.0</v>
      </c>
      <c r="FL26" s="105">
        <v>0.0</v>
      </c>
      <c r="FM26" s="105">
        <v>0.0</v>
      </c>
    </row>
    <row r="27">
      <c r="A27" s="38" t="s">
        <v>142</v>
      </c>
      <c r="B27" s="85">
        <f t="shared" si="4"/>
        <v>2</v>
      </c>
      <c r="X27" s="86"/>
      <c r="AO27" s="87">
        <v>1.0</v>
      </c>
      <c r="AW27" s="42">
        <v>1.0</v>
      </c>
      <c r="BN27" s="86"/>
      <c r="BQ27" s="104" t="s">
        <v>172</v>
      </c>
      <c r="BR27" s="105">
        <v>0.0</v>
      </c>
      <c r="BS27" s="105">
        <v>0.0</v>
      </c>
      <c r="BT27" s="105">
        <v>0.0</v>
      </c>
      <c r="BU27" s="105">
        <v>0.0</v>
      </c>
      <c r="BV27" s="105">
        <v>0.0</v>
      </c>
      <c r="BW27" s="105">
        <v>0.0</v>
      </c>
      <c r="BX27" s="105">
        <v>0.0</v>
      </c>
      <c r="BY27" s="105">
        <v>0.0</v>
      </c>
      <c r="BZ27" s="105">
        <v>0.0</v>
      </c>
      <c r="CA27" s="105">
        <v>0.0</v>
      </c>
      <c r="CB27" s="105">
        <v>0.0</v>
      </c>
      <c r="CC27" s="105">
        <v>0.0</v>
      </c>
      <c r="CD27" s="105">
        <v>0.0</v>
      </c>
      <c r="CE27" s="105">
        <v>0.0</v>
      </c>
      <c r="CF27" s="105">
        <v>1.0</v>
      </c>
      <c r="CG27" s="105">
        <v>0.0</v>
      </c>
      <c r="CH27" s="105">
        <v>0.0</v>
      </c>
      <c r="CI27" s="105">
        <v>1.0</v>
      </c>
      <c r="CJ27" s="105">
        <v>1.0</v>
      </c>
      <c r="CK27" s="105">
        <v>0.0</v>
      </c>
      <c r="CL27" s="105">
        <v>0.0</v>
      </c>
      <c r="CM27" s="105">
        <v>0.0</v>
      </c>
      <c r="CN27" s="105">
        <v>0.0</v>
      </c>
      <c r="CO27" s="105">
        <v>1.0</v>
      </c>
      <c r="CP27" s="105">
        <v>1.0</v>
      </c>
      <c r="CQ27" s="48">
        <f t="shared" si="9"/>
        <v>5</v>
      </c>
      <c r="DI27" s="105">
        <v>25.0</v>
      </c>
      <c r="DJ27" s="109">
        <v>0.0</v>
      </c>
      <c r="DK27" s="104">
        <v>0.0</v>
      </c>
      <c r="DL27" s="105">
        <v>1.0</v>
      </c>
      <c r="DM27" s="105">
        <v>0.0</v>
      </c>
      <c r="DN27" s="105">
        <v>1.0</v>
      </c>
      <c r="DO27" s="105">
        <v>0.0</v>
      </c>
      <c r="DQ27" s="80"/>
      <c r="EI27" s="105">
        <v>24.0</v>
      </c>
      <c r="EJ27" s="109">
        <v>0.0</v>
      </c>
      <c r="EK27" s="104">
        <v>0.0</v>
      </c>
      <c r="EL27" s="105">
        <v>1.0</v>
      </c>
      <c r="EM27" s="105">
        <v>0.0</v>
      </c>
      <c r="EN27" s="105">
        <v>1.0</v>
      </c>
      <c r="EO27" s="105">
        <v>0.0</v>
      </c>
      <c r="ER27" s="80"/>
      <c r="FH27" s="105">
        <v>24.0</v>
      </c>
      <c r="FI27" s="109">
        <v>0.0</v>
      </c>
      <c r="FJ27" s="104">
        <v>0.0</v>
      </c>
      <c r="FK27" s="105">
        <v>1.0</v>
      </c>
      <c r="FL27" s="104">
        <v>1.0</v>
      </c>
      <c r="FM27" s="105">
        <v>0.0</v>
      </c>
    </row>
    <row r="28">
      <c r="A28" s="38" t="s">
        <v>145</v>
      </c>
      <c r="B28" s="85">
        <f t="shared" si="4"/>
        <v>1</v>
      </c>
      <c r="R28" s="42">
        <v>1.0</v>
      </c>
      <c r="X28" s="86"/>
      <c r="AO28" s="86"/>
      <c r="BN28" s="86"/>
      <c r="BQ28" s="104" t="s">
        <v>173</v>
      </c>
      <c r="BR28" s="105">
        <v>0.0</v>
      </c>
      <c r="BS28" s="105">
        <v>0.0</v>
      </c>
      <c r="BT28" s="105">
        <v>0.0</v>
      </c>
      <c r="BU28" s="105">
        <v>0.0</v>
      </c>
      <c r="BV28" s="105">
        <v>0.0</v>
      </c>
      <c r="BW28" s="105">
        <v>0.0</v>
      </c>
      <c r="BX28" s="105">
        <v>0.0</v>
      </c>
      <c r="BY28" s="105">
        <v>1.0</v>
      </c>
      <c r="BZ28" s="105">
        <v>0.0</v>
      </c>
      <c r="CA28" s="105">
        <v>0.0</v>
      </c>
      <c r="CB28" s="105">
        <v>0.0</v>
      </c>
      <c r="CC28" s="105">
        <v>0.0</v>
      </c>
      <c r="CD28" s="105">
        <v>0.0</v>
      </c>
      <c r="CE28" s="105">
        <v>0.0</v>
      </c>
      <c r="CF28" s="105">
        <v>0.0</v>
      </c>
      <c r="CG28" s="105">
        <v>0.0</v>
      </c>
      <c r="CH28" s="105">
        <v>0.0</v>
      </c>
      <c r="CI28" s="105">
        <v>0.0</v>
      </c>
      <c r="CJ28" s="105">
        <v>0.0</v>
      </c>
      <c r="CK28" s="105">
        <v>0.0</v>
      </c>
      <c r="CL28" s="105">
        <v>0.0</v>
      </c>
      <c r="CM28" s="105">
        <v>0.0</v>
      </c>
      <c r="CN28" s="105">
        <v>0.0</v>
      </c>
      <c r="CO28" s="105">
        <v>0.0</v>
      </c>
      <c r="CP28" s="105">
        <v>0.0</v>
      </c>
      <c r="CQ28" s="48">
        <f t="shared" si="9"/>
        <v>1</v>
      </c>
      <c r="DI28" s="123" t="s">
        <v>176</v>
      </c>
      <c r="DJ28" s="122">
        <f t="shared" ref="DJ28:DO28" si="13">sum(DJ3:DJ27)</f>
        <v>16</v>
      </c>
      <c r="DK28" s="122">
        <f t="shared" si="13"/>
        <v>5</v>
      </c>
      <c r="DL28" s="122">
        <f t="shared" si="13"/>
        <v>3</v>
      </c>
      <c r="DM28" s="122">
        <f t="shared" si="13"/>
        <v>0</v>
      </c>
      <c r="DN28" s="122">
        <f t="shared" si="13"/>
        <v>5</v>
      </c>
      <c r="DO28" s="122">
        <f t="shared" si="13"/>
        <v>1</v>
      </c>
      <c r="DP28" s="124"/>
      <c r="DQ28" s="80"/>
      <c r="DR28" s="124"/>
      <c r="EI28" s="105">
        <v>25.0</v>
      </c>
      <c r="EJ28" s="109">
        <v>0.0</v>
      </c>
      <c r="EK28" s="104">
        <v>0.0</v>
      </c>
      <c r="EL28" s="105">
        <v>1.0</v>
      </c>
      <c r="EM28" s="105">
        <v>0.0</v>
      </c>
      <c r="EN28" s="105">
        <v>1.0</v>
      </c>
      <c r="EO28" s="105">
        <v>0.0</v>
      </c>
      <c r="EP28" s="124"/>
      <c r="EQ28" s="124"/>
      <c r="ER28" s="80"/>
      <c r="ES28" s="124"/>
      <c r="FH28" s="105">
        <v>25.0</v>
      </c>
      <c r="FI28" s="109">
        <v>0.0</v>
      </c>
      <c r="FJ28" s="104">
        <v>0.0</v>
      </c>
      <c r="FK28" s="105">
        <v>1.0</v>
      </c>
      <c r="FL28" s="104">
        <v>1.0</v>
      </c>
      <c r="FM28" s="105">
        <v>0.0</v>
      </c>
      <c r="FN28" s="124"/>
      <c r="FO28" s="124"/>
      <c r="FP28" s="124"/>
      <c r="FQ28" s="124"/>
      <c r="FR28" s="124"/>
      <c r="FS28" s="124"/>
      <c r="FT28" s="124"/>
    </row>
    <row r="29">
      <c r="A29" s="38" t="s">
        <v>148</v>
      </c>
      <c r="B29" s="85">
        <f t="shared" si="4"/>
        <v>1</v>
      </c>
      <c r="X29" s="86"/>
      <c r="AN29" s="42">
        <v>1.0</v>
      </c>
      <c r="AO29" s="86"/>
      <c r="BN29" s="86"/>
      <c r="DJ29" s="124"/>
      <c r="DK29" s="124"/>
      <c r="DL29" s="124"/>
      <c r="DM29" s="124"/>
      <c r="DN29" s="124"/>
      <c r="DO29" s="124"/>
      <c r="DP29" s="124"/>
      <c r="DQ29" s="80"/>
      <c r="DR29" s="124"/>
      <c r="EI29" s="123" t="s">
        <v>176</v>
      </c>
      <c r="EJ29" s="122">
        <f t="shared" ref="EJ29:EO29" si="14">sum(EJ4:EJ28)</f>
        <v>16</v>
      </c>
      <c r="EK29" s="122">
        <f t="shared" si="14"/>
        <v>5</v>
      </c>
      <c r="EL29" s="122">
        <f t="shared" si="14"/>
        <v>3</v>
      </c>
      <c r="EM29" s="122">
        <f t="shared" si="14"/>
        <v>0</v>
      </c>
      <c r="EN29" s="122">
        <f t="shared" si="14"/>
        <v>5</v>
      </c>
      <c r="EO29" s="122">
        <f t="shared" si="14"/>
        <v>1</v>
      </c>
      <c r="EP29" s="124"/>
      <c r="EQ29" s="124"/>
      <c r="ER29" s="80"/>
      <c r="ES29" s="124"/>
      <c r="FH29" s="123" t="s">
        <v>176</v>
      </c>
      <c r="FI29" s="122">
        <f t="shared" ref="FI29:FM29" si="15">sum(FI4:FI28)</f>
        <v>16</v>
      </c>
      <c r="FJ29" s="122">
        <f t="shared" si="15"/>
        <v>5</v>
      </c>
      <c r="FK29" s="122">
        <f t="shared" si="15"/>
        <v>3</v>
      </c>
      <c r="FL29" s="122">
        <f t="shared" si="15"/>
        <v>5</v>
      </c>
      <c r="FM29" s="122">
        <f t="shared" si="15"/>
        <v>1</v>
      </c>
      <c r="FN29" s="124"/>
      <c r="FO29" s="124"/>
      <c r="FP29" s="124"/>
      <c r="FQ29" s="124"/>
      <c r="FR29" s="124"/>
      <c r="FS29" s="124"/>
      <c r="FT29" s="124"/>
    </row>
    <row r="30">
      <c r="A30" s="100" t="s">
        <v>151</v>
      </c>
      <c r="B30" s="96">
        <f t="shared" si="4"/>
        <v>0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3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3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3"/>
      <c r="BS30" s="114"/>
      <c r="DJ30" s="124"/>
      <c r="DK30" s="124"/>
      <c r="DL30" s="124"/>
      <c r="DM30" s="124"/>
      <c r="DN30" s="124"/>
      <c r="DO30" s="124"/>
      <c r="DP30" s="124"/>
      <c r="DQ30" s="80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80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</row>
    <row r="31">
      <c r="C31" s="88">
        <f t="shared" ref="C31:BN31" si="16">sum(C3:C30)</f>
        <v>2</v>
      </c>
      <c r="D31" s="88">
        <f t="shared" si="16"/>
        <v>1</v>
      </c>
      <c r="E31" s="88">
        <f t="shared" si="16"/>
        <v>1</v>
      </c>
      <c r="F31" s="88">
        <f t="shared" si="16"/>
        <v>1</v>
      </c>
      <c r="G31" s="88">
        <f t="shared" si="16"/>
        <v>2</v>
      </c>
      <c r="H31" s="88">
        <f t="shared" si="16"/>
        <v>1</v>
      </c>
      <c r="I31" s="88">
        <f t="shared" si="16"/>
        <v>2</v>
      </c>
      <c r="J31" s="88">
        <f t="shared" si="16"/>
        <v>1</v>
      </c>
      <c r="K31" s="88">
        <f t="shared" si="16"/>
        <v>1</v>
      </c>
      <c r="L31" s="88">
        <f t="shared" si="16"/>
        <v>1</v>
      </c>
      <c r="M31" s="88">
        <f t="shared" si="16"/>
        <v>1</v>
      </c>
      <c r="N31" s="88">
        <f t="shared" si="16"/>
        <v>1</v>
      </c>
      <c r="O31" s="88">
        <f t="shared" si="16"/>
        <v>1</v>
      </c>
      <c r="P31" s="88">
        <f t="shared" si="16"/>
        <v>1</v>
      </c>
      <c r="Q31" s="88">
        <f t="shared" si="16"/>
        <v>1</v>
      </c>
      <c r="R31" s="88">
        <f t="shared" si="16"/>
        <v>1</v>
      </c>
      <c r="S31" s="88">
        <f t="shared" si="16"/>
        <v>1</v>
      </c>
      <c r="T31" s="88">
        <f t="shared" si="16"/>
        <v>1</v>
      </c>
      <c r="U31" s="88">
        <f t="shared" si="16"/>
        <v>1</v>
      </c>
      <c r="V31" s="88">
        <f t="shared" si="16"/>
        <v>1</v>
      </c>
      <c r="W31" s="88">
        <f t="shared" si="16"/>
        <v>1</v>
      </c>
      <c r="X31" s="88">
        <f t="shared" si="16"/>
        <v>1</v>
      </c>
      <c r="Y31" s="88">
        <f t="shared" si="16"/>
        <v>1</v>
      </c>
      <c r="Z31" s="88">
        <f t="shared" si="16"/>
        <v>1</v>
      </c>
      <c r="AA31" s="88">
        <f t="shared" si="16"/>
        <v>1</v>
      </c>
      <c r="AB31" s="88">
        <f t="shared" si="16"/>
        <v>1</v>
      </c>
      <c r="AC31" s="88">
        <f t="shared" si="16"/>
        <v>1</v>
      </c>
      <c r="AD31" s="88">
        <f t="shared" si="16"/>
        <v>2</v>
      </c>
      <c r="AE31" s="88">
        <f t="shared" si="16"/>
        <v>1</v>
      </c>
      <c r="AF31" s="88">
        <f t="shared" si="16"/>
        <v>1</v>
      </c>
      <c r="AG31" s="88">
        <f t="shared" si="16"/>
        <v>1</v>
      </c>
      <c r="AH31" s="88">
        <f t="shared" si="16"/>
        <v>1</v>
      </c>
      <c r="AI31" s="88">
        <f t="shared" si="16"/>
        <v>1</v>
      </c>
      <c r="AJ31" s="88">
        <f t="shared" si="16"/>
        <v>1</v>
      </c>
      <c r="AK31" s="88">
        <f t="shared" si="16"/>
        <v>1</v>
      </c>
      <c r="AL31" s="88">
        <f t="shared" si="16"/>
        <v>1</v>
      </c>
      <c r="AM31" s="88">
        <f t="shared" si="16"/>
        <v>1</v>
      </c>
      <c r="AN31" s="88">
        <f t="shared" si="16"/>
        <v>1</v>
      </c>
      <c r="AO31" s="88">
        <f t="shared" si="16"/>
        <v>1</v>
      </c>
      <c r="AP31" s="88">
        <f t="shared" si="16"/>
        <v>2</v>
      </c>
      <c r="AQ31" s="88">
        <f t="shared" si="16"/>
        <v>1</v>
      </c>
      <c r="AR31" s="88">
        <f t="shared" si="16"/>
        <v>1</v>
      </c>
      <c r="AS31" s="88">
        <f t="shared" si="16"/>
        <v>1</v>
      </c>
      <c r="AT31" s="88">
        <f t="shared" si="16"/>
        <v>1</v>
      </c>
      <c r="AU31" s="88">
        <f t="shared" si="16"/>
        <v>1</v>
      </c>
      <c r="AV31" s="88">
        <f t="shared" si="16"/>
        <v>1</v>
      </c>
      <c r="AW31" s="88">
        <f t="shared" si="16"/>
        <v>1</v>
      </c>
      <c r="AX31" s="88">
        <f t="shared" si="16"/>
        <v>1</v>
      </c>
      <c r="AY31" s="88">
        <f t="shared" si="16"/>
        <v>2</v>
      </c>
      <c r="AZ31" s="88">
        <f t="shared" si="16"/>
        <v>2</v>
      </c>
      <c r="BA31" s="88">
        <f t="shared" si="16"/>
        <v>1</v>
      </c>
      <c r="BB31" s="88">
        <f t="shared" si="16"/>
        <v>1</v>
      </c>
      <c r="BC31" s="88">
        <f t="shared" si="16"/>
        <v>2</v>
      </c>
      <c r="BD31" s="88">
        <f t="shared" si="16"/>
        <v>1</v>
      </c>
      <c r="BE31" s="88">
        <f t="shared" si="16"/>
        <v>2</v>
      </c>
      <c r="BF31" s="88">
        <f t="shared" si="16"/>
        <v>1</v>
      </c>
      <c r="BG31" s="88">
        <f t="shared" si="16"/>
        <v>2</v>
      </c>
      <c r="BH31" s="88">
        <f t="shared" si="16"/>
        <v>1</v>
      </c>
      <c r="BI31" s="88">
        <f t="shared" si="16"/>
        <v>1</v>
      </c>
      <c r="BJ31" s="88">
        <f t="shared" si="16"/>
        <v>2</v>
      </c>
      <c r="BK31" s="88">
        <f t="shared" si="16"/>
        <v>1</v>
      </c>
      <c r="BL31" s="88">
        <f t="shared" si="16"/>
        <v>1</v>
      </c>
      <c r="BM31" s="88">
        <f t="shared" si="16"/>
        <v>2</v>
      </c>
      <c r="BN31" s="88">
        <f t="shared" si="16"/>
        <v>2</v>
      </c>
      <c r="BT31" s="114"/>
      <c r="BX31" s="88">
        <v>5.0</v>
      </c>
      <c r="BY31" s="88">
        <v>5.0</v>
      </c>
      <c r="BZ31" s="88">
        <v>16.0</v>
      </c>
      <c r="CA31" s="48">
        <f t="shared" ref="CA31:CA36" si="17">sum(BX31:BZ31)</f>
        <v>26</v>
      </c>
      <c r="DJ31" s="124"/>
      <c r="DK31" s="124"/>
      <c r="DL31" s="124"/>
      <c r="DM31" s="124"/>
      <c r="DN31" s="124"/>
      <c r="DO31" s="124"/>
      <c r="DP31" s="124"/>
      <c r="DQ31" s="80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80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</row>
    <row r="32">
      <c r="BN32" s="85"/>
      <c r="BS32" s="114"/>
      <c r="BX32" s="88">
        <v>1.0</v>
      </c>
      <c r="BY32" s="88">
        <v>2.0</v>
      </c>
      <c r="BZ32" s="88">
        <v>5.0</v>
      </c>
      <c r="CA32" s="48">
        <f t="shared" si="17"/>
        <v>8</v>
      </c>
      <c r="DJ32" s="124"/>
      <c r="DK32" s="124"/>
      <c r="DL32" s="124"/>
      <c r="DM32" s="124"/>
      <c r="DN32" s="124"/>
      <c r="DO32" s="124"/>
      <c r="DP32" s="124"/>
      <c r="DQ32" s="80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80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</row>
    <row r="33">
      <c r="BN33" s="85"/>
      <c r="BS33" s="114"/>
      <c r="BX33" s="88">
        <v>3.0</v>
      </c>
      <c r="BY33" s="88">
        <v>4.0</v>
      </c>
      <c r="BZ33" s="88">
        <v>3.0</v>
      </c>
      <c r="CA33" s="48">
        <f t="shared" si="17"/>
        <v>10</v>
      </c>
      <c r="DJ33" s="124"/>
      <c r="DK33" s="124"/>
      <c r="DL33" s="124"/>
      <c r="DM33" s="124"/>
      <c r="DN33" s="124"/>
      <c r="DO33" s="124"/>
      <c r="DP33" s="124"/>
      <c r="DQ33" s="80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80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</row>
    <row r="34">
      <c r="BN34" s="85"/>
      <c r="BS34" s="114"/>
      <c r="BX34" s="88">
        <v>6.0</v>
      </c>
      <c r="BY34" s="88">
        <v>3.0</v>
      </c>
      <c r="BZ34" s="88">
        <v>0.0</v>
      </c>
      <c r="CA34" s="48">
        <f t="shared" si="17"/>
        <v>9</v>
      </c>
      <c r="DJ34" s="124"/>
      <c r="DK34" s="124"/>
      <c r="DL34" s="124"/>
      <c r="DM34" s="124"/>
      <c r="DN34" s="124"/>
      <c r="DO34" s="124"/>
      <c r="DP34" s="124"/>
      <c r="DQ34" s="80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  <c r="EF34" s="124"/>
      <c r="EG34" s="124"/>
      <c r="EH34" s="124"/>
      <c r="EI34" s="124"/>
      <c r="EJ34" s="124"/>
      <c r="EK34" s="124"/>
      <c r="EL34" s="124"/>
      <c r="EM34" s="124"/>
      <c r="EN34" s="124"/>
      <c r="EO34" s="124"/>
      <c r="EP34" s="124"/>
      <c r="EQ34" s="124"/>
      <c r="ER34" s="80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4"/>
      <c r="FM34" s="124"/>
      <c r="FN34" s="124"/>
      <c r="FO34" s="124"/>
      <c r="FP34" s="124"/>
      <c r="FQ34" s="124"/>
      <c r="FR34" s="124"/>
      <c r="FS34" s="124"/>
      <c r="FT34" s="124"/>
    </row>
    <row r="35">
      <c r="BN35" s="85"/>
      <c r="BX35" s="88">
        <v>6.0</v>
      </c>
      <c r="BY35" s="88">
        <v>2.0</v>
      </c>
      <c r="BZ35" s="88">
        <v>5.0</v>
      </c>
      <c r="CA35" s="48">
        <f t="shared" si="17"/>
        <v>13</v>
      </c>
      <c r="DJ35" s="124"/>
      <c r="DK35" s="124"/>
      <c r="DL35" s="124"/>
      <c r="DM35" s="124"/>
      <c r="DN35" s="124"/>
      <c r="DO35" s="124"/>
      <c r="DP35" s="124"/>
      <c r="DQ35" s="80"/>
      <c r="DR35" s="124"/>
      <c r="DS35" s="124"/>
      <c r="DT35" s="124"/>
      <c r="DU35" s="124"/>
      <c r="DV35" s="124"/>
      <c r="DW35" s="124"/>
      <c r="DX35" s="124"/>
      <c r="DY35" s="124"/>
      <c r="DZ35" s="124"/>
      <c r="EA35" s="124"/>
      <c r="EB35" s="124"/>
      <c r="EC35" s="124"/>
      <c r="ED35" s="124"/>
      <c r="EE35" s="124"/>
      <c r="EF35" s="124"/>
      <c r="EG35" s="124"/>
      <c r="EH35" s="124"/>
      <c r="EI35" s="124"/>
      <c r="EJ35" s="124"/>
      <c r="EK35" s="124"/>
      <c r="EL35" s="124"/>
      <c r="EM35" s="124"/>
      <c r="EN35" s="124"/>
      <c r="EO35" s="124"/>
      <c r="EP35" s="124"/>
      <c r="EQ35" s="124"/>
      <c r="ER35" s="80"/>
      <c r="ES35" s="124"/>
      <c r="ET35" s="124"/>
      <c r="EU35" s="124"/>
      <c r="EV35" s="124"/>
      <c r="EW35" s="124"/>
      <c r="EX35" s="124"/>
      <c r="EY35" s="124"/>
      <c r="EZ35" s="124"/>
      <c r="FA35" s="124"/>
      <c r="FB35" s="124"/>
      <c r="FC35" s="124"/>
      <c r="FD35" s="124"/>
      <c r="FE35" s="124"/>
      <c r="FF35" s="124"/>
      <c r="FG35" s="124"/>
      <c r="FH35" s="124"/>
      <c r="FI35" s="124"/>
      <c r="FJ35" s="124"/>
      <c r="FK35" s="124"/>
      <c r="FL35" s="124"/>
      <c r="FM35" s="124"/>
      <c r="FN35" s="124"/>
      <c r="FO35" s="124"/>
      <c r="FP35" s="124"/>
      <c r="FQ35" s="124"/>
      <c r="FR35" s="124"/>
      <c r="FS35" s="124"/>
      <c r="FT35" s="124"/>
    </row>
    <row r="36">
      <c r="BN36" s="85"/>
      <c r="BS36" s="114"/>
      <c r="BX36" s="88">
        <v>1.0</v>
      </c>
      <c r="BY36" s="88">
        <v>2.0</v>
      </c>
      <c r="BZ36" s="88">
        <v>1.0</v>
      </c>
      <c r="CA36" s="48">
        <f t="shared" si="17"/>
        <v>4</v>
      </c>
      <c r="DJ36" s="124"/>
      <c r="DK36" s="124"/>
      <c r="DL36" s="124"/>
      <c r="DM36" s="124"/>
      <c r="DN36" s="124"/>
      <c r="DO36" s="124"/>
      <c r="DP36" s="124"/>
      <c r="DQ36" s="80"/>
      <c r="DR36" s="124"/>
      <c r="DS36" s="124"/>
      <c r="DT36" s="124"/>
      <c r="DU36" s="124"/>
      <c r="DV36" s="124"/>
      <c r="DW36" s="124"/>
      <c r="DX36" s="124"/>
      <c r="DY36" s="124"/>
      <c r="DZ36" s="124"/>
      <c r="EA36" s="124"/>
      <c r="EB36" s="124"/>
      <c r="EC36" s="124"/>
      <c r="ED36" s="124"/>
      <c r="EE36" s="124"/>
      <c r="EF36" s="124"/>
      <c r="EG36" s="124"/>
      <c r="EH36" s="124"/>
      <c r="EI36" s="124"/>
      <c r="EJ36" s="124"/>
      <c r="EK36" s="124"/>
      <c r="EL36" s="124"/>
      <c r="EM36" s="124"/>
      <c r="EN36" s="124"/>
      <c r="EO36" s="124"/>
      <c r="EP36" s="124"/>
      <c r="EQ36" s="124"/>
      <c r="ER36" s="80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4"/>
      <c r="FL36" s="124"/>
      <c r="FM36" s="124"/>
      <c r="FN36" s="124"/>
      <c r="FO36" s="124"/>
      <c r="FP36" s="124"/>
      <c r="FQ36" s="124"/>
      <c r="FR36" s="124"/>
      <c r="FS36" s="124"/>
      <c r="FT36" s="124"/>
    </row>
    <row r="37">
      <c r="BN37" s="85"/>
      <c r="BS37" s="114"/>
      <c r="DJ37" s="124"/>
      <c r="DK37" s="124"/>
      <c r="DL37" s="124"/>
      <c r="DM37" s="124"/>
      <c r="DN37" s="124"/>
      <c r="DO37" s="124"/>
      <c r="DP37" s="124"/>
      <c r="DQ37" s="80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80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</row>
    <row r="38">
      <c r="BN38" s="85"/>
      <c r="BS38" s="114"/>
      <c r="DJ38" s="124"/>
      <c r="DK38" s="124"/>
      <c r="DL38" s="124"/>
      <c r="DM38" s="124"/>
      <c r="DN38" s="124"/>
      <c r="DO38" s="124"/>
      <c r="DP38" s="124"/>
      <c r="DQ38" s="80"/>
      <c r="DR38" s="124"/>
      <c r="DS38" s="124"/>
      <c r="DT38" s="124"/>
      <c r="DU38" s="124"/>
      <c r="DV38" s="124"/>
      <c r="DW38" s="124"/>
      <c r="DX38" s="124"/>
      <c r="DY38" s="124"/>
      <c r="DZ38" s="124"/>
      <c r="EA38" s="124"/>
      <c r="EB38" s="124"/>
      <c r="EC38" s="124"/>
      <c r="ED38" s="124"/>
      <c r="EE38" s="124"/>
      <c r="EF38" s="124"/>
      <c r="EG38" s="124"/>
      <c r="EH38" s="124"/>
      <c r="EI38" s="124"/>
      <c r="EJ38" s="124"/>
      <c r="EK38" s="124"/>
      <c r="EL38" s="124"/>
      <c r="EM38" s="124"/>
      <c r="EN38" s="124"/>
      <c r="EO38" s="124"/>
      <c r="EP38" s="124"/>
      <c r="EQ38" s="124"/>
      <c r="ER38" s="80"/>
      <c r="ES38" s="124"/>
      <c r="ET38" s="124"/>
      <c r="EU38" s="124"/>
      <c r="EV38" s="124"/>
      <c r="EW38" s="124"/>
      <c r="EX38" s="124"/>
      <c r="EY38" s="124"/>
      <c r="EZ38" s="124"/>
      <c r="FA38" s="124"/>
      <c r="FB38" s="124"/>
      <c r="FC38" s="124"/>
      <c r="FD38" s="124"/>
      <c r="FE38" s="124"/>
      <c r="FF38" s="124"/>
      <c r="FG38" s="124"/>
      <c r="FH38" s="124"/>
      <c r="FI38" s="124"/>
      <c r="FJ38" s="124"/>
      <c r="FK38" s="124"/>
      <c r="FL38" s="124"/>
      <c r="FM38" s="124"/>
      <c r="FN38" s="124"/>
      <c r="FO38" s="124"/>
      <c r="FP38" s="124"/>
      <c r="FQ38" s="124"/>
      <c r="FR38" s="124"/>
      <c r="FS38" s="124"/>
      <c r="FT38" s="124"/>
    </row>
    <row r="39">
      <c r="BN39" s="85"/>
      <c r="BS39" s="114"/>
      <c r="DJ39" s="124"/>
      <c r="DK39" s="124"/>
      <c r="DL39" s="124"/>
      <c r="DM39" s="124"/>
      <c r="DN39" s="124"/>
      <c r="DO39" s="124"/>
      <c r="DP39" s="124"/>
      <c r="DQ39" s="80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80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</row>
    <row r="40">
      <c r="BN40" s="85"/>
      <c r="BS40" s="114"/>
      <c r="DJ40" s="124"/>
      <c r="DK40" s="124"/>
      <c r="DL40" s="124"/>
      <c r="DM40" s="124"/>
      <c r="DN40" s="124"/>
      <c r="DO40" s="124"/>
      <c r="DP40" s="124"/>
      <c r="DQ40" s="80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80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</row>
    <row r="41">
      <c r="BN41" s="85"/>
      <c r="BS41" s="114"/>
      <c r="DJ41" s="124"/>
      <c r="DK41" s="124"/>
      <c r="DL41" s="124"/>
      <c r="DM41" s="124"/>
      <c r="DN41" s="124"/>
      <c r="DO41" s="124"/>
      <c r="DP41" s="124"/>
      <c r="DQ41" s="80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80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</row>
    <row r="42">
      <c r="BN42" s="85"/>
      <c r="BS42" s="114"/>
      <c r="DJ42" s="124"/>
      <c r="DK42" s="124"/>
      <c r="DL42" s="124"/>
      <c r="DM42" s="124"/>
      <c r="DN42" s="124"/>
      <c r="DO42" s="124"/>
      <c r="DP42" s="124"/>
      <c r="DQ42" s="80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80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</row>
    <row r="43">
      <c r="BN43" s="85"/>
      <c r="BS43" s="114"/>
      <c r="DJ43" s="124"/>
      <c r="DK43" s="124"/>
      <c r="DL43" s="124"/>
      <c r="DM43" s="124"/>
      <c r="DN43" s="124"/>
      <c r="DO43" s="124"/>
      <c r="DP43" s="124"/>
      <c r="DQ43" s="80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80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</row>
    <row r="44">
      <c r="BN44" s="85"/>
      <c r="BS44" s="114"/>
      <c r="DJ44" s="124"/>
      <c r="DK44" s="124"/>
      <c r="DL44" s="124"/>
      <c r="DM44" s="124"/>
      <c r="DN44" s="124"/>
      <c r="DO44" s="124"/>
      <c r="DP44" s="124"/>
      <c r="DQ44" s="80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80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</row>
    <row r="45">
      <c r="BN45" s="85"/>
      <c r="BS45" s="11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</row>
    <row r="46">
      <c r="BN46" s="85"/>
      <c r="BS46" s="11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</row>
    <row r="47">
      <c r="BN47" s="85"/>
      <c r="BS47" s="11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</row>
    <row r="48">
      <c r="BN48" s="85"/>
      <c r="BS48" s="11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</row>
    <row r="49">
      <c r="BN49" s="85"/>
      <c r="BS49" s="11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</row>
    <row r="50">
      <c r="BN50" s="85"/>
      <c r="BS50" s="11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</row>
    <row r="51">
      <c r="BN51" s="85"/>
      <c r="BS51" s="11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</row>
    <row r="52">
      <c r="BN52" s="85"/>
      <c r="BS52" s="11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</row>
    <row r="53">
      <c r="BN53" s="85"/>
      <c r="BS53" s="11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</row>
    <row r="54">
      <c r="BN54" s="85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</row>
    <row r="55">
      <c r="BN55" s="85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</row>
    <row r="56">
      <c r="BN56" s="85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</row>
    <row r="57">
      <c r="BN57" s="85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</row>
    <row r="58">
      <c r="BN58" s="85"/>
    </row>
    <row r="59">
      <c r="BN59" s="85"/>
    </row>
    <row r="60">
      <c r="BN60" s="85"/>
    </row>
    <row r="61">
      <c r="BN61" s="85"/>
    </row>
    <row r="62">
      <c r="BN62" s="85"/>
    </row>
    <row r="63">
      <c r="BN63" s="85"/>
    </row>
    <row r="64">
      <c r="BN64" s="85"/>
    </row>
    <row r="65">
      <c r="BN65" s="85"/>
    </row>
    <row r="66">
      <c r="BN66" s="85"/>
    </row>
    <row r="67">
      <c r="A67" s="18"/>
      <c r="X67" s="86"/>
      <c r="AO67" s="86"/>
      <c r="BN67" s="85"/>
    </row>
    <row r="68">
      <c r="A68" s="18"/>
      <c r="X68" s="86"/>
      <c r="AO68" s="86"/>
      <c r="BN68" s="85"/>
    </row>
    <row r="69">
      <c r="A69" s="18"/>
      <c r="X69" s="86"/>
      <c r="AO69" s="86"/>
      <c r="BN69" s="85"/>
    </row>
    <row r="70">
      <c r="A70" s="18"/>
      <c r="X70" s="86"/>
      <c r="AO70" s="86"/>
      <c r="BN70" s="85"/>
    </row>
    <row r="71">
      <c r="A71" s="18"/>
      <c r="X71" s="86"/>
      <c r="AO71" s="86"/>
      <c r="BN71" s="85"/>
    </row>
    <row r="72">
      <c r="A72" s="18"/>
      <c r="X72" s="86"/>
      <c r="AO72" s="86"/>
      <c r="BN72" s="85"/>
    </row>
    <row r="73">
      <c r="A73" s="18"/>
      <c r="X73" s="86"/>
      <c r="AO73" s="86"/>
      <c r="BN73" s="85"/>
    </row>
    <row r="74">
      <c r="A74" s="18"/>
      <c r="X74" s="86"/>
      <c r="AO74" s="86"/>
      <c r="BN74" s="85"/>
    </row>
    <row r="75">
      <c r="A75" s="18"/>
      <c r="X75" s="86"/>
      <c r="AO75" s="86"/>
      <c r="BN75" s="85"/>
    </row>
    <row r="76">
      <c r="A76" s="18"/>
      <c r="X76" s="86"/>
      <c r="AO76" s="86"/>
      <c r="BN76" s="85"/>
    </row>
    <row r="77">
      <c r="A77" s="18"/>
      <c r="X77" s="86"/>
      <c r="AO77" s="86"/>
      <c r="BN77" s="85"/>
    </row>
    <row r="78">
      <c r="A78" s="18"/>
      <c r="X78" s="86"/>
      <c r="AO78" s="86"/>
      <c r="BN78" s="85"/>
    </row>
    <row r="79">
      <c r="A79" s="18"/>
      <c r="X79" s="86"/>
      <c r="AO79" s="86"/>
      <c r="BN79" s="85"/>
    </row>
    <row r="80">
      <c r="A80" s="18"/>
      <c r="X80" s="86"/>
      <c r="AO80" s="86"/>
      <c r="BN80" s="85"/>
    </row>
    <row r="81">
      <c r="A81" s="18"/>
      <c r="X81" s="86"/>
      <c r="AO81" s="86"/>
      <c r="BN81" s="85"/>
    </row>
    <row r="82">
      <c r="A82" s="18"/>
      <c r="X82" s="86"/>
      <c r="AO82" s="86"/>
      <c r="BN82" s="85"/>
    </row>
    <row r="83">
      <c r="A83" s="18"/>
      <c r="X83" s="86"/>
      <c r="AO83" s="86"/>
      <c r="BN83" s="85"/>
    </row>
    <row r="84">
      <c r="A84" s="18"/>
      <c r="X84" s="86"/>
      <c r="AO84" s="86"/>
      <c r="BN84" s="85"/>
    </row>
    <row r="85">
      <c r="A85" s="18"/>
      <c r="X85" s="86"/>
      <c r="AO85" s="86"/>
      <c r="BN85" s="85"/>
    </row>
    <row r="86">
      <c r="A86" s="18"/>
      <c r="X86" s="86"/>
      <c r="AO86" s="86"/>
      <c r="BN86" s="85"/>
    </row>
    <row r="87">
      <c r="A87" s="18"/>
      <c r="X87" s="86"/>
      <c r="AO87" s="86"/>
      <c r="BN87" s="85"/>
    </row>
    <row r="88">
      <c r="A88" s="18"/>
      <c r="X88" s="86"/>
      <c r="AO88" s="86"/>
      <c r="BN88" s="85"/>
    </row>
    <row r="89">
      <c r="A89" s="18"/>
      <c r="X89" s="86"/>
      <c r="AO89" s="86"/>
      <c r="BN89" s="85"/>
    </row>
    <row r="90">
      <c r="A90" s="18"/>
      <c r="X90" s="86"/>
      <c r="AO90" s="86"/>
      <c r="BN90" s="85"/>
    </row>
    <row r="91">
      <c r="A91" s="18"/>
      <c r="X91" s="86"/>
      <c r="AO91" s="86"/>
      <c r="BN91" s="85"/>
    </row>
    <row r="92">
      <c r="A92" s="18"/>
      <c r="X92" s="86"/>
      <c r="AO92" s="86"/>
      <c r="BN92" s="85"/>
    </row>
    <row r="93">
      <c r="A93" s="18"/>
      <c r="X93" s="86"/>
      <c r="AO93" s="86"/>
      <c r="BN93" s="85"/>
    </row>
    <row r="94">
      <c r="A94" s="18"/>
      <c r="X94" s="86"/>
      <c r="AO94" s="86"/>
      <c r="BN94" s="85"/>
    </row>
    <row r="95">
      <c r="A95" s="18"/>
      <c r="X95" s="86"/>
      <c r="AO95" s="86"/>
      <c r="BN95" s="85"/>
    </row>
    <row r="96">
      <c r="A96" s="18"/>
      <c r="X96" s="86"/>
      <c r="AO96" s="86"/>
      <c r="BN96" s="85"/>
    </row>
    <row r="97">
      <c r="A97" s="18"/>
      <c r="X97" s="86"/>
      <c r="AO97" s="86"/>
      <c r="BN97" s="85"/>
    </row>
    <row r="98">
      <c r="A98" s="18"/>
      <c r="X98" s="86"/>
      <c r="AO98" s="86"/>
      <c r="BN98" s="85"/>
    </row>
    <row r="99">
      <c r="A99" s="18"/>
      <c r="X99" s="86"/>
      <c r="AO99" s="86"/>
      <c r="BN99" s="85"/>
    </row>
    <row r="100">
      <c r="A100" s="18"/>
      <c r="X100" s="86"/>
      <c r="AO100" s="86"/>
      <c r="BN100" s="85"/>
    </row>
    <row r="101">
      <c r="A101" s="18"/>
      <c r="X101" s="86"/>
      <c r="AO101" s="86"/>
      <c r="BN101" s="85"/>
    </row>
    <row r="102">
      <c r="A102" s="18"/>
      <c r="X102" s="86"/>
      <c r="AO102" s="86"/>
      <c r="BN102" s="85"/>
    </row>
    <row r="103">
      <c r="A103" s="18"/>
      <c r="X103" s="86"/>
      <c r="AO103" s="86"/>
      <c r="BN103" s="85"/>
    </row>
    <row r="104">
      <c r="A104" s="18"/>
      <c r="X104" s="86"/>
      <c r="AO104" s="86"/>
      <c r="BN104" s="85"/>
    </row>
    <row r="105">
      <c r="A105" s="18"/>
      <c r="X105" s="86"/>
      <c r="AO105" s="86"/>
      <c r="BN105" s="85"/>
    </row>
    <row r="106">
      <c r="A106" s="18"/>
      <c r="X106" s="86"/>
      <c r="AO106" s="86"/>
      <c r="BN106" s="85"/>
    </row>
    <row r="107">
      <c r="A107" s="18"/>
      <c r="X107" s="86"/>
      <c r="AO107" s="86"/>
      <c r="BN107" s="85"/>
    </row>
    <row r="108">
      <c r="A108" s="18"/>
      <c r="X108" s="86"/>
      <c r="AO108" s="86"/>
      <c r="BN108" s="85"/>
    </row>
    <row r="109">
      <c r="A109" s="18"/>
      <c r="X109" s="86"/>
      <c r="AO109" s="86"/>
      <c r="BN109" s="85"/>
    </row>
    <row r="110">
      <c r="A110" s="18"/>
      <c r="X110" s="86"/>
      <c r="AO110" s="86"/>
      <c r="BN110" s="85"/>
    </row>
    <row r="111">
      <c r="A111" s="18"/>
      <c r="X111" s="86"/>
      <c r="AO111" s="86"/>
      <c r="BN111" s="85"/>
    </row>
    <row r="112">
      <c r="A112" s="18"/>
      <c r="X112" s="86"/>
      <c r="AO112" s="86"/>
      <c r="BN112" s="85"/>
    </row>
    <row r="113">
      <c r="A113" s="18"/>
      <c r="X113" s="86"/>
      <c r="AO113" s="86"/>
      <c r="BN113" s="85"/>
    </row>
    <row r="114">
      <c r="A114" s="18"/>
      <c r="X114" s="86"/>
      <c r="AO114" s="86"/>
      <c r="BN114" s="85"/>
    </row>
    <row r="115">
      <c r="A115" s="18"/>
      <c r="X115" s="86"/>
      <c r="AO115" s="86"/>
      <c r="BN115" s="85"/>
    </row>
    <row r="116">
      <c r="A116" s="18"/>
      <c r="X116" s="86"/>
      <c r="AO116" s="86"/>
      <c r="BN116" s="85"/>
    </row>
    <row r="117">
      <c r="A117" s="18"/>
      <c r="X117" s="86"/>
      <c r="AO117" s="86"/>
      <c r="BN117" s="85"/>
    </row>
    <row r="118">
      <c r="A118" s="18"/>
      <c r="X118" s="86"/>
      <c r="AO118" s="86"/>
      <c r="BN118" s="85"/>
    </row>
    <row r="119">
      <c r="A119" s="18"/>
      <c r="X119" s="86"/>
      <c r="AO119" s="86"/>
      <c r="BN119" s="85"/>
    </row>
    <row r="120">
      <c r="A120" s="18"/>
      <c r="X120" s="86"/>
      <c r="AO120" s="86"/>
      <c r="BN120" s="85"/>
    </row>
    <row r="121">
      <c r="A121" s="18"/>
      <c r="X121" s="86"/>
      <c r="AO121" s="86"/>
      <c r="BN121" s="85"/>
    </row>
    <row r="122">
      <c r="A122" s="18"/>
      <c r="X122" s="86"/>
      <c r="AO122" s="86"/>
      <c r="BN122" s="85"/>
    </row>
    <row r="123">
      <c r="A123" s="18"/>
      <c r="X123" s="86"/>
      <c r="AO123" s="86"/>
      <c r="BN123" s="85"/>
    </row>
    <row r="124">
      <c r="A124" s="18"/>
      <c r="X124" s="86"/>
      <c r="AO124" s="86"/>
      <c r="BN124" s="85"/>
    </row>
    <row r="125">
      <c r="A125" s="18"/>
      <c r="X125" s="86"/>
      <c r="AO125" s="86"/>
      <c r="BN125" s="85"/>
    </row>
    <row r="126">
      <c r="A126" s="18"/>
      <c r="X126" s="86"/>
      <c r="AO126" s="86"/>
      <c r="BN126" s="85"/>
    </row>
    <row r="127">
      <c r="A127" s="18"/>
      <c r="X127" s="86"/>
      <c r="AO127" s="86"/>
      <c r="BN127" s="85"/>
    </row>
    <row r="128">
      <c r="A128" s="18"/>
      <c r="X128" s="86"/>
      <c r="AO128" s="86"/>
      <c r="BN128" s="85"/>
    </row>
    <row r="129">
      <c r="A129" s="18"/>
      <c r="X129" s="86"/>
      <c r="AO129" s="86"/>
      <c r="BN129" s="85"/>
    </row>
    <row r="130">
      <c r="A130" s="18"/>
      <c r="X130" s="86"/>
      <c r="AO130" s="86"/>
      <c r="BN130" s="85"/>
    </row>
    <row r="131">
      <c r="A131" s="18"/>
      <c r="X131" s="86"/>
      <c r="AO131" s="86"/>
      <c r="BN131" s="85"/>
    </row>
    <row r="132">
      <c r="A132" s="18"/>
      <c r="X132" s="86"/>
      <c r="AO132" s="86"/>
      <c r="BN132" s="85"/>
    </row>
    <row r="133">
      <c r="A133" s="18"/>
      <c r="X133" s="86"/>
      <c r="AO133" s="86"/>
      <c r="BN133" s="85"/>
    </row>
    <row r="134">
      <c r="A134" s="18"/>
      <c r="X134" s="86"/>
      <c r="AO134" s="86"/>
      <c r="BN134" s="85"/>
    </row>
    <row r="135">
      <c r="A135" s="18"/>
      <c r="X135" s="86"/>
      <c r="AO135" s="86"/>
      <c r="BN135" s="85"/>
    </row>
    <row r="136">
      <c r="A136" s="18"/>
      <c r="X136" s="86"/>
      <c r="AO136" s="86"/>
      <c r="BN136" s="85"/>
    </row>
    <row r="137">
      <c r="A137" s="18"/>
      <c r="X137" s="86"/>
      <c r="AO137" s="86"/>
      <c r="BN137" s="85"/>
    </row>
    <row r="138">
      <c r="A138" s="18"/>
      <c r="X138" s="86"/>
      <c r="AO138" s="86"/>
      <c r="BN138" s="85"/>
    </row>
    <row r="139">
      <c r="A139" s="18"/>
      <c r="X139" s="86"/>
      <c r="AO139" s="86"/>
      <c r="BN139" s="85"/>
    </row>
    <row r="140">
      <c r="A140" s="18"/>
      <c r="X140" s="86"/>
      <c r="AO140" s="86"/>
      <c r="BN140" s="85"/>
    </row>
    <row r="141">
      <c r="A141" s="18"/>
      <c r="X141" s="86"/>
      <c r="AO141" s="86"/>
      <c r="BN141" s="85"/>
    </row>
    <row r="142">
      <c r="A142" s="18"/>
      <c r="X142" s="86"/>
      <c r="AO142" s="86"/>
      <c r="BN142" s="85"/>
    </row>
    <row r="143">
      <c r="A143" s="18"/>
      <c r="X143" s="86"/>
      <c r="AO143" s="86"/>
      <c r="BN143" s="85"/>
    </row>
    <row r="144">
      <c r="A144" s="18"/>
      <c r="X144" s="86"/>
      <c r="AO144" s="86"/>
      <c r="BN144" s="85"/>
    </row>
    <row r="145">
      <c r="A145" s="18"/>
      <c r="X145" s="86"/>
      <c r="AO145" s="86"/>
      <c r="BN145" s="85"/>
    </row>
    <row r="146">
      <c r="A146" s="18"/>
      <c r="X146" s="86"/>
      <c r="AO146" s="86"/>
      <c r="BN146" s="85"/>
    </row>
    <row r="147">
      <c r="A147" s="18"/>
      <c r="X147" s="86"/>
      <c r="AO147" s="86"/>
      <c r="BN147" s="85"/>
    </row>
    <row r="148">
      <c r="A148" s="18"/>
      <c r="X148" s="86"/>
      <c r="AO148" s="86"/>
      <c r="BN148" s="85"/>
    </row>
    <row r="149">
      <c r="A149" s="18"/>
      <c r="X149" s="86"/>
      <c r="AO149" s="86"/>
      <c r="BN149" s="85"/>
    </row>
    <row r="150">
      <c r="A150" s="18"/>
      <c r="X150" s="86"/>
      <c r="AO150" s="86"/>
      <c r="BN150" s="85"/>
    </row>
    <row r="151">
      <c r="A151" s="18"/>
      <c r="X151" s="86"/>
      <c r="AO151" s="86"/>
      <c r="BN151" s="85"/>
    </row>
    <row r="152">
      <c r="A152" s="18"/>
      <c r="X152" s="86"/>
      <c r="AO152" s="86"/>
      <c r="BN152" s="85"/>
    </row>
    <row r="153">
      <c r="A153" s="18"/>
      <c r="X153" s="86"/>
      <c r="AO153" s="86"/>
      <c r="BN153" s="85"/>
    </row>
    <row r="154">
      <c r="A154" s="18"/>
      <c r="X154" s="86"/>
      <c r="AO154" s="86"/>
      <c r="BN154" s="85"/>
    </row>
    <row r="155">
      <c r="A155" s="18"/>
      <c r="X155" s="86"/>
      <c r="AO155" s="86"/>
      <c r="BN155" s="85"/>
    </row>
    <row r="156">
      <c r="A156" s="18"/>
      <c r="X156" s="86"/>
      <c r="AO156" s="86"/>
      <c r="BN156" s="85"/>
    </row>
    <row r="157">
      <c r="A157" s="18"/>
      <c r="X157" s="86"/>
      <c r="AO157" s="86"/>
      <c r="BN157" s="85"/>
    </row>
    <row r="158">
      <c r="A158" s="18"/>
      <c r="X158" s="86"/>
      <c r="AO158" s="86"/>
      <c r="BN158" s="85"/>
    </row>
    <row r="159">
      <c r="A159" s="18"/>
      <c r="X159" s="86"/>
      <c r="AO159" s="86"/>
      <c r="BN159" s="85"/>
    </row>
    <row r="160">
      <c r="A160" s="18"/>
      <c r="X160" s="86"/>
      <c r="AO160" s="86"/>
      <c r="BN160" s="85"/>
    </row>
    <row r="161">
      <c r="A161" s="18"/>
      <c r="X161" s="86"/>
      <c r="AO161" s="86"/>
      <c r="BN161" s="85"/>
    </row>
    <row r="162">
      <c r="A162" s="18"/>
      <c r="X162" s="86"/>
      <c r="AO162" s="86"/>
      <c r="BN162" s="85"/>
    </row>
    <row r="163">
      <c r="A163" s="18"/>
      <c r="X163" s="86"/>
      <c r="AO163" s="86"/>
      <c r="BN163" s="85"/>
    </row>
    <row r="164">
      <c r="A164" s="18"/>
      <c r="X164" s="86"/>
      <c r="AO164" s="86"/>
      <c r="BN164" s="85"/>
    </row>
    <row r="165">
      <c r="A165" s="18"/>
      <c r="X165" s="86"/>
      <c r="AO165" s="86"/>
      <c r="BN165" s="85"/>
    </row>
    <row r="166">
      <c r="A166" s="18"/>
      <c r="X166" s="86"/>
      <c r="AO166" s="86"/>
      <c r="BN166" s="85"/>
    </row>
    <row r="167">
      <c r="A167" s="18"/>
      <c r="X167" s="86"/>
      <c r="AO167" s="86"/>
      <c r="BN167" s="85"/>
    </row>
    <row r="168">
      <c r="A168" s="18"/>
      <c r="X168" s="86"/>
      <c r="AO168" s="86"/>
      <c r="BN168" s="85"/>
    </row>
    <row r="169">
      <c r="A169" s="18"/>
      <c r="X169" s="86"/>
      <c r="AO169" s="86"/>
      <c r="BN169" s="85"/>
    </row>
    <row r="170">
      <c r="A170" s="18"/>
      <c r="X170" s="86"/>
      <c r="AO170" s="86"/>
      <c r="BN170" s="85"/>
    </row>
    <row r="171">
      <c r="A171" s="18"/>
      <c r="X171" s="86"/>
      <c r="AO171" s="86"/>
      <c r="BN171" s="85"/>
    </row>
    <row r="172">
      <c r="A172" s="18"/>
      <c r="X172" s="86"/>
      <c r="AO172" s="86"/>
      <c r="BN172" s="85"/>
    </row>
    <row r="173">
      <c r="A173" s="18"/>
      <c r="X173" s="86"/>
      <c r="AO173" s="86"/>
      <c r="BN173" s="85"/>
    </row>
    <row r="174">
      <c r="A174" s="18"/>
      <c r="X174" s="86"/>
      <c r="AO174" s="86"/>
      <c r="BN174" s="85"/>
    </row>
    <row r="175">
      <c r="A175" s="18"/>
      <c r="X175" s="86"/>
      <c r="AO175" s="86"/>
      <c r="BN175" s="85"/>
    </row>
    <row r="176">
      <c r="A176" s="18"/>
      <c r="X176" s="86"/>
      <c r="AO176" s="86"/>
      <c r="BN176" s="85"/>
    </row>
    <row r="177">
      <c r="A177" s="18"/>
      <c r="X177" s="86"/>
      <c r="AO177" s="86"/>
      <c r="BN177" s="85"/>
    </row>
    <row r="178">
      <c r="A178" s="18"/>
      <c r="X178" s="86"/>
      <c r="AO178" s="86"/>
      <c r="BN178" s="85"/>
    </row>
    <row r="179">
      <c r="A179" s="18"/>
      <c r="X179" s="86"/>
      <c r="AO179" s="86"/>
      <c r="BN179" s="85"/>
    </row>
    <row r="180">
      <c r="A180" s="18"/>
      <c r="X180" s="86"/>
      <c r="AO180" s="86"/>
      <c r="BN180" s="85"/>
    </row>
    <row r="181">
      <c r="A181" s="18"/>
      <c r="X181" s="86"/>
      <c r="AO181" s="86"/>
      <c r="BN181" s="85"/>
    </row>
    <row r="182">
      <c r="A182" s="18"/>
      <c r="X182" s="86"/>
      <c r="AO182" s="86"/>
      <c r="BN182" s="85"/>
    </row>
    <row r="183">
      <c r="A183" s="18"/>
      <c r="X183" s="86"/>
      <c r="AO183" s="86"/>
      <c r="BN183" s="85"/>
    </row>
    <row r="184">
      <c r="A184" s="18"/>
      <c r="X184" s="86"/>
      <c r="AO184" s="86"/>
      <c r="BN184" s="85"/>
    </row>
    <row r="185">
      <c r="A185" s="18"/>
      <c r="X185" s="86"/>
      <c r="AO185" s="86"/>
      <c r="BN185" s="85"/>
    </row>
    <row r="186">
      <c r="A186" s="18"/>
      <c r="X186" s="86"/>
      <c r="AO186" s="86"/>
      <c r="BN186" s="85"/>
    </row>
    <row r="187">
      <c r="A187" s="18"/>
      <c r="X187" s="86"/>
      <c r="AO187" s="86"/>
      <c r="BN187" s="85"/>
    </row>
    <row r="188">
      <c r="A188" s="18"/>
      <c r="X188" s="86"/>
      <c r="AO188" s="86"/>
      <c r="BN188" s="85"/>
    </row>
    <row r="189">
      <c r="A189" s="18"/>
      <c r="X189" s="86"/>
      <c r="AO189" s="86"/>
      <c r="BN189" s="85"/>
    </row>
    <row r="190">
      <c r="A190" s="18"/>
      <c r="X190" s="86"/>
      <c r="AO190" s="86"/>
      <c r="BN190" s="85"/>
    </row>
    <row r="191">
      <c r="A191" s="18"/>
      <c r="X191" s="86"/>
      <c r="AO191" s="86"/>
      <c r="BN191" s="85"/>
    </row>
    <row r="192">
      <c r="A192" s="18"/>
      <c r="X192" s="86"/>
      <c r="AO192" s="86"/>
      <c r="BN192" s="85"/>
    </row>
    <row r="193">
      <c r="A193" s="18"/>
      <c r="X193" s="86"/>
      <c r="AO193" s="86"/>
      <c r="BN193" s="85"/>
    </row>
    <row r="194">
      <c r="A194" s="18"/>
      <c r="X194" s="86"/>
      <c r="AO194" s="86"/>
      <c r="BN194" s="85"/>
    </row>
    <row r="195">
      <c r="A195" s="18"/>
      <c r="X195" s="86"/>
      <c r="AO195" s="86"/>
      <c r="BN195" s="85"/>
    </row>
    <row r="196">
      <c r="A196" s="18"/>
      <c r="X196" s="86"/>
      <c r="AO196" s="86"/>
      <c r="BN196" s="85"/>
    </row>
    <row r="197">
      <c r="A197" s="18"/>
      <c r="X197" s="86"/>
      <c r="AO197" s="86"/>
      <c r="BN197" s="85"/>
    </row>
    <row r="198">
      <c r="A198" s="18"/>
      <c r="X198" s="86"/>
      <c r="AO198" s="86"/>
      <c r="BN198" s="85"/>
    </row>
    <row r="199">
      <c r="A199" s="18"/>
      <c r="X199" s="86"/>
      <c r="AO199" s="86"/>
      <c r="BN199" s="85"/>
    </row>
    <row r="200">
      <c r="A200" s="18"/>
      <c r="X200" s="86"/>
      <c r="AO200" s="86"/>
      <c r="BN200" s="85"/>
    </row>
    <row r="201">
      <c r="A201" s="18"/>
      <c r="X201" s="86"/>
      <c r="AO201" s="86"/>
      <c r="BN201" s="85"/>
    </row>
    <row r="202">
      <c r="A202" s="18"/>
      <c r="X202" s="86"/>
      <c r="AO202" s="86"/>
      <c r="BN202" s="85"/>
    </row>
    <row r="203">
      <c r="A203" s="18"/>
      <c r="X203" s="86"/>
      <c r="AO203" s="86"/>
      <c r="BN203" s="85"/>
    </row>
    <row r="204">
      <c r="A204" s="18"/>
      <c r="X204" s="86"/>
      <c r="AO204" s="86"/>
      <c r="BN204" s="85"/>
    </row>
    <row r="205">
      <c r="A205" s="18"/>
      <c r="X205" s="86"/>
      <c r="AO205" s="86"/>
      <c r="BN205" s="85"/>
    </row>
    <row r="206">
      <c r="A206" s="18"/>
      <c r="X206" s="86"/>
      <c r="AO206" s="86"/>
      <c r="BN206" s="85"/>
    </row>
    <row r="207">
      <c r="A207" s="18"/>
      <c r="X207" s="86"/>
      <c r="AO207" s="86"/>
      <c r="BN207" s="85"/>
    </row>
    <row r="208">
      <c r="A208" s="18"/>
      <c r="X208" s="86"/>
      <c r="AO208" s="86"/>
      <c r="BN208" s="85"/>
    </row>
    <row r="209">
      <c r="A209" s="18"/>
      <c r="X209" s="86"/>
      <c r="AO209" s="86"/>
      <c r="BN209" s="85"/>
    </row>
    <row r="210">
      <c r="A210" s="18"/>
      <c r="X210" s="86"/>
      <c r="AO210" s="86"/>
      <c r="BN210" s="85"/>
    </row>
    <row r="211">
      <c r="A211" s="18"/>
      <c r="X211" s="86"/>
      <c r="AO211" s="86"/>
      <c r="BN211" s="85"/>
    </row>
    <row r="212">
      <c r="A212" s="18"/>
      <c r="X212" s="86"/>
      <c r="AO212" s="86"/>
      <c r="BN212" s="85"/>
    </row>
    <row r="213">
      <c r="A213" s="18"/>
      <c r="X213" s="86"/>
      <c r="AO213" s="86"/>
      <c r="BN213" s="85"/>
    </row>
    <row r="214">
      <c r="A214" s="18"/>
      <c r="X214" s="86"/>
      <c r="AO214" s="86"/>
      <c r="BN214" s="85"/>
    </row>
    <row r="215">
      <c r="A215" s="18"/>
      <c r="X215" s="86"/>
      <c r="AO215" s="86"/>
      <c r="BN215" s="85"/>
    </row>
    <row r="216">
      <c r="A216" s="18"/>
      <c r="X216" s="86"/>
      <c r="AO216" s="86"/>
      <c r="BN216" s="85"/>
    </row>
    <row r="217">
      <c r="A217" s="18"/>
      <c r="X217" s="86"/>
      <c r="AO217" s="86"/>
      <c r="BN217" s="85"/>
    </row>
    <row r="218">
      <c r="A218" s="18"/>
      <c r="X218" s="86"/>
      <c r="AO218" s="86"/>
      <c r="BN218" s="85"/>
    </row>
    <row r="219">
      <c r="A219" s="18"/>
      <c r="X219" s="86"/>
      <c r="AO219" s="86"/>
      <c r="BN219" s="85"/>
    </row>
    <row r="220">
      <c r="A220" s="18"/>
      <c r="X220" s="86"/>
      <c r="AO220" s="86"/>
      <c r="BN220" s="85"/>
    </row>
    <row r="221">
      <c r="A221" s="18"/>
      <c r="X221" s="86"/>
      <c r="AO221" s="86"/>
      <c r="BN221" s="85"/>
    </row>
    <row r="222">
      <c r="A222" s="18"/>
      <c r="X222" s="86"/>
      <c r="AO222" s="86"/>
      <c r="BN222" s="85"/>
    </row>
    <row r="223">
      <c r="A223" s="18"/>
      <c r="X223" s="86"/>
      <c r="AO223" s="86"/>
      <c r="BN223" s="85"/>
    </row>
    <row r="224">
      <c r="A224" s="18"/>
      <c r="X224" s="86"/>
      <c r="AO224" s="86"/>
      <c r="BN224" s="85"/>
    </row>
    <row r="225">
      <c r="A225" s="18"/>
      <c r="X225" s="86"/>
      <c r="AO225" s="86"/>
      <c r="BN225" s="85"/>
    </row>
    <row r="226">
      <c r="A226" s="18"/>
      <c r="X226" s="86"/>
      <c r="AO226" s="86"/>
      <c r="BN226" s="85"/>
    </row>
    <row r="227">
      <c r="A227" s="18"/>
      <c r="X227" s="86"/>
      <c r="AO227" s="86"/>
      <c r="BN227" s="85"/>
    </row>
    <row r="228">
      <c r="A228" s="18"/>
      <c r="X228" s="86"/>
      <c r="AO228" s="86"/>
      <c r="BN228" s="85"/>
    </row>
    <row r="229">
      <c r="A229" s="18"/>
      <c r="X229" s="86"/>
      <c r="AO229" s="86"/>
      <c r="BN229" s="85"/>
    </row>
    <row r="230">
      <c r="A230" s="18"/>
      <c r="X230" s="86"/>
      <c r="AO230" s="86"/>
      <c r="BN230" s="85"/>
    </row>
    <row r="231">
      <c r="A231" s="18"/>
      <c r="X231" s="86"/>
      <c r="AO231" s="86"/>
      <c r="BN231" s="85"/>
    </row>
    <row r="232">
      <c r="A232" s="18"/>
      <c r="X232" s="86"/>
      <c r="AO232" s="86"/>
      <c r="BN232" s="85"/>
    </row>
    <row r="233">
      <c r="A233" s="18"/>
      <c r="X233" s="86"/>
      <c r="AO233" s="86"/>
      <c r="BN233" s="85"/>
    </row>
    <row r="234">
      <c r="A234" s="18"/>
      <c r="X234" s="86"/>
      <c r="AO234" s="86"/>
      <c r="BN234" s="85"/>
    </row>
    <row r="235">
      <c r="A235" s="18"/>
      <c r="X235" s="86"/>
      <c r="AO235" s="86"/>
      <c r="BN235" s="85"/>
    </row>
    <row r="236">
      <c r="A236" s="18"/>
      <c r="X236" s="86"/>
      <c r="AO236" s="86"/>
      <c r="BN236" s="85"/>
    </row>
    <row r="237">
      <c r="A237" s="18"/>
      <c r="X237" s="86"/>
      <c r="AO237" s="86"/>
      <c r="BN237" s="85"/>
    </row>
    <row r="238">
      <c r="A238" s="18"/>
      <c r="X238" s="86"/>
      <c r="AO238" s="86"/>
      <c r="BN238" s="85"/>
    </row>
    <row r="239">
      <c r="A239" s="18"/>
      <c r="X239" s="86"/>
      <c r="AO239" s="86"/>
      <c r="BN239" s="85"/>
    </row>
    <row r="240">
      <c r="A240" s="18"/>
      <c r="X240" s="86"/>
      <c r="AO240" s="86"/>
      <c r="BN240" s="85"/>
    </row>
    <row r="241">
      <c r="A241" s="18"/>
      <c r="X241" s="86"/>
      <c r="AO241" s="86"/>
      <c r="BN241" s="85"/>
    </row>
    <row r="242">
      <c r="A242" s="18"/>
      <c r="X242" s="86"/>
      <c r="AO242" s="86"/>
      <c r="BN242" s="85"/>
    </row>
    <row r="243">
      <c r="A243" s="18"/>
      <c r="X243" s="86"/>
      <c r="AO243" s="86"/>
      <c r="BN243" s="85"/>
    </row>
    <row r="244">
      <c r="A244" s="18"/>
      <c r="X244" s="86"/>
      <c r="AO244" s="86"/>
      <c r="BN244" s="85"/>
    </row>
    <row r="245">
      <c r="A245" s="18"/>
      <c r="X245" s="86"/>
      <c r="AO245" s="86"/>
      <c r="BN245" s="85"/>
    </row>
    <row r="246">
      <c r="A246" s="18"/>
      <c r="X246" s="86"/>
      <c r="AO246" s="86"/>
      <c r="BN246" s="85"/>
    </row>
    <row r="247">
      <c r="A247" s="18"/>
      <c r="X247" s="86"/>
      <c r="AO247" s="86"/>
      <c r="BN247" s="85"/>
    </row>
    <row r="248">
      <c r="A248" s="18"/>
      <c r="X248" s="86"/>
      <c r="AO248" s="86"/>
      <c r="BN248" s="85"/>
    </row>
    <row r="249">
      <c r="A249" s="18"/>
      <c r="X249" s="86"/>
      <c r="AO249" s="86"/>
      <c r="BN249" s="85"/>
    </row>
    <row r="250">
      <c r="A250" s="18"/>
      <c r="X250" s="86"/>
      <c r="AO250" s="86"/>
      <c r="BN250" s="85"/>
    </row>
    <row r="251">
      <c r="A251" s="18"/>
      <c r="X251" s="86"/>
      <c r="AO251" s="86"/>
      <c r="BN251" s="85"/>
    </row>
    <row r="252">
      <c r="A252" s="18"/>
      <c r="X252" s="86"/>
      <c r="AO252" s="86"/>
      <c r="BN252" s="85"/>
    </row>
    <row r="253">
      <c r="A253" s="18"/>
      <c r="X253" s="86"/>
      <c r="AO253" s="86"/>
      <c r="BN253" s="85"/>
    </row>
    <row r="254">
      <c r="A254" s="18"/>
      <c r="X254" s="86"/>
      <c r="AO254" s="86"/>
      <c r="BN254" s="85"/>
    </row>
    <row r="255">
      <c r="A255" s="18"/>
      <c r="X255" s="86"/>
      <c r="AO255" s="86"/>
      <c r="BN255" s="85"/>
    </row>
    <row r="256">
      <c r="A256" s="18"/>
      <c r="X256" s="86"/>
      <c r="AO256" s="86"/>
      <c r="BN256" s="85"/>
    </row>
    <row r="257">
      <c r="A257" s="18"/>
      <c r="X257" s="86"/>
      <c r="AO257" s="86"/>
      <c r="BN257" s="85"/>
    </row>
    <row r="258">
      <c r="A258" s="18"/>
      <c r="X258" s="86"/>
      <c r="AO258" s="86"/>
      <c r="BN258" s="85"/>
    </row>
    <row r="259">
      <c r="A259" s="18"/>
      <c r="X259" s="86"/>
      <c r="AO259" s="86"/>
      <c r="BN259" s="85"/>
    </row>
    <row r="260">
      <c r="A260" s="18"/>
      <c r="X260" s="86"/>
      <c r="AO260" s="86"/>
      <c r="BN260" s="85"/>
    </row>
    <row r="261">
      <c r="A261" s="18"/>
      <c r="X261" s="86"/>
      <c r="AO261" s="86"/>
      <c r="BN261" s="85"/>
    </row>
    <row r="262">
      <c r="A262" s="18"/>
      <c r="X262" s="86"/>
      <c r="AO262" s="86"/>
      <c r="BN262" s="85"/>
    </row>
    <row r="263">
      <c r="A263" s="18"/>
      <c r="X263" s="86"/>
      <c r="AO263" s="86"/>
      <c r="BN263" s="85"/>
    </row>
    <row r="264">
      <c r="A264" s="18"/>
      <c r="X264" s="86"/>
      <c r="AO264" s="86"/>
      <c r="BN264" s="85"/>
    </row>
    <row r="265">
      <c r="A265" s="18"/>
      <c r="X265" s="86"/>
      <c r="AO265" s="86"/>
      <c r="BN265" s="85"/>
    </row>
    <row r="266">
      <c r="A266" s="18"/>
      <c r="X266" s="86"/>
      <c r="AO266" s="86"/>
      <c r="BN266" s="85"/>
    </row>
    <row r="267">
      <c r="A267" s="18"/>
      <c r="X267" s="86"/>
      <c r="AO267" s="86"/>
      <c r="BN267" s="85"/>
    </row>
    <row r="268">
      <c r="A268" s="18"/>
      <c r="X268" s="86"/>
      <c r="AO268" s="86"/>
      <c r="BN268" s="85"/>
    </row>
    <row r="269">
      <c r="A269" s="18"/>
      <c r="X269" s="86"/>
      <c r="AO269" s="86"/>
      <c r="BN269" s="85"/>
    </row>
    <row r="270">
      <c r="A270" s="18"/>
      <c r="X270" s="86"/>
      <c r="AO270" s="86"/>
      <c r="BN270" s="85"/>
    </row>
    <row r="271">
      <c r="A271" s="18"/>
      <c r="X271" s="86"/>
      <c r="AO271" s="86"/>
      <c r="BN271" s="85"/>
    </row>
    <row r="272">
      <c r="A272" s="18"/>
      <c r="X272" s="86"/>
      <c r="AO272" s="86"/>
      <c r="BN272" s="85"/>
    </row>
    <row r="273">
      <c r="A273" s="18"/>
      <c r="X273" s="86"/>
      <c r="AO273" s="86"/>
      <c r="BN273" s="85"/>
    </row>
    <row r="274">
      <c r="A274" s="18"/>
      <c r="X274" s="86"/>
      <c r="AO274" s="86"/>
      <c r="BN274" s="85"/>
    </row>
    <row r="275">
      <c r="A275" s="18"/>
      <c r="X275" s="86"/>
      <c r="AO275" s="86"/>
      <c r="BN275" s="85"/>
    </row>
    <row r="276">
      <c r="A276" s="18"/>
      <c r="X276" s="86"/>
      <c r="AO276" s="86"/>
      <c r="BN276" s="85"/>
    </row>
    <row r="277">
      <c r="A277" s="18"/>
      <c r="X277" s="86"/>
      <c r="AO277" s="86"/>
      <c r="BN277" s="85"/>
    </row>
    <row r="278">
      <c r="A278" s="18"/>
      <c r="X278" s="86"/>
      <c r="AO278" s="86"/>
      <c r="BN278" s="85"/>
    </row>
    <row r="279">
      <c r="A279" s="18"/>
      <c r="X279" s="86"/>
      <c r="AO279" s="86"/>
      <c r="BN279" s="85"/>
    </row>
    <row r="280">
      <c r="A280" s="18"/>
      <c r="X280" s="86"/>
      <c r="AO280" s="86"/>
      <c r="BN280" s="85"/>
    </row>
    <row r="281">
      <c r="A281" s="18"/>
      <c r="X281" s="86"/>
      <c r="AO281" s="86"/>
      <c r="BN281" s="85"/>
    </row>
    <row r="282">
      <c r="A282" s="18"/>
      <c r="X282" s="86"/>
      <c r="AO282" s="86"/>
      <c r="BN282" s="85"/>
    </row>
    <row r="283">
      <c r="A283" s="18"/>
      <c r="X283" s="86"/>
      <c r="AO283" s="86"/>
      <c r="BN283" s="85"/>
    </row>
    <row r="284">
      <c r="A284" s="18"/>
      <c r="X284" s="86"/>
      <c r="AO284" s="86"/>
      <c r="BN284" s="85"/>
    </row>
    <row r="285">
      <c r="A285" s="18"/>
      <c r="X285" s="86"/>
      <c r="AO285" s="86"/>
      <c r="BN285" s="85"/>
    </row>
    <row r="286">
      <c r="A286" s="18"/>
      <c r="X286" s="86"/>
      <c r="AO286" s="86"/>
      <c r="BN286" s="85"/>
    </row>
    <row r="287">
      <c r="A287" s="18"/>
      <c r="X287" s="86"/>
      <c r="AO287" s="86"/>
      <c r="BN287" s="85"/>
    </row>
    <row r="288">
      <c r="A288" s="18"/>
      <c r="X288" s="86"/>
      <c r="AO288" s="86"/>
      <c r="BN288" s="85"/>
    </row>
    <row r="289">
      <c r="A289" s="18"/>
      <c r="X289" s="86"/>
      <c r="AO289" s="86"/>
      <c r="BN289" s="85"/>
    </row>
    <row r="290">
      <c r="A290" s="18"/>
      <c r="X290" s="86"/>
      <c r="AO290" s="86"/>
      <c r="BN290" s="85"/>
    </row>
    <row r="291">
      <c r="A291" s="18"/>
      <c r="X291" s="86"/>
      <c r="AO291" s="86"/>
      <c r="BN291" s="85"/>
    </row>
    <row r="292">
      <c r="A292" s="18"/>
      <c r="X292" s="86"/>
      <c r="AO292" s="86"/>
      <c r="BN292" s="85"/>
    </row>
    <row r="293">
      <c r="A293" s="18"/>
      <c r="X293" s="86"/>
      <c r="AO293" s="86"/>
      <c r="BN293" s="85"/>
    </row>
    <row r="294">
      <c r="A294" s="18"/>
      <c r="X294" s="86"/>
      <c r="AO294" s="86"/>
      <c r="BN294" s="85"/>
    </row>
    <row r="295">
      <c r="A295" s="18"/>
      <c r="X295" s="86"/>
      <c r="AO295" s="86"/>
      <c r="BN295" s="85"/>
    </row>
    <row r="296">
      <c r="A296" s="18"/>
      <c r="X296" s="86"/>
      <c r="AO296" s="86"/>
      <c r="BN296" s="85"/>
    </row>
    <row r="297">
      <c r="A297" s="18"/>
      <c r="X297" s="86"/>
      <c r="AO297" s="86"/>
      <c r="BN297" s="85"/>
    </row>
    <row r="298">
      <c r="A298" s="18"/>
      <c r="X298" s="86"/>
      <c r="AO298" s="86"/>
      <c r="BN298" s="85"/>
    </row>
    <row r="299">
      <c r="A299" s="18"/>
      <c r="X299" s="86"/>
      <c r="AO299" s="86"/>
      <c r="BN299" s="85"/>
    </row>
    <row r="300">
      <c r="A300" s="18"/>
      <c r="X300" s="86"/>
      <c r="AO300" s="86"/>
      <c r="BN300" s="85"/>
    </row>
    <row r="301">
      <c r="A301" s="18"/>
      <c r="X301" s="86"/>
      <c r="AO301" s="86"/>
      <c r="BN301" s="85"/>
    </row>
    <row r="302">
      <c r="A302" s="18"/>
      <c r="X302" s="86"/>
      <c r="AO302" s="86"/>
      <c r="BN302" s="85"/>
    </row>
    <row r="303">
      <c r="A303" s="18"/>
      <c r="X303" s="86"/>
      <c r="AO303" s="86"/>
      <c r="BN303" s="85"/>
    </row>
    <row r="304">
      <c r="A304" s="18"/>
      <c r="X304" s="86"/>
      <c r="AO304" s="86"/>
      <c r="BN304" s="85"/>
    </row>
    <row r="305">
      <c r="A305" s="18"/>
      <c r="X305" s="86"/>
      <c r="AO305" s="86"/>
      <c r="BN305" s="85"/>
    </row>
    <row r="306">
      <c r="A306" s="18"/>
      <c r="X306" s="86"/>
      <c r="AO306" s="86"/>
      <c r="BN306" s="85"/>
    </row>
    <row r="307">
      <c r="A307" s="18"/>
      <c r="X307" s="86"/>
      <c r="AO307" s="86"/>
      <c r="BN307" s="85"/>
    </row>
    <row r="308">
      <c r="A308" s="18"/>
      <c r="X308" s="86"/>
      <c r="AO308" s="86"/>
      <c r="BN308" s="85"/>
    </row>
    <row r="309">
      <c r="A309" s="18"/>
      <c r="X309" s="86"/>
      <c r="AO309" s="86"/>
      <c r="BN309" s="85"/>
    </row>
    <row r="310">
      <c r="A310" s="18"/>
      <c r="X310" s="86"/>
      <c r="AO310" s="86"/>
      <c r="BN310" s="85"/>
    </row>
    <row r="311">
      <c r="A311" s="18"/>
      <c r="X311" s="86"/>
      <c r="AO311" s="86"/>
      <c r="BN311" s="85"/>
    </row>
    <row r="312">
      <c r="A312" s="18"/>
      <c r="X312" s="86"/>
      <c r="AO312" s="86"/>
      <c r="BN312" s="85"/>
    </row>
    <row r="313">
      <c r="A313" s="18"/>
      <c r="X313" s="86"/>
      <c r="AO313" s="86"/>
      <c r="BN313" s="85"/>
    </row>
    <row r="314">
      <c r="A314" s="18"/>
      <c r="X314" s="86"/>
      <c r="AO314" s="86"/>
      <c r="BN314" s="85"/>
    </row>
    <row r="315">
      <c r="A315" s="18"/>
      <c r="X315" s="86"/>
      <c r="AO315" s="86"/>
      <c r="BN315" s="85"/>
    </row>
    <row r="316">
      <c r="A316" s="18"/>
      <c r="X316" s="86"/>
      <c r="AO316" s="86"/>
      <c r="BN316" s="85"/>
    </row>
    <row r="317">
      <c r="A317" s="18"/>
      <c r="X317" s="86"/>
      <c r="AO317" s="86"/>
      <c r="BN317" s="85"/>
    </row>
    <row r="318">
      <c r="A318" s="18"/>
      <c r="X318" s="86"/>
      <c r="AO318" s="86"/>
      <c r="BN318" s="85"/>
    </row>
    <row r="319">
      <c r="A319" s="18"/>
      <c r="X319" s="86"/>
      <c r="AO319" s="86"/>
      <c r="BN319" s="85"/>
    </row>
    <row r="320">
      <c r="A320" s="18"/>
      <c r="X320" s="86"/>
      <c r="AO320" s="86"/>
      <c r="BN320" s="85"/>
    </row>
    <row r="321">
      <c r="A321" s="18"/>
      <c r="X321" s="86"/>
      <c r="AO321" s="86"/>
      <c r="BN321" s="85"/>
    </row>
    <row r="322">
      <c r="A322" s="18"/>
      <c r="X322" s="86"/>
      <c r="AO322" s="86"/>
      <c r="BN322" s="85"/>
    </row>
    <row r="323">
      <c r="A323" s="18"/>
      <c r="X323" s="86"/>
      <c r="AO323" s="86"/>
      <c r="BN323" s="85"/>
    </row>
    <row r="324">
      <c r="A324" s="18"/>
      <c r="X324" s="86"/>
      <c r="AO324" s="86"/>
      <c r="BN324" s="85"/>
    </row>
    <row r="325">
      <c r="A325" s="18"/>
      <c r="X325" s="86"/>
      <c r="AO325" s="86"/>
      <c r="BN325" s="85"/>
    </row>
    <row r="326">
      <c r="A326" s="18"/>
      <c r="X326" s="86"/>
      <c r="AO326" s="86"/>
      <c r="BN326" s="85"/>
    </row>
    <row r="327">
      <c r="A327" s="18"/>
      <c r="X327" s="86"/>
      <c r="AO327" s="86"/>
      <c r="BN327" s="85"/>
    </row>
    <row r="328">
      <c r="A328" s="18"/>
      <c r="X328" s="86"/>
      <c r="AO328" s="86"/>
      <c r="BN328" s="85"/>
    </row>
    <row r="329">
      <c r="A329" s="18"/>
      <c r="X329" s="86"/>
      <c r="AO329" s="86"/>
      <c r="BN329" s="85"/>
    </row>
    <row r="330">
      <c r="A330" s="18"/>
      <c r="X330" s="86"/>
      <c r="AO330" s="86"/>
      <c r="BN330" s="85"/>
    </row>
    <row r="331">
      <c r="A331" s="18"/>
      <c r="X331" s="86"/>
      <c r="AO331" s="86"/>
      <c r="BN331" s="85"/>
    </row>
    <row r="332">
      <c r="A332" s="18"/>
      <c r="X332" s="86"/>
      <c r="AO332" s="86"/>
      <c r="BN332" s="85"/>
    </row>
    <row r="333">
      <c r="A333" s="18"/>
      <c r="X333" s="86"/>
      <c r="AO333" s="86"/>
      <c r="BN333" s="85"/>
    </row>
    <row r="334">
      <c r="A334" s="18"/>
      <c r="X334" s="86"/>
      <c r="AO334" s="86"/>
      <c r="BN334" s="85"/>
    </row>
    <row r="335">
      <c r="A335" s="18"/>
      <c r="X335" s="86"/>
      <c r="AO335" s="86"/>
      <c r="BN335" s="85"/>
    </row>
    <row r="336">
      <c r="A336" s="18"/>
      <c r="X336" s="86"/>
      <c r="AO336" s="86"/>
      <c r="BN336" s="85"/>
    </row>
    <row r="337">
      <c r="A337" s="18"/>
      <c r="X337" s="86"/>
      <c r="AO337" s="86"/>
      <c r="BN337" s="85"/>
    </row>
    <row r="338">
      <c r="A338" s="18"/>
      <c r="X338" s="86"/>
      <c r="AO338" s="86"/>
      <c r="BN338" s="85"/>
    </row>
    <row r="339">
      <c r="A339" s="18"/>
      <c r="X339" s="86"/>
      <c r="AO339" s="86"/>
      <c r="BN339" s="85"/>
    </row>
    <row r="340">
      <c r="A340" s="18"/>
      <c r="X340" s="86"/>
      <c r="AO340" s="86"/>
      <c r="BN340" s="85"/>
    </row>
    <row r="341">
      <c r="A341" s="18"/>
      <c r="X341" s="86"/>
      <c r="AO341" s="86"/>
      <c r="BN341" s="85"/>
    </row>
    <row r="342">
      <c r="A342" s="18"/>
      <c r="X342" s="86"/>
      <c r="AO342" s="86"/>
      <c r="BN342" s="85"/>
    </row>
    <row r="343">
      <c r="A343" s="18"/>
      <c r="X343" s="86"/>
      <c r="AO343" s="86"/>
      <c r="BN343" s="85"/>
    </row>
    <row r="344">
      <c r="A344" s="18"/>
      <c r="X344" s="86"/>
      <c r="AO344" s="86"/>
      <c r="BN344" s="85"/>
    </row>
    <row r="345">
      <c r="A345" s="18"/>
      <c r="X345" s="86"/>
      <c r="AO345" s="86"/>
      <c r="BN345" s="85"/>
    </row>
    <row r="346">
      <c r="A346" s="18"/>
      <c r="X346" s="86"/>
      <c r="AO346" s="86"/>
      <c r="BN346" s="85"/>
    </row>
    <row r="347">
      <c r="A347" s="18"/>
      <c r="X347" s="86"/>
      <c r="AO347" s="86"/>
      <c r="BN347" s="85"/>
    </row>
    <row r="348">
      <c r="A348" s="18"/>
      <c r="X348" s="86"/>
      <c r="AO348" s="86"/>
      <c r="BN348" s="85"/>
    </row>
    <row r="349">
      <c r="A349" s="18"/>
      <c r="X349" s="86"/>
      <c r="AO349" s="86"/>
      <c r="BN349" s="85"/>
    </row>
    <row r="350">
      <c r="A350" s="18"/>
      <c r="X350" s="86"/>
      <c r="AO350" s="86"/>
      <c r="BN350" s="85"/>
    </row>
    <row r="351">
      <c r="A351" s="18"/>
      <c r="X351" s="86"/>
      <c r="AO351" s="86"/>
      <c r="BN351" s="85"/>
    </row>
    <row r="352">
      <c r="A352" s="18"/>
      <c r="X352" s="86"/>
      <c r="AO352" s="86"/>
      <c r="BN352" s="85"/>
    </row>
    <row r="353">
      <c r="A353" s="18"/>
      <c r="X353" s="86"/>
      <c r="AO353" s="86"/>
      <c r="BN353" s="85"/>
    </row>
    <row r="354">
      <c r="A354" s="18"/>
      <c r="X354" s="86"/>
      <c r="AO354" s="86"/>
      <c r="BN354" s="85"/>
    </row>
    <row r="355">
      <c r="A355" s="18"/>
      <c r="X355" s="86"/>
      <c r="AO355" s="86"/>
      <c r="BN355" s="85"/>
    </row>
    <row r="356">
      <c r="A356" s="18"/>
      <c r="X356" s="86"/>
      <c r="AO356" s="86"/>
      <c r="BN356" s="85"/>
    </row>
    <row r="357">
      <c r="A357" s="18"/>
      <c r="X357" s="86"/>
      <c r="AO357" s="86"/>
      <c r="BN357" s="85"/>
    </row>
    <row r="358">
      <c r="A358" s="18"/>
      <c r="X358" s="86"/>
      <c r="AO358" s="86"/>
      <c r="BN358" s="85"/>
    </row>
    <row r="359">
      <c r="A359" s="18"/>
      <c r="X359" s="86"/>
      <c r="AO359" s="86"/>
      <c r="BN359" s="85"/>
    </row>
    <row r="360">
      <c r="A360" s="18"/>
      <c r="X360" s="86"/>
      <c r="AO360" s="86"/>
      <c r="BN360" s="85"/>
    </row>
    <row r="361">
      <c r="A361" s="18"/>
      <c r="X361" s="86"/>
      <c r="AO361" s="86"/>
      <c r="BN361" s="85"/>
    </row>
    <row r="362">
      <c r="A362" s="18"/>
      <c r="X362" s="86"/>
      <c r="AO362" s="86"/>
      <c r="BN362" s="85"/>
    </row>
    <row r="363">
      <c r="A363" s="18"/>
      <c r="X363" s="86"/>
      <c r="AO363" s="86"/>
      <c r="BN363" s="85"/>
    </row>
    <row r="364">
      <c r="A364" s="18"/>
      <c r="X364" s="86"/>
      <c r="AO364" s="86"/>
      <c r="BN364" s="85"/>
    </row>
    <row r="365">
      <c r="A365" s="18"/>
      <c r="X365" s="86"/>
      <c r="AO365" s="86"/>
      <c r="BN365" s="85"/>
    </row>
    <row r="366">
      <c r="A366" s="18"/>
      <c r="X366" s="86"/>
      <c r="AO366" s="86"/>
      <c r="BN366" s="85"/>
    </row>
    <row r="367">
      <c r="A367" s="18"/>
      <c r="X367" s="86"/>
      <c r="AO367" s="86"/>
      <c r="BN367" s="85"/>
    </row>
    <row r="368">
      <c r="A368" s="18"/>
      <c r="X368" s="86"/>
      <c r="AO368" s="86"/>
      <c r="BN368" s="85"/>
    </row>
    <row r="369">
      <c r="A369" s="18"/>
      <c r="X369" s="86"/>
      <c r="AO369" s="86"/>
      <c r="BN369" s="85"/>
    </row>
    <row r="370">
      <c r="A370" s="18"/>
      <c r="X370" s="86"/>
      <c r="AO370" s="86"/>
      <c r="BN370" s="85"/>
    </row>
    <row r="371">
      <c r="A371" s="18"/>
      <c r="X371" s="86"/>
      <c r="AO371" s="86"/>
      <c r="BN371" s="85"/>
    </row>
    <row r="372">
      <c r="A372" s="18"/>
      <c r="X372" s="86"/>
      <c r="AO372" s="86"/>
      <c r="BN372" s="85"/>
    </row>
    <row r="373">
      <c r="A373" s="18"/>
      <c r="X373" s="86"/>
      <c r="AO373" s="86"/>
      <c r="BN373" s="85"/>
    </row>
    <row r="374">
      <c r="A374" s="18"/>
      <c r="X374" s="86"/>
      <c r="AO374" s="86"/>
      <c r="BN374" s="85"/>
    </row>
    <row r="375">
      <c r="A375" s="18"/>
      <c r="X375" s="86"/>
      <c r="AO375" s="86"/>
      <c r="BN375" s="85"/>
    </row>
    <row r="376">
      <c r="A376" s="18"/>
      <c r="X376" s="86"/>
      <c r="AO376" s="86"/>
      <c r="BN376" s="85"/>
    </row>
    <row r="377">
      <c r="A377" s="18"/>
      <c r="X377" s="86"/>
      <c r="AO377" s="86"/>
      <c r="BN377" s="85"/>
    </row>
    <row r="378">
      <c r="A378" s="18"/>
      <c r="X378" s="86"/>
      <c r="AO378" s="86"/>
      <c r="BN378" s="85"/>
    </row>
    <row r="379">
      <c r="A379" s="18"/>
      <c r="X379" s="86"/>
      <c r="AO379" s="86"/>
      <c r="BN379" s="85"/>
    </row>
    <row r="380">
      <c r="A380" s="18"/>
      <c r="X380" s="86"/>
      <c r="AO380" s="86"/>
      <c r="BN380" s="85"/>
    </row>
    <row r="381">
      <c r="A381" s="18"/>
      <c r="X381" s="86"/>
      <c r="AO381" s="86"/>
      <c r="BN381" s="85"/>
    </row>
    <row r="382">
      <c r="A382" s="18"/>
      <c r="X382" s="86"/>
      <c r="AO382" s="86"/>
      <c r="BN382" s="85"/>
    </row>
    <row r="383">
      <c r="A383" s="18"/>
      <c r="X383" s="86"/>
      <c r="AO383" s="86"/>
      <c r="BN383" s="85"/>
    </row>
    <row r="384">
      <c r="A384" s="18"/>
      <c r="X384" s="86"/>
      <c r="AO384" s="86"/>
      <c r="BN384" s="85"/>
    </row>
    <row r="385">
      <c r="A385" s="18"/>
      <c r="X385" s="86"/>
      <c r="AO385" s="86"/>
      <c r="BN385" s="85"/>
    </row>
    <row r="386">
      <c r="A386" s="18"/>
      <c r="X386" s="86"/>
      <c r="AO386" s="86"/>
      <c r="BN386" s="85"/>
    </row>
    <row r="387">
      <c r="A387" s="18"/>
      <c r="X387" s="86"/>
      <c r="AO387" s="86"/>
      <c r="BN387" s="85"/>
    </row>
    <row r="388">
      <c r="A388" s="18"/>
      <c r="X388" s="86"/>
      <c r="AO388" s="86"/>
      <c r="BN388" s="85"/>
    </row>
    <row r="389">
      <c r="A389" s="18"/>
      <c r="X389" s="86"/>
      <c r="AO389" s="86"/>
      <c r="BN389" s="85"/>
    </row>
    <row r="390">
      <c r="A390" s="18"/>
      <c r="X390" s="86"/>
      <c r="AO390" s="86"/>
      <c r="BN390" s="85"/>
    </row>
    <row r="391">
      <c r="A391" s="18"/>
      <c r="X391" s="86"/>
      <c r="AO391" s="86"/>
      <c r="BN391" s="85"/>
    </row>
    <row r="392">
      <c r="A392" s="18"/>
      <c r="X392" s="86"/>
      <c r="AO392" s="86"/>
      <c r="BN392" s="85"/>
    </row>
    <row r="393">
      <c r="A393" s="18"/>
      <c r="X393" s="86"/>
      <c r="AO393" s="86"/>
      <c r="BN393" s="85"/>
    </row>
    <row r="394">
      <c r="A394" s="18"/>
      <c r="X394" s="86"/>
      <c r="AO394" s="86"/>
      <c r="BN394" s="85"/>
    </row>
    <row r="395">
      <c r="A395" s="18"/>
      <c r="X395" s="86"/>
      <c r="AO395" s="86"/>
      <c r="BN395" s="85"/>
    </row>
    <row r="396">
      <c r="A396" s="18"/>
      <c r="X396" s="86"/>
      <c r="AO396" s="86"/>
      <c r="BN396" s="85"/>
    </row>
    <row r="397">
      <c r="A397" s="18"/>
      <c r="X397" s="86"/>
      <c r="AO397" s="86"/>
      <c r="BN397" s="85"/>
    </row>
    <row r="398">
      <c r="A398" s="18"/>
      <c r="X398" s="86"/>
      <c r="AO398" s="86"/>
      <c r="BN398" s="85"/>
    </row>
    <row r="399">
      <c r="A399" s="18"/>
      <c r="X399" s="86"/>
      <c r="AO399" s="86"/>
      <c r="BN399" s="85"/>
    </row>
    <row r="400">
      <c r="A400" s="18"/>
      <c r="X400" s="86"/>
      <c r="AO400" s="86"/>
      <c r="BN400" s="85"/>
    </row>
    <row r="401">
      <c r="A401" s="18"/>
      <c r="X401" s="86"/>
      <c r="AO401" s="86"/>
      <c r="BN401" s="85"/>
    </row>
    <row r="402">
      <c r="A402" s="18"/>
      <c r="X402" s="86"/>
      <c r="AO402" s="86"/>
      <c r="BN402" s="85"/>
    </row>
    <row r="403">
      <c r="A403" s="18"/>
      <c r="X403" s="86"/>
      <c r="AO403" s="86"/>
      <c r="BN403" s="85"/>
    </row>
    <row r="404">
      <c r="A404" s="18"/>
      <c r="X404" s="86"/>
      <c r="AO404" s="86"/>
      <c r="BN404" s="85"/>
    </row>
    <row r="405">
      <c r="A405" s="18"/>
      <c r="X405" s="86"/>
      <c r="AO405" s="86"/>
      <c r="BN405" s="85"/>
    </row>
    <row r="406">
      <c r="A406" s="18"/>
      <c r="X406" s="86"/>
      <c r="AO406" s="86"/>
      <c r="BN406" s="85"/>
    </row>
    <row r="407">
      <c r="A407" s="18"/>
      <c r="X407" s="86"/>
      <c r="AO407" s="86"/>
      <c r="BN407" s="85"/>
    </row>
    <row r="408">
      <c r="A408" s="18"/>
      <c r="X408" s="86"/>
      <c r="AO408" s="86"/>
      <c r="BN408" s="85"/>
    </row>
    <row r="409">
      <c r="A409" s="18"/>
      <c r="X409" s="86"/>
      <c r="AO409" s="86"/>
      <c r="BN409" s="85"/>
    </row>
    <row r="410">
      <c r="A410" s="18"/>
      <c r="X410" s="86"/>
      <c r="AO410" s="86"/>
      <c r="BN410" s="85"/>
    </row>
    <row r="411">
      <c r="A411" s="18"/>
      <c r="X411" s="86"/>
      <c r="AO411" s="86"/>
      <c r="BN411" s="85"/>
    </row>
    <row r="412">
      <c r="A412" s="18"/>
      <c r="X412" s="86"/>
      <c r="AO412" s="86"/>
      <c r="BN412" s="85"/>
    </row>
    <row r="413">
      <c r="A413" s="18"/>
      <c r="X413" s="86"/>
      <c r="AO413" s="86"/>
      <c r="BN413" s="85"/>
    </row>
    <row r="414">
      <c r="A414" s="18"/>
      <c r="X414" s="86"/>
      <c r="AO414" s="86"/>
      <c r="BN414" s="85"/>
    </row>
    <row r="415">
      <c r="A415" s="18"/>
      <c r="X415" s="86"/>
      <c r="AO415" s="86"/>
      <c r="BN415" s="85"/>
    </row>
    <row r="416">
      <c r="A416" s="18"/>
      <c r="X416" s="86"/>
      <c r="AO416" s="86"/>
      <c r="BN416" s="85"/>
    </row>
    <row r="417">
      <c r="A417" s="18"/>
      <c r="X417" s="86"/>
      <c r="AO417" s="86"/>
      <c r="BN417" s="85"/>
    </row>
    <row r="418">
      <c r="A418" s="18"/>
      <c r="X418" s="86"/>
      <c r="AO418" s="86"/>
      <c r="BN418" s="85"/>
    </row>
    <row r="419">
      <c r="A419" s="18"/>
      <c r="X419" s="86"/>
      <c r="AO419" s="86"/>
      <c r="BN419" s="85"/>
    </row>
    <row r="420">
      <c r="A420" s="18"/>
      <c r="X420" s="86"/>
      <c r="AO420" s="86"/>
      <c r="BN420" s="85"/>
    </row>
    <row r="421">
      <c r="A421" s="18"/>
      <c r="X421" s="86"/>
      <c r="AO421" s="86"/>
      <c r="BN421" s="85"/>
    </row>
    <row r="422">
      <c r="A422" s="18"/>
      <c r="X422" s="86"/>
      <c r="AO422" s="86"/>
      <c r="BN422" s="85"/>
    </row>
    <row r="423">
      <c r="A423" s="18"/>
      <c r="X423" s="86"/>
      <c r="AO423" s="86"/>
      <c r="BN423" s="85"/>
    </row>
    <row r="424">
      <c r="A424" s="18"/>
      <c r="X424" s="86"/>
      <c r="AO424" s="86"/>
      <c r="BN424" s="85"/>
    </row>
    <row r="425">
      <c r="A425" s="18"/>
      <c r="X425" s="86"/>
      <c r="AO425" s="86"/>
      <c r="BN425" s="85"/>
    </row>
    <row r="426">
      <c r="A426" s="18"/>
      <c r="X426" s="86"/>
      <c r="AO426" s="86"/>
      <c r="BN426" s="85"/>
    </row>
    <row r="427">
      <c r="A427" s="18"/>
      <c r="X427" s="86"/>
      <c r="AO427" s="86"/>
      <c r="BN427" s="85"/>
    </row>
    <row r="428">
      <c r="A428" s="18"/>
      <c r="X428" s="86"/>
      <c r="AO428" s="86"/>
      <c r="BN428" s="85"/>
    </row>
    <row r="429">
      <c r="A429" s="18"/>
      <c r="X429" s="86"/>
      <c r="AO429" s="86"/>
      <c r="BN429" s="85"/>
    </row>
    <row r="430">
      <c r="A430" s="18"/>
      <c r="X430" s="86"/>
      <c r="AO430" s="86"/>
      <c r="BN430" s="85"/>
    </row>
    <row r="431">
      <c r="A431" s="18"/>
      <c r="X431" s="86"/>
      <c r="AO431" s="86"/>
      <c r="BN431" s="85"/>
    </row>
    <row r="432">
      <c r="A432" s="18"/>
      <c r="X432" s="86"/>
      <c r="AO432" s="86"/>
      <c r="BN432" s="85"/>
    </row>
    <row r="433">
      <c r="A433" s="18"/>
      <c r="X433" s="86"/>
      <c r="AO433" s="86"/>
      <c r="BN433" s="85"/>
    </row>
    <row r="434">
      <c r="A434" s="18"/>
      <c r="X434" s="86"/>
      <c r="AO434" s="86"/>
      <c r="BN434" s="85"/>
    </row>
    <row r="435">
      <c r="A435" s="18"/>
      <c r="X435" s="86"/>
      <c r="AO435" s="86"/>
      <c r="BN435" s="85"/>
    </row>
    <row r="436">
      <c r="A436" s="18"/>
      <c r="X436" s="86"/>
      <c r="AO436" s="86"/>
      <c r="BN436" s="85"/>
    </row>
    <row r="437">
      <c r="A437" s="18"/>
      <c r="X437" s="86"/>
      <c r="AO437" s="86"/>
      <c r="BN437" s="85"/>
    </row>
    <row r="438">
      <c r="A438" s="18"/>
      <c r="X438" s="86"/>
      <c r="AO438" s="86"/>
      <c r="BN438" s="85"/>
    </row>
    <row r="439">
      <c r="A439" s="18"/>
      <c r="X439" s="86"/>
      <c r="AO439" s="86"/>
      <c r="BN439" s="85"/>
    </row>
    <row r="440">
      <c r="A440" s="18"/>
      <c r="X440" s="86"/>
      <c r="AO440" s="86"/>
      <c r="BN440" s="85"/>
    </row>
    <row r="441">
      <c r="A441" s="18"/>
      <c r="X441" s="86"/>
      <c r="AO441" s="86"/>
      <c r="BN441" s="85"/>
    </row>
    <row r="442">
      <c r="A442" s="18"/>
      <c r="X442" s="86"/>
      <c r="AO442" s="86"/>
      <c r="BN442" s="85"/>
    </row>
    <row r="443">
      <c r="A443" s="18"/>
      <c r="X443" s="86"/>
      <c r="AO443" s="86"/>
      <c r="BN443" s="85"/>
    </row>
    <row r="444">
      <c r="A444" s="18"/>
      <c r="X444" s="86"/>
      <c r="AO444" s="86"/>
      <c r="BN444" s="85"/>
    </row>
    <row r="445">
      <c r="A445" s="18"/>
      <c r="X445" s="86"/>
      <c r="AO445" s="86"/>
      <c r="BN445" s="85"/>
    </row>
    <row r="446">
      <c r="A446" s="18"/>
      <c r="X446" s="86"/>
      <c r="AO446" s="86"/>
      <c r="BN446" s="85"/>
    </row>
    <row r="447">
      <c r="A447" s="18"/>
      <c r="X447" s="86"/>
      <c r="AO447" s="86"/>
      <c r="BN447" s="85"/>
    </row>
    <row r="448">
      <c r="A448" s="18"/>
      <c r="X448" s="86"/>
      <c r="AO448" s="86"/>
      <c r="BN448" s="85"/>
    </row>
    <row r="449">
      <c r="A449" s="18"/>
      <c r="X449" s="86"/>
      <c r="AO449" s="86"/>
      <c r="BN449" s="85"/>
    </row>
    <row r="450">
      <c r="A450" s="18"/>
      <c r="X450" s="86"/>
      <c r="AO450" s="86"/>
      <c r="BN450" s="85"/>
    </row>
    <row r="451">
      <c r="A451" s="18"/>
      <c r="X451" s="86"/>
      <c r="AO451" s="86"/>
      <c r="BN451" s="85"/>
    </row>
    <row r="452">
      <c r="A452" s="18"/>
      <c r="X452" s="86"/>
      <c r="AO452" s="86"/>
      <c r="BN452" s="85"/>
    </row>
    <row r="453">
      <c r="A453" s="18"/>
      <c r="X453" s="86"/>
      <c r="AO453" s="86"/>
      <c r="BN453" s="85"/>
    </row>
    <row r="454">
      <c r="A454" s="18"/>
      <c r="X454" s="86"/>
      <c r="AO454" s="86"/>
      <c r="BN454" s="85"/>
    </row>
    <row r="455">
      <c r="A455" s="18"/>
      <c r="X455" s="86"/>
      <c r="AO455" s="86"/>
      <c r="BN455" s="85"/>
    </row>
    <row r="456">
      <c r="A456" s="18"/>
      <c r="X456" s="86"/>
      <c r="AO456" s="86"/>
      <c r="BN456" s="85"/>
    </row>
    <row r="457">
      <c r="A457" s="18"/>
      <c r="X457" s="86"/>
      <c r="AO457" s="86"/>
      <c r="BN457" s="85"/>
    </row>
    <row r="458">
      <c r="A458" s="18"/>
      <c r="X458" s="86"/>
      <c r="AO458" s="86"/>
      <c r="BN458" s="85"/>
    </row>
    <row r="459">
      <c r="A459" s="18"/>
      <c r="X459" s="86"/>
      <c r="AO459" s="86"/>
      <c r="BN459" s="85"/>
    </row>
    <row r="460">
      <c r="A460" s="18"/>
      <c r="X460" s="86"/>
      <c r="AO460" s="86"/>
      <c r="BN460" s="85"/>
    </row>
    <row r="461">
      <c r="A461" s="18"/>
      <c r="X461" s="86"/>
      <c r="AO461" s="86"/>
      <c r="BN461" s="85"/>
    </row>
    <row r="462">
      <c r="A462" s="18"/>
      <c r="X462" s="86"/>
      <c r="AO462" s="86"/>
      <c r="BN462" s="85"/>
    </row>
    <row r="463">
      <c r="A463" s="18"/>
      <c r="X463" s="86"/>
      <c r="AO463" s="86"/>
      <c r="BN463" s="85"/>
    </row>
    <row r="464">
      <c r="A464" s="18"/>
      <c r="X464" s="86"/>
      <c r="AO464" s="86"/>
      <c r="BN464" s="85"/>
    </row>
    <row r="465">
      <c r="A465" s="18"/>
      <c r="X465" s="86"/>
      <c r="AO465" s="86"/>
      <c r="BN465" s="85"/>
    </row>
    <row r="466">
      <c r="A466" s="18"/>
      <c r="X466" s="86"/>
      <c r="AO466" s="86"/>
      <c r="BN466" s="85"/>
    </row>
    <row r="467">
      <c r="A467" s="18"/>
      <c r="X467" s="86"/>
      <c r="AO467" s="86"/>
      <c r="BN467" s="85"/>
    </row>
    <row r="468">
      <c r="A468" s="18"/>
      <c r="X468" s="86"/>
      <c r="AO468" s="86"/>
      <c r="BN468" s="85"/>
    </row>
    <row r="469">
      <c r="A469" s="18"/>
      <c r="X469" s="86"/>
      <c r="AO469" s="86"/>
      <c r="BN469" s="85"/>
    </row>
    <row r="470">
      <c r="A470" s="18"/>
      <c r="X470" s="86"/>
      <c r="AO470" s="86"/>
      <c r="BN470" s="85"/>
    </row>
    <row r="471">
      <c r="A471" s="18"/>
      <c r="X471" s="86"/>
      <c r="AO471" s="86"/>
      <c r="BN471" s="85"/>
    </row>
    <row r="472">
      <c r="A472" s="18"/>
      <c r="X472" s="86"/>
      <c r="AO472" s="86"/>
      <c r="BN472" s="85"/>
    </row>
    <row r="473">
      <c r="A473" s="18"/>
      <c r="X473" s="86"/>
      <c r="AO473" s="86"/>
      <c r="BN473" s="85"/>
    </row>
    <row r="474">
      <c r="A474" s="18"/>
      <c r="X474" s="86"/>
      <c r="AO474" s="86"/>
      <c r="BN474" s="85"/>
    </row>
    <row r="475">
      <c r="A475" s="18"/>
      <c r="X475" s="86"/>
      <c r="AO475" s="86"/>
      <c r="BN475" s="85"/>
    </row>
    <row r="476">
      <c r="A476" s="18"/>
      <c r="X476" s="86"/>
      <c r="AO476" s="86"/>
      <c r="BN476" s="85"/>
    </row>
    <row r="477">
      <c r="A477" s="18"/>
      <c r="X477" s="86"/>
      <c r="AO477" s="86"/>
      <c r="BN477" s="85"/>
    </row>
    <row r="478">
      <c r="A478" s="18"/>
      <c r="X478" s="86"/>
      <c r="AO478" s="86"/>
      <c r="BN478" s="85"/>
    </row>
    <row r="479">
      <c r="A479" s="18"/>
      <c r="X479" s="86"/>
      <c r="AO479" s="86"/>
      <c r="BN479" s="85"/>
    </row>
    <row r="480">
      <c r="A480" s="18"/>
      <c r="X480" s="86"/>
      <c r="AO480" s="86"/>
      <c r="BN480" s="85"/>
    </row>
    <row r="481">
      <c r="A481" s="18"/>
      <c r="X481" s="86"/>
      <c r="AO481" s="86"/>
      <c r="BN481" s="85"/>
    </row>
    <row r="482">
      <c r="A482" s="18"/>
      <c r="X482" s="86"/>
      <c r="AO482" s="86"/>
      <c r="BN482" s="85"/>
    </row>
    <row r="483">
      <c r="A483" s="18"/>
      <c r="X483" s="86"/>
      <c r="AO483" s="86"/>
      <c r="BN483" s="85"/>
    </row>
    <row r="484">
      <c r="A484" s="18"/>
      <c r="X484" s="86"/>
      <c r="AO484" s="86"/>
      <c r="BN484" s="85"/>
    </row>
    <row r="485">
      <c r="A485" s="18"/>
      <c r="X485" s="86"/>
      <c r="AO485" s="86"/>
      <c r="BN485" s="85"/>
    </row>
    <row r="486">
      <c r="A486" s="18"/>
      <c r="X486" s="86"/>
      <c r="AO486" s="86"/>
      <c r="BN486" s="85"/>
    </row>
    <row r="487">
      <c r="A487" s="18"/>
      <c r="X487" s="86"/>
      <c r="AO487" s="86"/>
      <c r="BN487" s="85"/>
    </row>
    <row r="488">
      <c r="A488" s="18"/>
      <c r="X488" s="86"/>
      <c r="AO488" s="86"/>
      <c r="BN488" s="85"/>
    </row>
    <row r="489">
      <c r="A489" s="18"/>
      <c r="X489" s="86"/>
      <c r="AO489" s="86"/>
      <c r="BN489" s="85"/>
    </row>
    <row r="490">
      <c r="A490" s="18"/>
      <c r="X490" s="86"/>
      <c r="AO490" s="86"/>
      <c r="BN490" s="85"/>
    </row>
    <row r="491">
      <c r="A491" s="18"/>
      <c r="X491" s="86"/>
      <c r="AO491" s="86"/>
      <c r="BN491" s="85"/>
    </row>
    <row r="492">
      <c r="A492" s="18"/>
      <c r="X492" s="86"/>
      <c r="AO492" s="86"/>
      <c r="BN492" s="85"/>
    </row>
    <row r="493">
      <c r="A493" s="18"/>
      <c r="X493" s="86"/>
      <c r="AO493" s="86"/>
      <c r="BN493" s="85"/>
    </row>
    <row r="494">
      <c r="A494" s="18"/>
      <c r="X494" s="86"/>
      <c r="AO494" s="86"/>
      <c r="BN494" s="85"/>
    </row>
    <row r="495">
      <c r="A495" s="18"/>
      <c r="X495" s="86"/>
      <c r="AO495" s="86"/>
      <c r="BN495" s="85"/>
    </row>
    <row r="496">
      <c r="A496" s="18"/>
      <c r="X496" s="86"/>
      <c r="AO496" s="86"/>
      <c r="BN496" s="85"/>
    </row>
    <row r="497">
      <c r="A497" s="18"/>
      <c r="X497" s="86"/>
      <c r="AO497" s="86"/>
      <c r="BN497" s="85"/>
    </row>
    <row r="498">
      <c r="A498" s="18"/>
      <c r="X498" s="86"/>
      <c r="AO498" s="86"/>
      <c r="BN498" s="85"/>
    </row>
    <row r="499">
      <c r="A499" s="18"/>
      <c r="X499" s="86"/>
      <c r="AO499" s="86"/>
      <c r="BN499" s="85"/>
    </row>
    <row r="500">
      <c r="A500" s="18"/>
      <c r="X500" s="86"/>
      <c r="AO500" s="86"/>
      <c r="BN500" s="85"/>
    </row>
    <row r="501">
      <c r="A501" s="18"/>
      <c r="X501" s="86"/>
      <c r="AO501" s="86"/>
      <c r="BN501" s="85"/>
    </row>
    <row r="502">
      <c r="A502" s="18"/>
      <c r="X502" s="86"/>
      <c r="AO502" s="86"/>
      <c r="BN502" s="85"/>
    </row>
    <row r="503">
      <c r="A503" s="18"/>
      <c r="X503" s="86"/>
      <c r="AO503" s="86"/>
      <c r="BN503" s="85"/>
    </row>
    <row r="504">
      <c r="A504" s="18"/>
      <c r="X504" s="86"/>
      <c r="AO504" s="86"/>
      <c r="BN504" s="85"/>
    </row>
    <row r="505">
      <c r="A505" s="18"/>
      <c r="X505" s="86"/>
      <c r="AO505" s="86"/>
      <c r="BN505" s="85"/>
    </row>
    <row r="506">
      <c r="A506" s="18"/>
      <c r="X506" s="86"/>
      <c r="AO506" s="86"/>
      <c r="BN506" s="85"/>
    </row>
    <row r="507">
      <c r="A507" s="18"/>
      <c r="X507" s="86"/>
      <c r="AO507" s="86"/>
      <c r="BN507" s="85"/>
    </row>
    <row r="508">
      <c r="A508" s="18"/>
      <c r="X508" s="86"/>
      <c r="AO508" s="86"/>
      <c r="BN508" s="85"/>
    </row>
    <row r="509">
      <c r="A509" s="18"/>
      <c r="X509" s="86"/>
      <c r="AO509" s="86"/>
      <c r="BN509" s="85"/>
    </row>
    <row r="510">
      <c r="A510" s="18"/>
      <c r="X510" s="86"/>
      <c r="AO510" s="86"/>
      <c r="BN510" s="85"/>
    </row>
    <row r="511">
      <c r="A511" s="18"/>
      <c r="X511" s="86"/>
      <c r="AO511" s="86"/>
      <c r="BN511" s="85"/>
    </row>
    <row r="512">
      <c r="A512" s="18"/>
      <c r="X512" s="86"/>
      <c r="AO512" s="86"/>
      <c r="BN512" s="85"/>
    </row>
    <row r="513">
      <c r="A513" s="18"/>
      <c r="X513" s="86"/>
      <c r="AO513" s="86"/>
      <c r="BN513" s="85"/>
    </row>
    <row r="514">
      <c r="A514" s="18"/>
      <c r="X514" s="86"/>
      <c r="AO514" s="86"/>
      <c r="BN514" s="85"/>
    </row>
    <row r="515">
      <c r="A515" s="18"/>
      <c r="X515" s="86"/>
      <c r="AO515" s="86"/>
      <c r="BN515" s="85"/>
    </row>
    <row r="516">
      <c r="A516" s="18"/>
      <c r="X516" s="86"/>
      <c r="AO516" s="86"/>
      <c r="BN516" s="85"/>
    </row>
    <row r="517">
      <c r="A517" s="18"/>
      <c r="X517" s="86"/>
      <c r="AO517" s="86"/>
      <c r="BN517" s="85"/>
    </row>
    <row r="518">
      <c r="A518" s="18"/>
      <c r="X518" s="86"/>
      <c r="AO518" s="86"/>
      <c r="BN518" s="85"/>
    </row>
    <row r="519">
      <c r="A519" s="18"/>
      <c r="X519" s="86"/>
      <c r="AO519" s="86"/>
      <c r="BN519" s="85"/>
    </row>
    <row r="520">
      <c r="A520" s="18"/>
      <c r="X520" s="86"/>
      <c r="AO520" s="86"/>
      <c r="BN520" s="85"/>
    </row>
    <row r="521">
      <c r="A521" s="18"/>
      <c r="X521" s="86"/>
      <c r="AO521" s="86"/>
      <c r="BN521" s="85"/>
    </row>
    <row r="522">
      <c r="A522" s="18"/>
      <c r="X522" s="86"/>
      <c r="AO522" s="86"/>
      <c r="BN522" s="85"/>
    </row>
    <row r="523">
      <c r="A523" s="18"/>
      <c r="X523" s="86"/>
      <c r="AO523" s="86"/>
      <c r="BN523" s="85"/>
    </row>
    <row r="524">
      <c r="A524" s="18"/>
      <c r="X524" s="86"/>
      <c r="AO524" s="86"/>
      <c r="BN524" s="85"/>
    </row>
    <row r="525">
      <c r="A525" s="18"/>
      <c r="X525" s="86"/>
      <c r="AO525" s="86"/>
      <c r="BN525" s="85"/>
    </row>
    <row r="526">
      <c r="A526" s="18"/>
      <c r="X526" s="86"/>
      <c r="AO526" s="86"/>
      <c r="BN526" s="85"/>
    </row>
    <row r="527">
      <c r="A527" s="18"/>
      <c r="X527" s="86"/>
      <c r="AO527" s="86"/>
      <c r="BN527" s="85"/>
    </row>
    <row r="528">
      <c r="A528" s="18"/>
      <c r="X528" s="86"/>
      <c r="AO528" s="86"/>
      <c r="BN528" s="85"/>
    </row>
    <row r="529">
      <c r="A529" s="18"/>
      <c r="X529" s="86"/>
      <c r="AO529" s="86"/>
      <c r="BN529" s="85"/>
    </row>
    <row r="530">
      <c r="A530" s="18"/>
      <c r="X530" s="86"/>
      <c r="AO530" s="86"/>
      <c r="BN530" s="85"/>
    </row>
    <row r="531">
      <c r="A531" s="18"/>
      <c r="X531" s="86"/>
      <c r="AO531" s="86"/>
      <c r="BN531" s="85"/>
    </row>
    <row r="532">
      <c r="A532" s="18"/>
      <c r="X532" s="86"/>
      <c r="AO532" s="86"/>
      <c r="BN532" s="85"/>
    </row>
    <row r="533">
      <c r="A533" s="18"/>
      <c r="X533" s="86"/>
      <c r="AO533" s="86"/>
      <c r="BN533" s="85"/>
    </row>
    <row r="534">
      <c r="A534" s="18"/>
      <c r="X534" s="86"/>
      <c r="AO534" s="86"/>
      <c r="BN534" s="85"/>
    </row>
    <row r="535">
      <c r="A535" s="18"/>
      <c r="X535" s="86"/>
      <c r="AO535" s="86"/>
      <c r="BN535" s="85"/>
    </row>
    <row r="536">
      <c r="A536" s="18"/>
      <c r="X536" s="86"/>
      <c r="AO536" s="86"/>
      <c r="BN536" s="85"/>
    </row>
    <row r="537">
      <c r="A537" s="18"/>
      <c r="X537" s="86"/>
      <c r="AO537" s="86"/>
      <c r="BN537" s="85"/>
    </row>
    <row r="538">
      <c r="A538" s="18"/>
      <c r="X538" s="86"/>
      <c r="AO538" s="86"/>
      <c r="BN538" s="85"/>
    </row>
    <row r="539">
      <c r="A539" s="18"/>
      <c r="X539" s="86"/>
      <c r="AO539" s="86"/>
      <c r="BN539" s="85"/>
    </row>
    <row r="540">
      <c r="A540" s="18"/>
      <c r="X540" s="86"/>
      <c r="AO540" s="86"/>
      <c r="BN540" s="85"/>
    </row>
    <row r="541">
      <c r="A541" s="18"/>
      <c r="X541" s="86"/>
      <c r="AO541" s="86"/>
      <c r="BN541" s="85"/>
    </row>
    <row r="542">
      <c r="A542" s="18"/>
      <c r="X542" s="86"/>
      <c r="AO542" s="86"/>
      <c r="BN542" s="85"/>
    </row>
    <row r="543">
      <c r="A543" s="18"/>
      <c r="X543" s="86"/>
      <c r="AO543" s="86"/>
      <c r="BN543" s="85"/>
    </row>
    <row r="544">
      <c r="A544" s="18"/>
      <c r="X544" s="86"/>
      <c r="AO544" s="86"/>
      <c r="BN544" s="85"/>
    </row>
    <row r="545">
      <c r="A545" s="18"/>
      <c r="X545" s="86"/>
      <c r="AO545" s="86"/>
      <c r="BN545" s="85"/>
    </row>
    <row r="546">
      <c r="A546" s="18"/>
      <c r="X546" s="86"/>
      <c r="AO546" s="86"/>
      <c r="BN546" s="85"/>
    </row>
    <row r="547">
      <c r="A547" s="18"/>
      <c r="X547" s="86"/>
      <c r="AO547" s="86"/>
      <c r="BN547" s="85"/>
    </row>
    <row r="548">
      <c r="A548" s="18"/>
      <c r="X548" s="86"/>
      <c r="AO548" s="86"/>
      <c r="BN548" s="85"/>
    </row>
    <row r="549">
      <c r="A549" s="18"/>
      <c r="X549" s="86"/>
      <c r="AO549" s="86"/>
      <c r="BN549" s="85"/>
    </row>
    <row r="550">
      <c r="A550" s="18"/>
      <c r="X550" s="86"/>
      <c r="AO550" s="86"/>
      <c r="BN550" s="85"/>
    </row>
    <row r="551">
      <c r="A551" s="18"/>
      <c r="X551" s="86"/>
      <c r="AO551" s="86"/>
      <c r="BN551" s="85"/>
    </row>
    <row r="552">
      <c r="A552" s="18"/>
      <c r="X552" s="86"/>
      <c r="AO552" s="86"/>
      <c r="BN552" s="85"/>
    </row>
    <row r="553">
      <c r="A553" s="18"/>
      <c r="X553" s="86"/>
      <c r="AO553" s="86"/>
      <c r="BN553" s="85"/>
    </row>
    <row r="554">
      <c r="A554" s="18"/>
      <c r="X554" s="86"/>
      <c r="AO554" s="86"/>
      <c r="BN554" s="85"/>
    </row>
    <row r="555">
      <c r="A555" s="18"/>
      <c r="X555" s="86"/>
      <c r="AO555" s="86"/>
      <c r="BN555" s="85"/>
    </row>
    <row r="556">
      <c r="A556" s="18"/>
      <c r="X556" s="86"/>
      <c r="AO556" s="86"/>
      <c r="BN556" s="85"/>
    </row>
    <row r="557">
      <c r="A557" s="18"/>
      <c r="X557" s="86"/>
      <c r="AO557" s="86"/>
      <c r="BN557" s="85"/>
    </row>
    <row r="558">
      <c r="A558" s="18"/>
      <c r="X558" s="86"/>
      <c r="AO558" s="86"/>
      <c r="BN558" s="85"/>
    </row>
    <row r="559">
      <c r="A559" s="18"/>
      <c r="X559" s="86"/>
      <c r="AO559" s="86"/>
      <c r="BN559" s="85"/>
    </row>
    <row r="560">
      <c r="A560" s="18"/>
      <c r="X560" s="86"/>
      <c r="AO560" s="86"/>
      <c r="BN560" s="85"/>
    </row>
    <row r="561">
      <c r="A561" s="18"/>
      <c r="X561" s="86"/>
      <c r="AO561" s="86"/>
      <c r="BN561" s="85"/>
    </row>
    <row r="562">
      <c r="A562" s="18"/>
      <c r="X562" s="86"/>
      <c r="AO562" s="86"/>
      <c r="BN562" s="85"/>
    </row>
    <row r="563">
      <c r="A563" s="18"/>
      <c r="X563" s="86"/>
      <c r="AO563" s="86"/>
      <c r="BN563" s="85"/>
    </row>
    <row r="564">
      <c r="A564" s="18"/>
      <c r="X564" s="86"/>
      <c r="AO564" s="86"/>
      <c r="BN564" s="85"/>
    </row>
    <row r="565">
      <c r="A565" s="18"/>
      <c r="X565" s="86"/>
      <c r="AO565" s="86"/>
      <c r="BN565" s="85"/>
    </row>
    <row r="566">
      <c r="A566" s="18"/>
      <c r="X566" s="86"/>
      <c r="AO566" s="86"/>
      <c r="BN566" s="85"/>
    </row>
    <row r="567">
      <c r="A567" s="18"/>
      <c r="X567" s="86"/>
      <c r="AO567" s="86"/>
      <c r="BN567" s="85"/>
    </row>
    <row r="568">
      <c r="A568" s="18"/>
      <c r="X568" s="86"/>
      <c r="AO568" s="86"/>
      <c r="BN568" s="85"/>
    </row>
    <row r="569">
      <c r="A569" s="18"/>
      <c r="X569" s="86"/>
      <c r="AO569" s="86"/>
      <c r="BN569" s="85"/>
    </row>
    <row r="570">
      <c r="A570" s="18"/>
      <c r="X570" s="86"/>
      <c r="AO570" s="86"/>
      <c r="BN570" s="85"/>
    </row>
    <row r="571">
      <c r="A571" s="18"/>
      <c r="X571" s="86"/>
      <c r="AO571" s="86"/>
      <c r="BN571" s="85"/>
    </row>
    <row r="572">
      <c r="A572" s="18"/>
      <c r="X572" s="86"/>
      <c r="AO572" s="86"/>
      <c r="BN572" s="85"/>
    </row>
    <row r="573">
      <c r="A573" s="18"/>
      <c r="X573" s="86"/>
      <c r="AO573" s="86"/>
      <c r="BN573" s="85"/>
    </row>
    <row r="574">
      <c r="A574" s="18"/>
      <c r="X574" s="86"/>
      <c r="AO574" s="86"/>
      <c r="BN574" s="85"/>
    </row>
    <row r="575">
      <c r="A575" s="18"/>
      <c r="X575" s="86"/>
      <c r="AO575" s="86"/>
      <c r="BN575" s="85"/>
    </row>
    <row r="576">
      <c r="A576" s="18"/>
      <c r="X576" s="86"/>
      <c r="AO576" s="86"/>
      <c r="BN576" s="85"/>
    </row>
    <row r="577">
      <c r="A577" s="18"/>
      <c r="X577" s="86"/>
      <c r="AO577" s="86"/>
      <c r="BN577" s="85"/>
    </row>
    <row r="578">
      <c r="A578" s="18"/>
      <c r="X578" s="86"/>
      <c r="AO578" s="86"/>
      <c r="BN578" s="85"/>
    </row>
    <row r="579">
      <c r="A579" s="18"/>
      <c r="X579" s="86"/>
      <c r="AO579" s="86"/>
      <c r="BN579" s="85"/>
    </row>
    <row r="580">
      <c r="A580" s="18"/>
      <c r="X580" s="86"/>
      <c r="AO580" s="86"/>
      <c r="BN580" s="85"/>
    </row>
    <row r="581">
      <c r="A581" s="18"/>
      <c r="X581" s="86"/>
      <c r="AO581" s="86"/>
      <c r="BN581" s="85"/>
    </row>
    <row r="582">
      <c r="A582" s="18"/>
      <c r="X582" s="86"/>
      <c r="AO582" s="86"/>
      <c r="BN582" s="85"/>
    </row>
    <row r="583">
      <c r="A583" s="18"/>
      <c r="X583" s="86"/>
      <c r="AO583" s="86"/>
      <c r="BN583" s="85"/>
    </row>
    <row r="584">
      <c r="A584" s="18"/>
      <c r="X584" s="86"/>
      <c r="AO584" s="86"/>
      <c r="BN584" s="85"/>
    </row>
    <row r="585">
      <c r="A585" s="18"/>
      <c r="X585" s="86"/>
      <c r="AO585" s="86"/>
      <c r="BN585" s="85"/>
    </row>
    <row r="586">
      <c r="A586" s="18"/>
      <c r="X586" s="86"/>
      <c r="AO586" s="86"/>
      <c r="BN586" s="85"/>
    </row>
    <row r="587">
      <c r="A587" s="18"/>
      <c r="X587" s="86"/>
      <c r="AO587" s="86"/>
      <c r="BN587" s="85"/>
    </row>
    <row r="588">
      <c r="A588" s="18"/>
      <c r="X588" s="86"/>
      <c r="AO588" s="86"/>
      <c r="BN588" s="85"/>
    </row>
    <row r="589">
      <c r="A589" s="18"/>
      <c r="X589" s="86"/>
      <c r="AO589" s="86"/>
      <c r="BN589" s="85"/>
    </row>
    <row r="590">
      <c r="A590" s="18"/>
      <c r="X590" s="86"/>
      <c r="AO590" s="86"/>
      <c r="BN590" s="85"/>
    </row>
    <row r="591">
      <c r="A591" s="18"/>
      <c r="X591" s="86"/>
      <c r="AO591" s="86"/>
      <c r="BN591" s="85"/>
    </row>
    <row r="592">
      <c r="A592" s="18"/>
      <c r="X592" s="86"/>
      <c r="AO592" s="86"/>
      <c r="BN592" s="85"/>
    </row>
    <row r="593">
      <c r="A593" s="18"/>
      <c r="X593" s="86"/>
      <c r="AO593" s="86"/>
      <c r="BN593" s="85"/>
    </row>
    <row r="594">
      <c r="A594" s="18"/>
      <c r="X594" s="86"/>
      <c r="AO594" s="86"/>
      <c r="BN594" s="85"/>
    </row>
    <row r="595">
      <c r="A595" s="18"/>
      <c r="X595" s="86"/>
      <c r="AO595" s="86"/>
      <c r="BN595" s="85"/>
    </row>
    <row r="596">
      <c r="A596" s="18"/>
      <c r="X596" s="86"/>
      <c r="AO596" s="86"/>
      <c r="BN596" s="85"/>
    </row>
    <row r="597">
      <c r="A597" s="18"/>
      <c r="X597" s="86"/>
      <c r="AO597" s="86"/>
      <c r="BN597" s="85"/>
    </row>
    <row r="598">
      <c r="A598" s="18"/>
      <c r="X598" s="86"/>
      <c r="AO598" s="86"/>
      <c r="BN598" s="85"/>
    </row>
    <row r="599">
      <c r="A599" s="18"/>
      <c r="X599" s="86"/>
      <c r="AO599" s="86"/>
      <c r="BN599" s="85"/>
    </row>
    <row r="600">
      <c r="A600" s="18"/>
      <c r="X600" s="86"/>
      <c r="AO600" s="86"/>
      <c r="BN600" s="85"/>
    </row>
    <row r="601">
      <c r="A601" s="18"/>
      <c r="X601" s="86"/>
      <c r="AO601" s="86"/>
      <c r="BN601" s="85"/>
    </row>
    <row r="602">
      <c r="A602" s="18"/>
      <c r="X602" s="86"/>
      <c r="AO602" s="86"/>
      <c r="BN602" s="85"/>
    </row>
    <row r="603">
      <c r="A603" s="18"/>
      <c r="X603" s="86"/>
      <c r="AO603" s="86"/>
      <c r="BN603" s="85"/>
    </row>
    <row r="604">
      <c r="A604" s="18"/>
      <c r="X604" s="86"/>
      <c r="AO604" s="86"/>
      <c r="BN604" s="85"/>
    </row>
    <row r="605">
      <c r="A605" s="18"/>
      <c r="X605" s="86"/>
      <c r="AO605" s="86"/>
      <c r="BN605" s="85"/>
    </row>
    <row r="606">
      <c r="A606" s="18"/>
      <c r="X606" s="86"/>
      <c r="AO606" s="86"/>
      <c r="BN606" s="85"/>
    </row>
    <row r="607">
      <c r="A607" s="18"/>
      <c r="X607" s="86"/>
      <c r="AO607" s="86"/>
      <c r="BN607" s="85"/>
    </row>
    <row r="608">
      <c r="A608" s="18"/>
      <c r="X608" s="86"/>
      <c r="AO608" s="86"/>
      <c r="BN608" s="85"/>
    </row>
    <row r="609">
      <c r="A609" s="18"/>
      <c r="X609" s="86"/>
      <c r="AO609" s="86"/>
      <c r="BN609" s="85"/>
    </row>
    <row r="610">
      <c r="A610" s="18"/>
      <c r="X610" s="86"/>
      <c r="AO610" s="86"/>
      <c r="BN610" s="85"/>
    </row>
    <row r="611">
      <c r="A611" s="18"/>
      <c r="X611" s="86"/>
      <c r="AO611" s="86"/>
      <c r="BN611" s="85"/>
    </row>
    <row r="612">
      <c r="A612" s="18"/>
      <c r="X612" s="86"/>
      <c r="AO612" s="86"/>
      <c r="BN612" s="85"/>
    </row>
    <row r="613">
      <c r="A613" s="18"/>
      <c r="X613" s="86"/>
      <c r="AO613" s="86"/>
      <c r="BN613" s="85"/>
    </row>
    <row r="614">
      <c r="A614" s="18"/>
      <c r="X614" s="86"/>
      <c r="AO614" s="86"/>
      <c r="BN614" s="85"/>
    </row>
    <row r="615">
      <c r="A615" s="18"/>
      <c r="X615" s="86"/>
      <c r="AO615" s="86"/>
      <c r="BN615" s="85"/>
    </row>
    <row r="616">
      <c r="A616" s="18"/>
      <c r="X616" s="86"/>
      <c r="AO616" s="86"/>
      <c r="BN616" s="85"/>
    </row>
    <row r="617">
      <c r="A617" s="18"/>
      <c r="X617" s="86"/>
      <c r="AO617" s="86"/>
      <c r="BN617" s="85"/>
    </row>
    <row r="618">
      <c r="A618" s="18"/>
      <c r="X618" s="86"/>
      <c r="AO618" s="86"/>
      <c r="BN618" s="85"/>
    </row>
    <row r="619">
      <c r="A619" s="18"/>
      <c r="X619" s="86"/>
      <c r="AO619" s="86"/>
      <c r="BN619" s="85"/>
    </row>
    <row r="620">
      <c r="A620" s="18"/>
      <c r="X620" s="86"/>
      <c r="AO620" s="86"/>
      <c r="BN620" s="85"/>
    </row>
    <row r="621">
      <c r="A621" s="18"/>
      <c r="X621" s="86"/>
      <c r="AO621" s="86"/>
      <c r="BN621" s="85"/>
    </row>
    <row r="622">
      <c r="A622" s="18"/>
      <c r="X622" s="86"/>
      <c r="AO622" s="86"/>
      <c r="BN622" s="85"/>
    </row>
    <row r="623">
      <c r="A623" s="18"/>
      <c r="X623" s="86"/>
      <c r="AO623" s="86"/>
      <c r="BN623" s="85"/>
    </row>
    <row r="624">
      <c r="A624" s="18"/>
      <c r="X624" s="86"/>
      <c r="AO624" s="86"/>
      <c r="BN624" s="85"/>
    </row>
    <row r="625">
      <c r="A625" s="18"/>
      <c r="X625" s="86"/>
      <c r="AO625" s="86"/>
      <c r="BN625" s="85"/>
    </row>
    <row r="626">
      <c r="A626" s="18"/>
      <c r="X626" s="86"/>
      <c r="AO626" s="86"/>
      <c r="BN626" s="85"/>
    </row>
    <row r="627">
      <c r="A627" s="18"/>
      <c r="X627" s="86"/>
      <c r="AO627" s="86"/>
      <c r="BN627" s="85"/>
    </row>
    <row r="628">
      <c r="A628" s="18"/>
      <c r="X628" s="86"/>
      <c r="AO628" s="86"/>
      <c r="BN628" s="85"/>
    </row>
    <row r="629">
      <c r="A629" s="18"/>
      <c r="X629" s="86"/>
      <c r="AO629" s="86"/>
      <c r="BN629" s="85"/>
    </row>
    <row r="630">
      <c r="A630" s="18"/>
      <c r="X630" s="86"/>
      <c r="AO630" s="86"/>
      <c r="BN630" s="85"/>
    </row>
    <row r="631">
      <c r="A631" s="18"/>
      <c r="X631" s="86"/>
      <c r="AO631" s="86"/>
      <c r="BN631" s="85"/>
    </row>
    <row r="632">
      <c r="A632" s="18"/>
      <c r="X632" s="86"/>
      <c r="AO632" s="86"/>
      <c r="BN632" s="85"/>
    </row>
    <row r="633">
      <c r="A633" s="18"/>
      <c r="X633" s="86"/>
      <c r="AO633" s="86"/>
      <c r="BN633" s="85"/>
    </row>
    <row r="634">
      <c r="A634" s="18"/>
      <c r="X634" s="86"/>
      <c r="AO634" s="86"/>
      <c r="BN634" s="85"/>
    </row>
    <row r="635">
      <c r="A635" s="18"/>
      <c r="X635" s="86"/>
      <c r="AO635" s="86"/>
      <c r="BN635" s="85"/>
    </row>
    <row r="636">
      <c r="A636" s="18"/>
      <c r="X636" s="86"/>
      <c r="AO636" s="86"/>
      <c r="BN636" s="85"/>
    </row>
    <row r="637">
      <c r="A637" s="18"/>
      <c r="X637" s="86"/>
      <c r="AO637" s="86"/>
      <c r="BN637" s="85"/>
    </row>
    <row r="638">
      <c r="A638" s="18"/>
      <c r="X638" s="86"/>
      <c r="AO638" s="86"/>
      <c r="BN638" s="85"/>
    </row>
    <row r="639">
      <c r="A639" s="18"/>
      <c r="X639" s="86"/>
      <c r="AO639" s="86"/>
      <c r="BN639" s="85"/>
    </row>
    <row r="640">
      <c r="A640" s="18"/>
      <c r="X640" s="86"/>
      <c r="AO640" s="86"/>
      <c r="BN640" s="85"/>
    </row>
    <row r="641">
      <c r="A641" s="18"/>
      <c r="X641" s="86"/>
      <c r="AO641" s="86"/>
      <c r="BN641" s="85"/>
    </row>
    <row r="642">
      <c r="A642" s="18"/>
      <c r="X642" s="86"/>
      <c r="AO642" s="86"/>
      <c r="BN642" s="85"/>
    </row>
    <row r="643">
      <c r="A643" s="18"/>
      <c r="X643" s="86"/>
      <c r="AO643" s="86"/>
      <c r="BN643" s="85"/>
    </row>
    <row r="644">
      <c r="A644" s="18"/>
      <c r="X644" s="86"/>
      <c r="AO644" s="86"/>
      <c r="BN644" s="85"/>
    </row>
    <row r="645">
      <c r="A645" s="18"/>
      <c r="X645" s="86"/>
      <c r="AO645" s="86"/>
      <c r="BN645" s="85"/>
    </row>
    <row r="646">
      <c r="A646" s="18"/>
      <c r="X646" s="86"/>
      <c r="AO646" s="86"/>
      <c r="BN646" s="85"/>
    </row>
    <row r="647">
      <c r="A647" s="18"/>
      <c r="X647" s="86"/>
      <c r="AO647" s="86"/>
      <c r="BN647" s="85"/>
    </row>
    <row r="648">
      <c r="A648" s="18"/>
      <c r="X648" s="86"/>
      <c r="AO648" s="86"/>
      <c r="BN648" s="85"/>
    </row>
    <row r="649">
      <c r="A649" s="18"/>
      <c r="X649" s="86"/>
      <c r="AO649" s="86"/>
      <c r="BN649" s="85"/>
    </row>
    <row r="650">
      <c r="A650" s="18"/>
      <c r="X650" s="86"/>
      <c r="AO650" s="86"/>
      <c r="BN650" s="85"/>
    </row>
    <row r="651">
      <c r="A651" s="18"/>
      <c r="X651" s="86"/>
      <c r="AO651" s="86"/>
      <c r="BN651" s="85"/>
    </row>
    <row r="652">
      <c r="A652" s="18"/>
      <c r="X652" s="86"/>
      <c r="AO652" s="86"/>
      <c r="BN652" s="85"/>
    </row>
    <row r="653">
      <c r="A653" s="18"/>
      <c r="X653" s="86"/>
      <c r="AO653" s="86"/>
      <c r="BN653" s="85"/>
    </row>
    <row r="654">
      <c r="A654" s="18"/>
      <c r="X654" s="86"/>
      <c r="AO654" s="86"/>
      <c r="BN654" s="85"/>
    </row>
    <row r="655">
      <c r="A655" s="18"/>
      <c r="X655" s="86"/>
      <c r="AO655" s="86"/>
      <c r="BN655" s="85"/>
    </row>
    <row r="656">
      <c r="A656" s="18"/>
      <c r="X656" s="86"/>
      <c r="AO656" s="86"/>
      <c r="BN656" s="85"/>
    </row>
    <row r="657">
      <c r="A657" s="18"/>
      <c r="X657" s="86"/>
      <c r="AO657" s="86"/>
      <c r="BN657" s="85"/>
    </row>
    <row r="658">
      <c r="A658" s="18"/>
      <c r="X658" s="86"/>
      <c r="AO658" s="86"/>
      <c r="BN658" s="85"/>
    </row>
    <row r="659">
      <c r="A659" s="18"/>
      <c r="X659" s="86"/>
      <c r="AO659" s="86"/>
      <c r="BN659" s="85"/>
    </row>
    <row r="660">
      <c r="A660" s="18"/>
      <c r="X660" s="86"/>
      <c r="AO660" s="86"/>
      <c r="BN660" s="85"/>
    </row>
    <row r="661">
      <c r="A661" s="18"/>
      <c r="X661" s="86"/>
      <c r="AO661" s="86"/>
      <c r="BN661" s="85"/>
    </row>
    <row r="662">
      <c r="A662" s="18"/>
      <c r="X662" s="86"/>
      <c r="AO662" s="86"/>
      <c r="BN662" s="85"/>
    </row>
    <row r="663">
      <c r="A663" s="18"/>
      <c r="X663" s="86"/>
      <c r="AO663" s="86"/>
      <c r="BN663" s="85"/>
    </row>
    <row r="664">
      <c r="A664" s="18"/>
      <c r="X664" s="86"/>
      <c r="AO664" s="86"/>
      <c r="BN664" s="85"/>
    </row>
    <row r="665">
      <c r="A665" s="18"/>
      <c r="X665" s="86"/>
      <c r="AO665" s="86"/>
      <c r="BN665" s="85"/>
    </row>
    <row r="666">
      <c r="A666" s="18"/>
      <c r="X666" s="86"/>
      <c r="AO666" s="86"/>
      <c r="BN666" s="85"/>
    </row>
    <row r="667">
      <c r="A667" s="18"/>
      <c r="X667" s="86"/>
      <c r="AO667" s="86"/>
      <c r="BN667" s="85"/>
    </row>
    <row r="668">
      <c r="A668" s="18"/>
      <c r="X668" s="86"/>
      <c r="AO668" s="86"/>
      <c r="BN668" s="85"/>
    </row>
    <row r="669">
      <c r="A669" s="18"/>
      <c r="X669" s="86"/>
      <c r="AO669" s="86"/>
      <c r="BN669" s="85"/>
    </row>
    <row r="670">
      <c r="A670" s="18"/>
      <c r="X670" s="86"/>
      <c r="AO670" s="86"/>
      <c r="BN670" s="85"/>
    </row>
    <row r="671">
      <c r="A671" s="18"/>
      <c r="X671" s="86"/>
      <c r="AO671" s="86"/>
      <c r="BN671" s="85"/>
    </row>
    <row r="672">
      <c r="A672" s="18"/>
      <c r="X672" s="86"/>
      <c r="AO672" s="86"/>
      <c r="BN672" s="85"/>
    </row>
    <row r="673">
      <c r="A673" s="18"/>
      <c r="X673" s="86"/>
      <c r="AO673" s="86"/>
      <c r="BN673" s="85"/>
    </row>
    <row r="674">
      <c r="A674" s="18"/>
      <c r="X674" s="86"/>
      <c r="AO674" s="86"/>
      <c r="BN674" s="85"/>
    </row>
    <row r="675">
      <c r="A675" s="18"/>
      <c r="X675" s="86"/>
      <c r="AO675" s="86"/>
      <c r="BN675" s="85"/>
    </row>
    <row r="676">
      <c r="A676" s="18"/>
      <c r="X676" s="86"/>
      <c r="AO676" s="86"/>
      <c r="BN676" s="85"/>
    </row>
    <row r="677">
      <c r="A677" s="18"/>
      <c r="X677" s="86"/>
      <c r="AO677" s="86"/>
      <c r="BN677" s="85"/>
    </row>
    <row r="678">
      <c r="A678" s="18"/>
      <c r="X678" s="86"/>
      <c r="AO678" s="86"/>
      <c r="BN678" s="85"/>
    </row>
    <row r="679">
      <c r="A679" s="18"/>
      <c r="X679" s="86"/>
      <c r="AO679" s="86"/>
      <c r="BN679" s="85"/>
    </row>
    <row r="680">
      <c r="A680" s="18"/>
      <c r="X680" s="86"/>
      <c r="AO680" s="86"/>
      <c r="BN680" s="85"/>
    </row>
    <row r="681">
      <c r="A681" s="18"/>
      <c r="X681" s="86"/>
      <c r="AO681" s="86"/>
      <c r="BN681" s="85"/>
    </row>
    <row r="682">
      <c r="A682" s="18"/>
      <c r="X682" s="86"/>
      <c r="AO682" s="86"/>
      <c r="BN682" s="85"/>
    </row>
    <row r="683">
      <c r="A683" s="18"/>
      <c r="X683" s="86"/>
      <c r="AO683" s="86"/>
      <c r="BN683" s="85"/>
    </row>
    <row r="684">
      <c r="A684" s="18"/>
      <c r="X684" s="86"/>
      <c r="AO684" s="86"/>
      <c r="BN684" s="85"/>
    </row>
    <row r="685">
      <c r="A685" s="18"/>
      <c r="X685" s="86"/>
      <c r="AO685" s="86"/>
      <c r="BN685" s="85"/>
    </row>
    <row r="686">
      <c r="A686" s="18"/>
      <c r="X686" s="86"/>
      <c r="AO686" s="86"/>
      <c r="BN686" s="85"/>
    </row>
    <row r="687">
      <c r="A687" s="18"/>
      <c r="X687" s="86"/>
      <c r="AO687" s="86"/>
      <c r="BN687" s="85"/>
    </row>
    <row r="688">
      <c r="A688" s="18"/>
      <c r="X688" s="86"/>
      <c r="AO688" s="86"/>
      <c r="BN688" s="85"/>
    </row>
    <row r="689">
      <c r="A689" s="18"/>
      <c r="X689" s="86"/>
      <c r="AO689" s="86"/>
      <c r="BN689" s="85"/>
    </row>
    <row r="690">
      <c r="A690" s="18"/>
      <c r="X690" s="86"/>
      <c r="AO690" s="86"/>
      <c r="BN690" s="85"/>
    </row>
    <row r="691">
      <c r="A691" s="18"/>
      <c r="X691" s="86"/>
      <c r="AO691" s="86"/>
      <c r="BN691" s="85"/>
    </row>
    <row r="692">
      <c r="A692" s="18"/>
      <c r="X692" s="86"/>
      <c r="AO692" s="86"/>
      <c r="BN692" s="85"/>
    </row>
    <row r="693">
      <c r="A693" s="18"/>
      <c r="X693" s="86"/>
      <c r="AO693" s="86"/>
      <c r="BN693" s="85"/>
    </row>
    <row r="694">
      <c r="A694" s="18"/>
      <c r="X694" s="86"/>
      <c r="AO694" s="86"/>
      <c r="BN694" s="85"/>
    </row>
    <row r="695">
      <c r="A695" s="18"/>
      <c r="X695" s="86"/>
      <c r="AO695" s="86"/>
      <c r="BN695" s="85"/>
    </row>
    <row r="696">
      <c r="A696" s="18"/>
      <c r="X696" s="86"/>
      <c r="AO696" s="86"/>
      <c r="BN696" s="85"/>
    </row>
    <row r="697">
      <c r="A697" s="18"/>
      <c r="X697" s="86"/>
      <c r="AO697" s="86"/>
      <c r="BN697" s="85"/>
    </row>
    <row r="698">
      <c r="A698" s="18"/>
      <c r="X698" s="86"/>
      <c r="AO698" s="86"/>
      <c r="BN698" s="85"/>
    </row>
    <row r="699">
      <c r="A699" s="18"/>
      <c r="X699" s="86"/>
      <c r="AO699" s="86"/>
      <c r="BN699" s="85"/>
    </row>
    <row r="700">
      <c r="A700" s="18"/>
      <c r="X700" s="86"/>
      <c r="AO700" s="86"/>
      <c r="BN700" s="85"/>
    </row>
    <row r="701">
      <c r="A701" s="18"/>
      <c r="X701" s="86"/>
      <c r="AO701" s="86"/>
      <c r="BN701" s="85"/>
    </row>
    <row r="702">
      <c r="A702" s="18"/>
      <c r="X702" s="86"/>
      <c r="AO702" s="86"/>
      <c r="BN702" s="85"/>
    </row>
    <row r="703">
      <c r="A703" s="18"/>
      <c r="X703" s="86"/>
      <c r="AO703" s="86"/>
      <c r="BN703" s="85"/>
    </row>
    <row r="704">
      <c r="A704" s="18"/>
      <c r="X704" s="86"/>
      <c r="AO704" s="86"/>
      <c r="BN704" s="85"/>
    </row>
    <row r="705">
      <c r="A705" s="18"/>
      <c r="X705" s="86"/>
      <c r="AO705" s="86"/>
      <c r="BN705" s="85"/>
    </row>
    <row r="706">
      <c r="A706" s="18"/>
      <c r="X706" s="86"/>
      <c r="AO706" s="86"/>
      <c r="BN706" s="85"/>
    </row>
    <row r="707">
      <c r="A707" s="18"/>
      <c r="X707" s="86"/>
      <c r="AO707" s="86"/>
      <c r="BN707" s="85"/>
    </row>
    <row r="708">
      <c r="A708" s="18"/>
      <c r="X708" s="86"/>
      <c r="AO708" s="86"/>
      <c r="BN708" s="85"/>
    </row>
    <row r="709">
      <c r="A709" s="18"/>
      <c r="X709" s="86"/>
      <c r="AO709" s="86"/>
      <c r="BN709" s="85"/>
    </row>
    <row r="710">
      <c r="A710" s="18"/>
      <c r="X710" s="86"/>
      <c r="AO710" s="86"/>
      <c r="BN710" s="85"/>
    </row>
    <row r="711">
      <c r="A711" s="18"/>
      <c r="X711" s="86"/>
      <c r="AO711" s="86"/>
      <c r="BN711" s="85"/>
    </row>
    <row r="712">
      <c r="A712" s="18"/>
      <c r="X712" s="86"/>
      <c r="AO712" s="86"/>
      <c r="BN712" s="85"/>
    </row>
    <row r="713">
      <c r="A713" s="18"/>
      <c r="X713" s="86"/>
      <c r="AO713" s="86"/>
      <c r="BN713" s="85"/>
    </row>
    <row r="714">
      <c r="A714" s="18"/>
      <c r="X714" s="86"/>
      <c r="AO714" s="86"/>
      <c r="BN714" s="85"/>
    </row>
    <row r="715">
      <c r="A715" s="18"/>
      <c r="X715" s="86"/>
      <c r="AO715" s="86"/>
      <c r="BN715" s="85"/>
    </row>
    <row r="716">
      <c r="A716" s="18"/>
      <c r="X716" s="86"/>
      <c r="AO716" s="86"/>
      <c r="BN716" s="85"/>
    </row>
    <row r="717">
      <c r="A717" s="18"/>
      <c r="X717" s="86"/>
      <c r="AO717" s="86"/>
      <c r="BN717" s="85"/>
    </row>
    <row r="718">
      <c r="A718" s="18"/>
      <c r="X718" s="86"/>
      <c r="AO718" s="86"/>
      <c r="BN718" s="85"/>
    </row>
    <row r="719">
      <c r="A719" s="18"/>
      <c r="X719" s="86"/>
      <c r="AO719" s="86"/>
      <c r="BN719" s="85"/>
    </row>
    <row r="720">
      <c r="A720" s="18"/>
      <c r="X720" s="86"/>
      <c r="AO720" s="86"/>
      <c r="BN720" s="85"/>
    </row>
    <row r="721">
      <c r="A721" s="18"/>
      <c r="X721" s="86"/>
      <c r="AO721" s="86"/>
      <c r="BN721" s="85"/>
    </row>
    <row r="722">
      <c r="A722" s="18"/>
      <c r="X722" s="86"/>
      <c r="AO722" s="86"/>
      <c r="BN722" s="85"/>
    </row>
    <row r="723">
      <c r="A723" s="18"/>
      <c r="X723" s="86"/>
      <c r="AO723" s="86"/>
      <c r="BN723" s="85"/>
    </row>
    <row r="724">
      <c r="A724" s="18"/>
      <c r="X724" s="86"/>
      <c r="AO724" s="86"/>
      <c r="BN724" s="85"/>
    </row>
    <row r="725">
      <c r="A725" s="18"/>
      <c r="X725" s="86"/>
      <c r="AO725" s="86"/>
      <c r="BN725" s="85"/>
    </row>
    <row r="726">
      <c r="A726" s="18"/>
      <c r="X726" s="86"/>
      <c r="AO726" s="86"/>
      <c r="BN726" s="85"/>
    </row>
    <row r="727">
      <c r="A727" s="18"/>
      <c r="X727" s="86"/>
      <c r="AO727" s="86"/>
      <c r="BN727" s="85"/>
    </row>
    <row r="728">
      <c r="A728" s="18"/>
      <c r="X728" s="86"/>
      <c r="AO728" s="86"/>
      <c r="BN728" s="85"/>
    </row>
    <row r="729">
      <c r="A729" s="18"/>
      <c r="X729" s="86"/>
      <c r="AO729" s="86"/>
      <c r="BN729" s="85"/>
    </row>
    <row r="730">
      <c r="A730" s="18"/>
      <c r="X730" s="86"/>
      <c r="AO730" s="86"/>
      <c r="BN730" s="85"/>
    </row>
    <row r="731">
      <c r="A731" s="18"/>
      <c r="X731" s="86"/>
      <c r="AO731" s="86"/>
      <c r="BN731" s="85"/>
    </row>
    <row r="732">
      <c r="A732" s="18"/>
      <c r="X732" s="86"/>
      <c r="AO732" s="86"/>
      <c r="BN732" s="85"/>
    </row>
    <row r="733">
      <c r="A733" s="18"/>
      <c r="X733" s="86"/>
      <c r="AO733" s="86"/>
      <c r="BN733" s="85"/>
    </row>
    <row r="734">
      <c r="A734" s="18"/>
      <c r="X734" s="86"/>
      <c r="AO734" s="86"/>
      <c r="BN734" s="85"/>
    </row>
    <row r="735">
      <c r="A735" s="18"/>
      <c r="X735" s="86"/>
      <c r="AO735" s="86"/>
      <c r="BN735" s="85"/>
    </row>
    <row r="736">
      <c r="A736" s="18"/>
      <c r="X736" s="86"/>
      <c r="AO736" s="86"/>
      <c r="BN736" s="85"/>
    </row>
    <row r="737">
      <c r="A737" s="18"/>
      <c r="X737" s="86"/>
      <c r="AO737" s="86"/>
      <c r="BN737" s="85"/>
    </row>
    <row r="738">
      <c r="A738" s="18"/>
      <c r="X738" s="86"/>
      <c r="AO738" s="86"/>
      <c r="BN738" s="85"/>
    </row>
    <row r="739">
      <c r="A739" s="18"/>
      <c r="X739" s="86"/>
      <c r="AO739" s="86"/>
      <c r="BN739" s="85"/>
    </row>
    <row r="740">
      <c r="A740" s="18"/>
      <c r="X740" s="86"/>
      <c r="AO740" s="86"/>
      <c r="BN740" s="85"/>
    </row>
    <row r="741">
      <c r="A741" s="18"/>
      <c r="X741" s="86"/>
      <c r="AO741" s="86"/>
      <c r="BN741" s="85"/>
    </row>
    <row r="742">
      <c r="A742" s="18"/>
      <c r="X742" s="86"/>
      <c r="AO742" s="86"/>
      <c r="BN742" s="85"/>
    </row>
    <row r="743">
      <c r="A743" s="18"/>
      <c r="X743" s="86"/>
      <c r="AO743" s="86"/>
      <c r="BN743" s="85"/>
    </row>
    <row r="744">
      <c r="A744" s="18"/>
      <c r="X744" s="86"/>
      <c r="AO744" s="86"/>
      <c r="BN744" s="85"/>
    </row>
    <row r="745">
      <c r="A745" s="18"/>
      <c r="X745" s="86"/>
      <c r="AO745" s="86"/>
      <c r="BN745" s="85"/>
    </row>
    <row r="746">
      <c r="A746" s="18"/>
      <c r="X746" s="86"/>
      <c r="AO746" s="86"/>
      <c r="BN746" s="85"/>
    </row>
    <row r="747">
      <c r="A747" s="18"/>
      <c r="X747" s="86"/>
      <c r="AO747" s="86"/>
      <c r="BN747" s="85"/>
    </row>
    <row r="748">
      <c r="A748" s="18"/>
      <c r="X748" s="86"/>
      <c r="AO748" s="86"/>
      <c r="BN748" s="85"/>
    </row>
    <row r="749">
      <c r="A749" s="18"/>
      <c r="X749" s="86"/>
      <c r="AO749" s="86"/>
      <c r="BN749" s="85"/>
    </row>
    <row r="750">
      <c r="A750" s="18"/>
      <c r="X750" s="86"/>
      <c r="AO750" s="86"/>
      <c r="BN750" s="85"/>
    </row>
    <row r="751">
      <c r="A751" s="18"/>
      <c r="X751" s="86"/>
      <c r="AO751" s="86"/>
      <c r="BN751" s="85"/>
    </row>
    <row r="752">
      <c r="A752" s="18"/>
      <c r="X752" s="86"/>
      <c r="AO752" s="86"/>
      <c r="BN752" s="85"/>
    </row>
    <row r="753">
      <c r="A753" s="18"/>
      <c r="X753" s="86"/>
      <c r="AO753" s="86"/>
      <c r="BN753" s="85"/>
    </row>
    <row r="754">
      <c r="A754" s="18"/>
      <c r="X754" s="86"/>
      <c r="AO754" s="86"/>
      <c r="BN754" s="85"/>
    </row>
    <row r="755">
      <c r="A755" s="18"/>
      <c r="X755" s="86"/>
      <c r="AO755" s="86"/>
      <c r="BN755" s="85"/>
    </row>
    <row r="756">
      <c r="A756" s="18"/>
      <c r="X756" s="86"/>
      <c r="AO756" s="86"/>
      <c r="BN756" s="85"/>
    </row>
    <row r="757">
      <c r="A757" s="18"/>
      <c r="X757" s="86"/>
      <c r="AO757" s="86"/>
      <c r="BN757" s="85"/>
    </row>
    <row r="758">
      <c r="A758" s="18"/>
      <c r="X758" s="86"/>
      <c r="AO758" s="86"/>
      <c r="BN758" s="85"/>
    </row>
    <row r="759">
      <c r="A759" s="18"/>
      <c r="X759" s="86"/>
      <c r="AO759" s="86"/>
      <c r="BN759" s="85"/>
    </row>
    <row r="760">
      <c r="A760" s="18"/>
      <c r="X760" s="86"/>
      <c r="AO760" s="86"/>
      <c r="BN760" s="85"/>
    </row>
    <row r="761">
      <c r="A761" s="18"/>
      <c r="X761" s="86"/>
      <c r="AO761" s="86"/>
      <c r="BN761" s="85"/>
    </row>
    <row r="762">
      <c r="A762" s="18"/>
      <c r="X762" s="86"/>
      <c r="AO762" s="86"/>
      <c r="BN762" s="85"/>
    </row>
    <row r="763">
      <c r="A763" s="18"/>
      <c r="X763" s="86"/>
      <c r="AO763" s="86"/>
      <c r="BN763" s="85"/>
    </row>
    <row r="764">
      <c r="A764" s="18"/>
      <c r="X764" s="86"/>
      <c r="AO764" s="86"/>
      <c r="BN764" s="85"/>
    </row>
    <row r="765">
      <c r="A765" s="18"/>
      <c r="X765" s="86"/>
      <c r="AO765" s="86"/>
      <c r="BN765" s="85"/>
    </row>
    <row r="766">
      <c r="A766" s="18"/>
      <c r="X766" s="86"/>
      <c r="AO766" s="86"/>
      <c r="BN766" s="85"/>
    </row>
    <row r="767">
      <c r="A767" s="18"/>
      <c r="X767" s="86"/>
      <c r="AO767" s="86"/>
      <c r="BN767" s="85"/>
    </row>
    <row r="768">
      <c r="A768" s="18"/>
      <c r="X768" s="86"/>
      <c r="AO768" s="86"/>
      <c r="BN768" s="85"/>
    </row>
    <row r="769">
      <c r="A769" s="18"/>
      <c r="X769" s="86"/>
      <c r="AO769" s="86"/>
      <c r="BN769" s="85"/>
    </row>
    <row r="770">
      <c r="A770" s="18"/>
      <c r="X770" s="86"/>
      <c r="AO770" s="86"/>
      <c r="BN770" s="85"/>
    </row>
    <row r="771">
      <c r="A771" s="18"/>
      <c r="X771" s="86"/>
      <c r="AO771" s="86"/>
      <c r="BN771" s="85"/>
    </row>
    <row r="772">
      <c r="A772" s="18"/>
      <c r="X772" s="86"/>
      <c r="AO772" s="86"/>
      <c r="BN772" s="85"/>
    </row>
    <row r="773">
      <c r="A773" s="18"/>
      <c r="X773" s="86"/>
      <c r="AO773" s="86"/>
      <c r="BN773" s="85"/>
    </row>
    <row r="774">
      <c r="A774" s="18"/>
      <c r="X774" s="86"/>
      <c r="AO774" s="86"/>
      <c r="BN774" s="85"/>
    </row>
    <row r="775">
      <c r="A775" s="18"/>
      <c r="X775" s="86"/>
      <c r="AO775" s="86"/>
      <c r="BN775" s="85"/>
    </row>
    <row r="776">
      <c r="A776" s="18"/>
      <c r="X776" s="86"/>
      <c r="AO776" s="86"/>
      <c r="BN776" s="85"/>
    </row>
    <row r="777">
      <c r="A777" s="18"/>
      <c r="X777" s="86"/>
      <c r="AO777" s="86"/>
      <c r="BN777" s="85"/>
    </row>
    <row r="778">
      <c r="A778" s="18"/>
      <c r="X778" s="86"/>
      <c r="AO778" s="86"/>
      <c r="BN778" s="85"/>
    </row>
    <row r="779">
      <c r="A779" s="18"/>
      <c r="X779" s="86"/>
      <c r="AO779" s="86"/>
      <c r="BN779" s="85"/>
    </row>
    <row r="780">
      <c r="A780" s="18"/>
      <c r="X780" s="86"/>
      <c r="AO780" s="86"/>
      <c r="BN780" s="85"/>
    </row>
    <row r="781">
      <c r="A781" s="18"/>
      <c r="X781" s="86"/>
      <c r="AO781" s="86"/>
      <c r="BN781" s="85"/>
    </row>
    <row r="782">
      <c r="A782" s="18"/>
      <c r="X782" s="86"/>
      <c r="AO782" s="86"/>
      <c r="BN782" s="85"/>
    </row>
    <row r="783">
      <c r="A783" s="18"/>
      <c r="X783" s="86"/>
      <c r="AO783" s="86"/>
      <c r="BN783" s="85"/>
    </row>
    <row r="784">
      <c r="A784" s="18"/>
      <c r="X784" s="86"/>
      <c r="AO784" s="86"/>
      <c r="BN784" s="85"/>
    </row>
    <row r="785">
      <c r="A785" s="18"/>
      <c r="X785" s="86"/>
      <c r="AO785" s="86"/>
      <c r="BN785" s="85"/>
    </row>
    <row r="786">
      <c r="A786" s="18"/>
      <c r="X786" s="86"/>
      <c r="AO786" s="86"/>
      <c r="BN786" s="85"/>
    </row>
    <row r="787">
      <c r="A787" s="18"/>
      <c r="X787" s="86"/>
      <c r="AO787" s="86"/>
      <c r="BN787" s="85"/>
    </row>
    <row r="788">
      <c r="A788" s="18"/>
      <c r="X788" s="86"/>
      <c r="AO788" s="86"/>
      <c r="BN788" s="85"/>
    </row>
    <row r="789">
      <c r="A789" s="18"/>
      <c r="X789" s="86"/>
      <c r="AO789" s="86"/>
      <c r="BN789" s="85"/>
    </row>
    <row r="790">
      <c r="A790" s="18"/>
      <c r="X790" s="86"/>
      <c r="AO790" s="86"/>
      <c r="BN790" s="85"/>
    </row>
    <row r="791">
      <c r="A791" s="18"/>
      <c r="X791" s="86"/>
      <c r="AO791" s="86"/>
      <c r="BN791" s="85"/>
    </row>
    <row r="792">
      <c r="A792" s="18"/>
      <c r="X792" s="86"/>
      <c r="AO792" s="86"/>
      <c r="BN792" s="85"/>
    </row>
    <row r="793">
      <c r="A793" s="18"/>
      <c r="X793" s="86"/>
      <c r="AO793" s="86"/>
      <c r="BN793" s="85"/>
    </row>
    <row r="794">
      <c r="A794" s="18"/>
      <c r="X794" s="86"/>
      <c r="AO794" s="86"/>
      <c r="BN794" s="85"/>
    </row>
    <row r="795">
      <c r="A795" s="18"/>
      <c r="X795" s="86"/>
      <c r="AO795" s="86"/>
      <c r="BN795" s="85"/>
    </row>
    <row r="796">
      <c r="A796" s="18"/>
      <c r="X796" s="86"/>
      <c r="AO796" s="86"/>
      <c r="BN796" s="85"/>
    </row>
    <row r="797">
      <c r="A797" s="18"/>
      <c r="X797" s="86"/>
      <c r="AO797" s="86"/>
      <c r="BN797" s="85"/>
    </row>
    <row r="798">
      <c r="A798" s="18"/>
      <c r="X798" s="86"/>
      <c r="AO798" s="86"/>
      <c r="BN798" s="85"/>
    </row>
    <row r="799">
      <c r="A799" s="18"/>
      <c r="X799" s="86"/>
      <c r="AO799" s="86"/>
      <c r="BN799" s="85"/>
    </row>
    <row r="800">
      <c r="A800" s="18"/>
      <c r="X800" s="86"/>
      <c r="AO800" s="86"/>
      <c r="BN800" s="85"/>
    </row>
    <row r="801">
      <c r="A801" s="18"/>
      <c r="X801" s="86"/>
      <c r="AO801" s="86"/>
      <c r="BN801" s="85"/>
    </row>
    <row r="802">
      <c r="A802" s="18"/>
      <c r="X802" s="86"/>
      <c r="AO802" s="86"/>
      <c r="BN802" s="85"/>
    </row>
    <row r="803">
      <c r="A803" s="18"/>
      <c r="X803" s="86"/>
      <c r="AO803" s="86"/>
      <c r="BN803" s="85"/>
    </row>
    <row r="804">
      <c r="A804" s="18"/>
      <c r="X804" s="86"/>
      <c r="AO804" s="86"/>
      <c r="BN804" s="85"/>
    </row>
    <row r="805">
      <c r="A805" s="18"/>
      <c r="X805" s="86"/>
      <c r="AO805" s="86"/>
      <c r="BN805" s="85"/>
    </row>
    <row r="806">
      <c r="A806" s="18"/>
      <c r="X806" s="86"/>
      <c r="AO806" s="86"/>
      <c r="BN806" s="85"/>
    </row>
    <row r="807">
      <c r="A807" s="18"/>
      <c r="X807" s="86"/>
      <c r="AO807" s="86"/>
      <c r="BN807" s="85"/>
    </row>
    <row r="808">
      <c r="A808" s="18"/>
      <c r="X808" s="86"/>
      <c r="AO808" s="86"/>
      <c r="BN808" s="85"/>
    </row>
    <row r="809">
      <c r="A809" s="18"/>
      <c r="X809" s="86"/>
      <c r="AO809" s="86"/>
      <c r="BN809" s="85"/>
    </row>
    <row r="810">
      <c r="A810" s="18"/>
      <c r="X810" s="86"/>
      <c r="AO810" s="86"/>
      <c r="BN810" s="85"/>
    </row>
    <row r="811">
      <c r="A811" s="18"/>
      <c r="X811" s="86"/>
      <c r="AO811" s="86"/>
      <c r="BN811" s="85"/>
    </row>
    <row r="812">
      <c r="A812" s="18"/>
      <c r="X812" s="86"/>
      <c r="AO812" s="86"/>
      <c r="BN812" s="85"/>
    </row>
    <row r="813">
      <c r="A813" s="18"/>
      <c r="X813" s="86"/>
      <c r="AO813" s="86"/>
      <c r="BN813" s="85"/>
    </row>
    <row r="814">
      <c r="A814" s="18"/>
      <c r="X814" s="86"/>
      <c r="AO814" s="86"/>
      <c r="BN814" s="85"/>
    </row>
    <row r="815">
      <c r="A815" s="18"/>
      <c r="X815" s="86"/>
      <c r="AO815" s="86"/>
      <c r="BN815" s="85"/>
    </row>
    <row r="816">
      <c r="A816" s="18"/>
      <c r="X816" s="86"/>
      <c r="AO816" s="86"/>
      <c r="BN816" s="85"/>
    </row>
    <row r="817">
      <c r="A817" s="18"/>
      <c r="X817" s="86"/>
      <c r="AO817" s="86"/>
      <c r="BN817" s="85"/>
    </row>
    <row r="818">
      <c r="A818" s="18"/>
      <c r="X818" s="86"/>
      <c r="AO818" s="86"/>
      <c r="BN818" s="85"/>
    </row>
    <row r="819">
      <c r="A819" s="18"/>
      <c r="X819" s="86"/>
      <c r="AO819" s="86"/>
      <c r="BN819" s="85"/>
    </row>
    <row r="820">
      <c r="A820" s="18"/>
      <c r="X820" s="86"/>
      <c r="AO820" s="86"/>
      <c r="BN820" s="85"/>
    </row>
    <row r="821">
      <c r="A821" s="18"/>
      <c r="X821" s="86"/>
      <c r="AO821" s="86"/>
      <c r="BN821" s="85"/>
    </row>
    <row r="822">
      <c r="A822" s="18"/>
      <c r="X822" s="86"/>
      <c r="AO822" s="86"/>
      <c r="BN822" s="85"/>
    </row>
    <row r="823">
      <c r="A823" s="18"/>
      <c r="X823" s="86"/>
      <c r="AO823" s="86"/>
      <c r="BN823" s="85"/>
    </row>
    <row r="824">
      <c r="A824" s="18"/>
      <c r="X824" s="86"/>
      <c r="AO824" s="86"/>
      <c r="BN824" s="85"/>
    </row>
    <row r="825">
      <c r="A825" s="18"/>
      <c r="X825" s="86"/>
      <c r="AO825" s="86"/>
      <c r="BN825" s="85"/>
    </row>
    <row r="826">
      <c r="A826" s="18"/>
      <c r="X826" s="86"/>
      <c r="AO826" s="86"/>
      <c r="BN826" s="85"/>
    </row>
    <row r="827">
      <c r="A827" s="18"/>
      <c r="X827" s="86"/>
      <c r="AO827" s="86"/>
      <c r="BN827" s="85"/>
    </row>
    <row r="828">
      <c r="A828" s="18"/>
      <c r="X828" s="86"/>
      <c r="AO828" s="86"/>
      <c r="BN828" s="85"/>
    </row>
    <row r="829">
      <c r="A829" s="18"/>
      <c r="X829" s="86"/>
      <c r="AO829" s="86"/>
      <c r="BN829" s="85"/>
    </row>
    <row r="830">
      <c r="A830" s="18"/>
      <c r="X830" s="86"/>
      <c r="AO830" s="86"/>
      <c r="BN830" s="85"/>
    </row>
    <row r="831">
      <c r="A831" s="18"/>
      <c r="X831" s="86"/>
      <c r="AO831" s="86"/>
      <c r="BN831" s="85"/>
    </row>
    <row r="832">
      <c r="A832" s="18"/>
      <c r="X832" s="86"/>
      <c r="AO832" s="86"/>
      <c r="BN832" s="85"/>
    </row>
    <row r="833">
      <c r="A833" s="18"/>
      <c r="X833" s="86"/>
      <c r="AO833" s="86"/>
      <c r="BN833" s="85"/>
    </row>
    <row r="834">
      <c r="A834" s="18"/>
      <c r="X834" s="86"/>
      <c r="AO834" s="86"/>
      <c r="BN834" s="85"/>
    </row>
    <row r="835">
      <c r="A835" s="18"/>
      <c r="X835" s="86"/>
      <c r="AO835" s="86"/>
      <c r="BN835" s="85"/>
    </row>
    <row r="836">
      <c r="A836" s="18"/>
      <c r="X836" s="86"/>
      <c r="AO836" s="86"/>
      <c r="BN836" s="85"/>
    </row>
    <row r="837">
      <c r="A837" s="18"/>
      <c r="X837" s="86"/>
      <c r="AO837" s="86"/>
      <c r="BN837" s="85"/>
    </row>
    <row r="838">
      <c r="A838" s="18"/>
      <c r="X838" s="86"/>
      <c r="AO838" s="86"/>
      <c r="BN838" s="85"/>
    </row>
    <row r="839">
      <c r="A839" s="18"/>
      <c r="X839" s="86"/>
      <c r="AO839" s="86"/>
      <c r="BN839" s="85"/>
    </row>
    <row r="840">
      <c r="A840" s="18"/>
      <c r="X840" s="86"/>
      <c r="AO840" s="86"/>
      <c r="BN840" s="85"/>
    </row>
    <row r="841">
      <c r="A841" s="18"/>
      <c r="X841" s="86"/>
      <c r="AO841" s="86"/>
      <c r="BN841" s="85"/>
    </row>
    <row r="842">
      <c r="A842" s="18"/>
      <c r="X842" s="86"/>
      <c r="AO842" s="86"/>
      <c r="BN842" s="85"/>
    </row>
    <row r="843">
      <c r="A843" s="18"/>
      <c r="X843" s="86"/>
      <c r="AO843" s="86"/>
      <c r="BN843" s="85"/>
    </row>
    <row r="844">
      <c r="A844" s="18"/>
      <c r="X844" s="86"/>
      <c r="AO844" s="86"/>
      <c r="BN844" s="85"/>
    </row>
    <row r="845">
      <c r="A845" s="18"/>
      <c r="X845" s="86"/>
      <c r="AO845" s="86"/>
      <c r="BN845" s="85"/>
    </row>
    <row r="846">
      <c r="A846" s="18"/>
      <c r="X846" s="86"/>
      <c r="AO846" s="86"/>
      <c r="BN846" s="85"/>
    </row>
    <row r="847">
      <c r="A847" s="18"/>
      <c r="X847" s="86"/>
      <c r="AO847" s="86"/>
      <c r="BN847" s="85"/>
    </row>
    <row r="848">
      <c r="A848" s="18"/>
      <c r="X848" s="86"/>
      <c r="AO848" s="86"/>
      <c r="BN848" s="85"/>
    </row>
    <row r="849">
      <c r="A849" s="18"/>
      <c r="X849" s="86"/>
      <c r="AO849" s="86"/>
      <c r="BN849" s="85"/>
    </row>
    <row r="850">
      <c r="A850" s="18"/>
      <c r="X850" s="86"/>
      <c r="AO850" s="86"/>
      <c r="BN850" s="85"/>
    </row>
    <row r="851">
      <c r="A851" s="18"/>
      <c r="X851" s="86"/>
      <c r="AO851" s="86"/>
      <c r="BN851" s="85"/>
    </row>
    <row r="852">
      <c r="A852" s="18"/>
      <c r="X852" s="86"/>
      <c r="AO852" s="86"/>
      <c r="BN852" s="85"/>
    </row>
    <row r="853">
      <c r="A853" s="18"/>
      <c r="X853" s="86"/>
      <c r="AO853" s="86"/>
      <c r="BN853" s="85"/>
    </row>
    <row r="854">
      <c r="A854" s="18"/>
      <c r="X854" s="86"/>
      <c r="AO854" s="86"/>
      <c r="BN854" s="85"/>
    </row>
    <row r="855">
      <c r="A855" s="18"/>
      <c r="X855" s="86"/>
      <c r="AO855" s="86"/>
      <c r="BN855" s="85"/>
    </row>
    <row r="856">
      <c r="A856" s="18"/>
      <c r="X856" s="86"/>
      <c r="AO856" s="86"/>
      <c r="BN856" s="85"/>
    </row>
    <row r="857">
      <c r="A857" s="18"/>
      <c r="X857" s="86"/>
      <c r="AO857" s="86"/>
      <c r="BN857" s="85"/>
    </row>
    <row r="858">
      <c r="A858" s="18"/>
      <c r="X858" s="86"/>
      <c r="AO858" s="86"/>
      <c r="BN858" s="85"/>
    </row>
    <row r="859">
      <c r="A859" s="18"/>
      <c r="X859" s="86"/>
      <c r="AO859" s="86"/>
      <c r="BN859" s="85"/>
    </row>
    <row r="860">
      <c r="A860" s="18"/>
      <c r="X860" s="86"/>
      <c r="AO860" s="86"/>
      <c r="BN860" s="85"/>
    </row>
    <row r="861">
      <c r="A861" s="18"/>
      <c r="X861" s="86"/>
      <c r="AO861" s="86"/>
      <c r="BN861" s="85"/>
    </row>
    <row r="862">
      <c r="A862" s="18"/>
      <c r="X862" s="86"/>
      <c r="AO862" s="86"/>
      <c r="BN862" s="85"/>
    </row>
    <row r="863">
      <c r="A863" s="18"/>
      <c r="X863" s="86"/>
      <c r="AO863" s="86"/>
      <c r="BN863" s="85"/>
    </row>
    <row r="864">
      <c r="A864" s="18"/>
      <c r="X864" s="86"/>
      <c r="AO864" s="86"/>
      <c r="BN864" s="85"/>
    </row>
    <row r="865">
      <c r="A865" s="18"/>
      <c r="X865" s="86"/>
      <c r="AO865" s="86"/>
      <c r="BN865" s="85"/>
    </row>
    <row r="866">
      <c r="A866" s="18"/>
      <c r="X866" s="86"/>
      <c r="AO866" s="86"/>
      <c r="BN866" s="85"/>
    </row>
    <row r="867">
      <c r="A867" s="18"/>
      <c r="X867" s="86"/>
      <c r="AO867" s="86"/>
      <c r="BN867" s="85"/>
    </row>
    <row r="868">
      <c r="A868" s="18"/>
      <c r="X868" s="86"/>
      <c r="AO868" s="86"/>
      <c r="BN868" s="85"/>
    </row>
    <row r="869">
      <c r="A869" s="18"/>
      <c r="X869" s="86"/>
      <c r="AO869" s="86"/>
      <c r="BN869" s="85"/>
    </row>
    <row r="870">
      <c r="A870" s="18"/>
      <c r="X870" s="86"/>
      <c r="AO870" s="86"/>
      <c r="BN870" s="85"/>
    </row>
    <row r="871">
      <c r="A871" s="18"/>
      <c r="X871" s="86"/>
      <c r="AO871" s="86"/>
      <c r="BN871" s="85"/>
    </row>
    <row r="872">
      <c r="A872" s="18"/>
      <c r="X872" s="86"/>
      <c r="AO872" s="86"/>
      <c r="BN872" s="85"/>
    </row>
    <row r="873">
      <c r="A873" s="18"/>
      <c r="X873" s="86"/>
      <c r="AO873" s="86"/>
      <c r="BN873" s="85"/>
    </row>
    <row r="874">
      <c r="A874" s="18"/>
      <c r="X874" s="86"/>
      <c r="AO874" s="86"/>
      <c r="BN874" s="85"/>
    </row>
    <row r="875">
      <c r="A875" s="18"/>
      <c r="X875" s="86"/>
      <c r="AO875" s="86"/>
      <c r="BN875" s="85"/>
    </row>
    <row r="876">
      <c r="A876" s="18"/>
      <c r="X876" s="86"/>
      <c r="AO876" s="86"/>
      <c r="BN876" s="85"/>
    </row>
    <row r="877">
      <c r="A877" s="18"/>
      <c r="X877" s="86"/>
      <c r="AO877" s="86"/>
      <c r="BN877" s="85"/>
    </row>
    <row r="878">
      <c r="A878" s="18"/>
      <c r="X878" s="86"/>
      <c r="AO878" s="86"/>
      <c r="BN878" s="85"/>
    </row>
    <row r="879">
      <c r="A879" s="18"/>
      <c r="X879" s="86"/>
      <c r="AO879" s="86"/>
      <c r="BN879" s="85"/>
    </row>
    <row r="880">
      <c r="A880" s="18"/>
      <c r="X880" s="86"/>
      <c r="AO880" s="86"/>
      <c r="BN880" s="85"/>
    </row>
    <row r="881">
      <c r="A881" s="18"/>
      <c r="X881" s="86"/>
      <c r="AO881" s="86"/>
      <c r="BN881" s="85"/>
    </row>
    <row r="882">
      <c r="A882" s="18"/>
      <c r="X882" s="86"/>
      <c r="AO882" s="86"/>
      <c r="BN882" s="85"/>
    </row>
    <row r="883">
      <c r="A883" s="18"/>
      <c r="X883" s="86"/>
      <c r="AO883" s="86"/>
      <c r="BN883" s="85"/>
    </row>
    <row r="884">
      <c r="A884" s="18"/>
      <c r="X884" s="86"/>
      <c r="AO884" s="86"/>
      <c r="BN884" s="85"/>
    </row>
    <row r="885">
      <c r="A885" s="18"/>
      <c r="X885" s="86"/>
      <c r="AO885" s="86"/>
      <c r="BN885" s="85"/>
    </row>
    <row r="886">
      <c r="A886" s="18"/>
      <c r="X886" s="86"/>
      <c r="AO886" s="86"/>
      <c r="BN886" s="85"/>
    </row>
    <row r="887">
      <c r="A887" s="18"/>
      <c r="X887" s="86"/>
      <c r="AO887" s="86"/>
      <c r="BN887" s="85"/>
    </row>
    <row r="888">
      <c r="A888" s="18"/>
      <c r="X888" s="86"/>
      <c r="AO888" s="86"/>
      <c r="BN888" s="85"/>
    </row>
    <row r="889">
      <c r="A889" s="18"/>
      <c r="X889" s="86"/>
      <c r="AO889" s="86"/>
      <c r="BN889" s="85"/>
    </row>
    <row r="890">
      <c r="A890" s="18"/>
      <c r="X890" s="86"/>
      <c r="AO890" s="86"/>
      <c r="BN890" s="85"/>
    </row>
    <row r="891">
      <c r="A891" s="18"/>
      <c r="X891" s="86"/>
      <c r="AO891" s="86"/>
      <c r="BN891" s="85"/>
    </row>
    <row r="892">
      <c r="A892" s="18"/>
      <c r="X892" s="86"/>
      <c r="AO892" s="86"/>
      <c r="BN892" s="85"/>
    </row>
    <row r="893">
      <c r="A893" s="18"/>
      <c r="X893" s="86"/>
      <c r="AO893" s="86"/>
      <c r="BN893" s="85"/>
    </row>
    <row r="894">
      <c r="A894" s="18"/>
      <c r="X894" s="86"/>
      <c r="AO894" s="86"/>
      <c r="BN894" s="85"/>
    </row>
    <row r="895">
      <c r="A895" s="18"/>
      <c r="X895" s="86"/>
      <c r="AO895" s="86"/>
      <c r="BN895" s="85"/>
    </row>
    <row r="896">
      <c r="A896" s="18"/>
      <c r="X896" s="86"/>
      <c r="AO896" s="86"/>
      <c r="BN896" s="85"/>
    </row>
    <row r="897">
      <c r="A897" s="18"/>
      <c r="X897" s="86"/>
      <c r="AO897" s="86"/>
      <c r="BN897" s="85"/>
    </row>
    <row r="898">
      <c r="A898" s="18"/>
      <c r="X898" s="86"/>
      <c r="AO898" s="86"/>
      <c r="BN898" s="85"/>
    </row>
    <row r="899">
      <c r="A899" s="18"/>
      <c r="X899" s="86"/>
      <c r="AO899" s="86"/>
      <c r="BN899" s="85"/>
    </row>
    <row r="900">
      <c r="A900" s="18"/>
      <c r="X900" s="86"/>
      <c r="AO900" s="86"/>
      <c r="BN900" s="85"/>
    </row>
    <row r="901">
      <c r="A901" s="18"/>
      <c r="X901" s="86"/>
      <c r="AO901" s="86"/>
      <c r="BN901" s="85"/>
    </row>
    <row r="902">
      <c r="A902" s="18"/>
      <c r="X902" s="86"/>
      <c r="AO902" s="86"/>
      <c r="BN902" s="85"/>
    </row>
    <row r="903">
      <c r="A903" s="18"/>
      <c r="X903" s="86"/>
      <c r="AO903" s="86"/>
      <c r="BN903" s="85"/>
    </row>
    <row r="904">
      <c r="A904" s="18"/>
      <c r="X904" s="86"/>
      <c r="AO904" s="86"/>
      <c r="BN904" s="85"/>
    </row>
    <row r="905">
      <c r="A905" s="18"/>
      <c r="X905" s="86"/>
      <c r="AO905" s="86"/>
      <c r="BN905" s="85"/>
    </row>
    <row r="906">
      <c r="A906" s="18"/>
      <c r="X906" s="86"/>
      <c r="AO906" s="86"/>
      <c r="BN906" s="85"/>
    </row>
    <row r="907">
      <c r="A907" s="18"/>
      <c r="X907" s="86"/>
      <c r="AO907" s="86"/>
      <c r="BN907" s="85"/>
    </row>
    <row r="908">
      <c r="A908" s="18"/>
      <c r="X908" s="86"/>
      <c r="AO908" s="86"/>
      <c r="BN908" s="85"/>
    </row>
    <row r="909">
      <c r="A909" s="18"/>
      <c r="X909" s="86"/>
      <c r="AO909" s="86"/>
      <c r="BN909" s="85"/>
    </row>
    <row r="910">
      <c r="A910" s="18"/>
      <c r="X910" s="86"/>
      <c r="AO910" s="86"/>
      <c r="BN910" s="85"/>
    </row>
    <row r="911">
      <c r="A911" s="18"/>
      <c r="X911" s="86"/>
      <c r="AO911" s="86"/>
      <c r="BN911" s="85"/>
    </row>
    <row r="912">
      <c r="A912" s="18"/>
      <c r="X912" s="86"/>
      <c r="AO912" s="86"/>
      <c r="BN912" s="85"/>
    </row>
    <row r="913">
      <c r="A913" s="18"/>
      <c r="X913" s="86"/>
      <c r="AO913" s="86"/>
      <c r="BN913" s="85"/>
    </row>
    <row r="914">
      <c r="A914" s="18"/>
      <c r="X914" s="86"/>
      <c r="AO914" s="86"/>
      <c r="BN914" s="85"/>
    </row>
    <row r="915">
      <c r="A915" s="18"/>
      <c r="X915" s="86"/>
      <c r="AO915" s="86"/>
      <c r="BN915" s="85"/>
    </row>
    <row r="916">
      <c r="A916" s="18"/>
      <c r="X916" s="86"/>
      <c r="AO916" s="86"/>
      <c r="BN916" s="85"/>
    </row>
    <row r="917">
      <c r="A917" s="18"/>
      <c r="X917" s="86"/>
      <c r="AO917" s="86"/>
      <c r="BN917" s="85"/>
    </row>
    <row r="918">
      <c r="A918" s="18"/>
      <c r="X918" s="86"/>
      <c r="AO918" s="86"/>
      <c r="BN918" s="85"/>
    </row>
    <row r="919">
      <c r="A919" s="18"/>
      <c r="X919" s="86"/>
      <c r="AO919" s="86"/>
      <c r="BN919" s="85"/>
    </row>
    <row r="920">
      <c r="A920" s="18"/>
      <c r="X920" s="86"/>
      <c r="AO920" s="86"/>
      <c r="BN920" s="85"/>
    </row>
    <row r="921">
      <c r="A921" s="18"/>
      <c r="X921" s="86"/>
      <c r="AO921" s="86"/>
      <c r="BN921" s="85"/>
    </row>
    <row r="922">
      <c r="A922" s="18"/>
      <c r="X922" s="86"/>
      <c r="AO922" s="86"/>
      <c r="BN922" s="85"/>
    </row>
    <row r="923">
      <c r="A923" s="18"/>
      <c r="X923" s="86"/>
      <c r="AO923" s="86"/>
      <c r="BN923" s="85"/>
    </row>
    <row r="924">
      <c r="A924" s="18"/>
      <c r="X924" s="86"/>
      <c r="AO924" s="86"/>
      <c r="BN924" s="85"/>
    </row>
    <row r="925">
      <c r="A925" s="18"/>
      <c r="X925" s="86"/>
      <c r="AO925" s="86"/>
      <c r="BN925" s="85"/>
    </row>
    <row r="926">
      <c r="A926" s="18"/>
      <c r="X926" s="86"/>
      <c r="AO926" s="86"/>
      <c r="BN926" s="85"/>
    </row>
    <row r="927">
      <c r="A927" s="18"/>
      <c r="X927" s="86"/>
      <c r="AO927" s="86"/>
      <c r="BN927" s="85"/>
    </row>
    <row r="928">
      <c r="A928" s="18"/>
      <c r="X928" s="86"/>
      <c r="AO928" s="86"/>
      <c r="BN928" s="85"/>
    </row>
    <row r="929">
      <c r="A929" s="18"/>
      <c r="X929" s="86"/>
      <c r="AO929" s="86"/>
      <c r="BN929" s="85"/>
    </row>
    <row r="930">
      <c r="A930" s="18"/>
      <c r="X930" s="86"/>
      <c r="AO930" s="86"/>
      <c r="BN930" s="85"/>
    </row>
    <row r="931">
      <c r="A931" s="18"/>
      <c r="X931" s="86"/>
      <c r="AO931" s="86"/>
      <c r="BN931" s="85"/>
    </row>
    <row r="932">
      <c r="A932" s="18"/>
      <c r="X932" s="86"/>
      <c r="AO932" s="86"/>
      <c r="BN932" s="85"/>
    </row>
    <row r="933">
      <c r="A933" s="18"/>
      <c r="X933" s="86"/>
      <c r="AO933" s="86"/>
      <c r="BN933" s="85"/>
    </row>
    <row r="934">
      <c r="A934" s="18"/>
      <c r="X934" s="86"/>
      <c r="AO934" s="86"/>
      <c r="BN934" s="85"/>
    </row>
    <row r="935">
      <c r="A935" s="18"/>
      <c r="X935" s="86"/>
      <c r="AO935" s="86"/>
      <c r="BN935" s="85"/>
    </row>
    <row r="936">
      <c r="A936" s="18"/>
      <c r="X936" s="86"/>
      <c r="AO936" s="86"/>
      <c r="BN936" s="85"/>
    </row>
    <row r="937">
      <c r="A937" s="18"/>
      <c r="X937" s="86"/>
      <c r="AO937" s="86"/>
      <c r="BN937" s="85"/>
    </row>
    <row r="938">
      <c r="A938" s="18"/>
      <c r="X938" s="86"/>
      <c r="AO938" s="86"/>
      <c r="BN938" s="85"/>
    </row>
    <row r="939">
      <c r="A939" s="18"/>
      <c r="X939" s="86"/>
      <c r="AO939" s="86"/>
      <c r="BN939" s="85"/>
    </row>
    <row r="940">
      <c r="A940" s="18"/>
      <c r="X940" s="86"/>
      <c r="AO940" s="86"/>
      <c r="BN940" s="85"/>
    </row>
    <row r="941">
      <c r="A941" s="18"/>
      <c r="X941" s="86"/>
      <c r="AO941" s="86"/>
      <c r="BN941" s="85"/>
    </row>
    <row r="942">
      <c r="A942" s="18"/>
      <c r="X942" s="86"/>
      <c r="AO942" s="86"/>
      <c r="BN942" s="85"/>
    </row>
    <row r="943">
      <c r="A943" s="18"/>
      <c r="X943" s="86"/>
      <c r="AO943" s="86"/>
      <c r="BN943" s="85"/>
    </row>
    <row r="944">
      <c r="A944" s="18"/>
      <c r="X944" s="86"/>
      <c r="AO944" s="86"/>
      <c r="BN944" s="85"/>
    </row>
    <row r="945">
      <c r="A945" s="18"/>
      <c r="X945" s="86"/>
      <c r="AO945" s="86"/>
      <c r="BN945" s="85"/>
    </row>
    <row r="946">
      <c r="A946" s="18"/>
      <c r="X946" s="86"/>
      <c r="AO946" s="86"/>
      <c r="BN946" s="85"/>
    </row>
    <row r="947">
      <c r="A947" s="18"/>
      <c r="X947" s="86"/>
      <c r="AO947" s="86"/>
      <c r="BN947" s="85"/>
    </row>
    <row r="948">
      <c r="A948" s="18"/>
      <c r="X948" s="86"/>
      <c r="AO948" s="86"/>
      <c r="BN948" s="85"/>
    </row>
    <row r="949">
      <c r="A949" s="18"/>
      <c r="X949" s="86"/>
      <c r="AO949" s="86"/>
      <c r="BN949" s="85"/>
    </row>
    <row r="950">
      <c r="A950" s="18"/>
      <c r="X950" s="86"/>
      <c r="AO950" s="86"/>
      <c r="BN950" s="85"/>
    </row>
    <row r="951">
      <c r="A951" s="18"/>
      <c r="X951" s="86"/>
      <c r="AO951" s="86"/>
      <c r="BN951" s="85"/>
    </row>
    <row r="952">
      <c r="A952" s="18"/>
      <c r="X952" s="86"/>
      <c r="AO952" s="86"/>
      <c r="BN952" s="85"/>
    </row>
    <row r="953">
      <c r="A953" s="18"/>
      <c r="X953" s="86"/>
      <c r="AO953" s="86"/>
      <c r="BN953" s="85"/>
    </row>
    <row r="954">
      <c r="A954" s="18"/>
      <c r="X954" s="86"/>
      <c r="AO954" s="86"/>
      <c r="BN954" s="85"/>
    </row>
    <row r="955">
      <c r="A955" s="18"/>
      <c r="X955" s="86"/>
      <c r="AO955" s="86"/>
      <c r="BN955" s="85"/>
    </row>
    <row r="956">
      <c r="A956" s="18"/>
      <c r="X956" s="86"/>
      <c r="AO956" s="86"/>
      <c r="BN956" s="85"/>
    </row>
    <row r="957">
      <c r="A957" s="18"/>
      <c r="X957" s="86"/>
      <c r="AO957" s="86"/>
      <c r="BN957" s="85"/>
    </row>
    <row r="958">
      <c r="A958" s="18"/>
      <c r="X958" s="86"/>
      <c r="AO958" s="86"/>
      <c r="BN958" s="85"/>
    </row>
    <row r="959">
      <c r="A959" s="18"/>
      <c r="X959" s="86"/>
      <c r="AO959" s="86"/>
      <c r="BN959" s="85"/>
    </row>
    <row r="960">
      <c r="A960" s="18"/>
      <c r="X960" s="86"/>
      <c r="AO960" s="86"/>
      <c r="BN960" s="85"/>
    </row>
    <row r="961">
      <c r="A961" s="18"/>
      <c r="X961" s="86"/>
      <c r="AO961" s="86"/>
      <c r="BN961" s="85"/>
    </row>
    <row r="962">
      <c r="A962" s="18"/>
      <c r="X962" s="86"/>
      <c r="AO962" s="86"/>
      <c r="BN962" s="85"/>
    </row>
    <row r="963">
      <c r="A963" s="18"/>
      <c r="X963" s="86"/>
      <c r="AO963" s="86"/>
      <c r="BN963" s="85"/>
    </row>
    <row r="964">
      <c r="A964" s="18"/>
      <c r="X964" s="86"/>
      <c r="AO964" s="86"/>
      <c r="BN964" s="85"/>
    </row>
    <row r="965">
      <c r="A965" s="18"/>
      <c r="X965" s="86"/>
      <c r="AO965" s="86"/>
      <c r="BN965" s="85"/>
    </row>
    <row r="966">
      <c r="A966" s="18"/>
      <c r="X966" s="86"/>
      <c r="AO966" s="86"/>
      <c r="BN966" s="85"/>
    </row>
    <row r="967">
      <c r="A967" s="18"/>
      <c r="X967" s="86"/>
      <c r="AO967" s="86"/>
      <c r="BN967" s="85"/>
    </row>
    <row r="968">
      <c r="A968" s="18"/>
      <c r="X968" s="86"/>
      <c r="AO968" s="86"/>
      <c r="BN968" s="85"/>
    </row>
    <row r="969">
      <c r="A969" s="18"/>
      <c r="X969" s="86"/>
      <c r="AO969" s="86"/>
      <c r="BN969" s="85"/>
    </row>
    <row r="970">
      <c r="A970" s="18"/>
      <c r="X970" s="86"/>
      <c r="AO970" s="86"/>
      <c r="BN970" s="85"/>
    </row>
    <row r="971">
      <c r="A971" s="18"/>
      <c r="X971" s="86"/>
      <c r="AO971" s="86"/>
      <c r="BN971" s="85"/>
    </row>
    <row r="972">
      <c r="A972" s="18"/>
      <c r="X972" s="86"/>
      <c r="AO972" s="86"/>
      <c r="BN972" s="85"/>
    </row>
    <row r="973">
      <c r="A973" s="18"/>
      <c r="X973" s="86"/>
      <c r="AO973" s="86"/>
      <c r="BN973" s="85"/>
    </row>
    <row r="974">
      <c r="A974" s="18"/>
      <c r="X974" s="86"/>
      <c r="AO974" s="86"/>
      <c r="BN974" s="85"/>
    </row>
    <row r="975">
      <c r="A975" s="18"/>
      <c r="X975" s="86"/>
      <c r="AO975" s="86"/>
      <c r="BN975" s="85"/>
    </row>
    <row r="976">
      <c r="A976" s="18"/>
      <c r="X976" s="86"/>
      <c r="AO976" s="86"/>
      <c r="BN976" s="85"/>
    </row>
    <row r="977">
      <c r="A977" s="18"/>
      <c r="X977" s="86"/>
      <c r="AO977" s="86"/>
      <c r="BN977" s="85"/>
    </row>
    <row r="978">
      <c r="A978" s="18"/>
      <c r="X978" s="86"/>
      <c r="AO978" s="86"/>
      <c r="BN978" s="85"/>
    </row>
    <row r="979">
      <c r="A979" s="18"/>
      <c r="X979" s="86"/>
      <c r="AO979" s="86"/>
      <c r="BN979" s="85"/>
    </row>
    <row r="980">
      <c r="A980" s="18"/>
      <c r="X980" s="86"/>
      <c r="AO980" s="86"/>
      <c r="BN980" s="85"/>
    </row>
    <row r="981">
      <c r="A981" s="18"/>
      <c r="X981" s="86"/>
      <c r="AO981" s="86"/>
      <c r="BN981" s="85"/>
    </row>
    <row r="982">
      <c r="A982" s="18"/>
      <c r="X982" s="86"/>
      <c r="AO982" s="86"/>
      <c r="BN982" s="85"/>
    </row>
    <row r="983">
      <c r="A983" s="18"/>
      <c r="X983" s="86"/>
      <c r="AO983" s="86"/>
      <c r="BN983" s="85"/>
    </row>
    <row r="984">
      <c r="A984" s="18"/>
      <c r="X984" s="86"/>
      <c r="AO984" s="86"/>
      <c r="BN984" s="85"/>
    </row>
    <row r="985">
      <c r="A985" s="18"/>
      <c r="X985" s="86"/>
      <c r="AO985" s="86"/>
      <c r="BN985" s="85"/>
    </row>
    <row r="986">
      <c r="A986" s="18"/>
      <c r="X986" s="86"/>
      <c r="AO986" s="86"/>
      <c r="BN986" s="85"/>
    </row>
    <row r="987">
      <c r="A987" s="18"/>
      <c r="X987" s="86"/>
      <c r="AO987" s="86"/>
      <c r="BN987" s="85"/>
    </row>
    <row r="988">
      <c r="A988" s="18"/>
      <c r="X988" s="86"/>
      <c r="AO988" s="86"/>
      <c r="BN988" s="85"/>
    </row>
    <row r="989">
      <c r="A989" s="18"/>
      <c r="X989" s="86"/>
      <c r="AO989" s="86"/>
      <c r="BN989" s="85"/>
    </row>
    <row r="990">
      <c r="A990" s="18"/>
      <c r="X990" s="86"/>
      <c r="AO990" s="86"/>
      <c r="BN990" s="85"/>
    </row>
    <row r="991">
      <c r="A991" s="18"/>
      <c r="X991" s="86"/>
      <c r="AO991" s="86"/>
      <c r="BN991" s="85"/>
    </row>
    <row r="992">
      <c r="A992" s="18"/>
      <c r="X992" s="86"/>
      <c r="AO992" s="86"/>
      <c r="BN992" s="85"/>
    </row>
    <row r="993">
      <c r="X993" s="86"/>
      <c r="AO993" s="86"/>
      <c r="BN993" s="85"/>
    </row>
    <row r="994">
      <c r="X994" s="86"/>
      <c r="AO994" s="86"/>
      <c r="BN994" s="85"/>
    </row>
    <row r="995">
      <c r="X995" s="86"/>
      <c r="AO995" s="86"/>
      <c r="BN995" s="85"/>
    </row>
    <row r="996">
      <c r="X996" s="86"/>
      <c r="AO996" s="86"/>
      <c r="BN996" s="85"/>
    </row>
    <row r="997">
      <c r="X997" s="86"/>
      <c r="AO997" s="86"/>
      <c r="BN997" s="85"/>
    </row>
    <row r="998">
      <c r="X998" s="86"/>
      <c r="AO998" s="86"/>
      <c r="BN998" s="85"/>
    </row>
    <row r="999">
      <c r="X999" s="86"/>
      <c r="AO999" s="86"/>
      <c r="BN999" s="85"/>
    </row>
    <row r="1000">
      <c r="X1000" s="86"/>
      <c r="AO1000" s="86"/>
      <c r="BN1000" s="85"/>
    </row>
  </sheetData>
  <mergeCells count="3">
    <mergeCell ref="C1:X1"/>
    <mergeCell ref="Y1:AO1"/>
    <mergeCell ref="AP1:BN1"/>
  </mergeCells>
  <conditionalFormatting sqref="B3:B5 B7:B8 B10:B30">
    <cfRule type="cellIs" dxfId="2" priority="1" operator="greaterThanOrEqual">
      <formula>10</formula>
    </cfRule>
  </conditionalFormatting>
  <conditionalFormatting sqref="B3:B5 B7:B8 B10:B30">
    <cfRule type="cellIs" dxfId="3" priority="2" operator="between">
      <formula>10</formula>
      <formula>5</formula>
    </cfRule>
  </conditionalFormatting>
  <conditionalFormatting sqref="B3:B5 B7:B8 B10:B30">
    <cfRule type="cellIs" dxfId="4" priority="3" operator="lessThan">
      <formula>5</formula>
    </cfRule>
  </conditionalFormatting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13"/>
    <col customWidth="1" min="2" max="2" width="4.75"/>
    <col customWidth="1" min="3" max="3" width="3.0"/>
    <col customWidth="1" min="4" max="9" width="1.88"/>
    <col customWidth="1" min="10" max="10" width="2.88"/>
    <col customWidth="1" min="11" max="11" width="2.75"/>
    <col customWidth="1" min="12" max="23" width="2.88"/>
    <col customWidth="1" min="24" max="25" width="3.0"/>
    <col customWidth="1" min="26" max="33" width="1.88"/>
    <col customWidth="1" min="34" max="34" width="2.88"/>
    <col customWidth="1" min="35" max="35" width="2.75"/>
    <col customWidth="1" min="36" max="40" width="2.88"/>
    <col customWidth="1" min="41" max="42" width="3.0"/>
    <col customWidth="1" min="43" max="50" width="1.88"/>
    <col customWidth="1" min="51" max="51" width="2.88"/>
    <col customWidth="1" min="52" max="52" width="2.75"/>
    <col customWidth="1" min="53" max="65" width="2.88"/>
    <col customWidth="1" min="66" max="66" width="3.0"/>
  </cols>
  <sheetData>
    <row r="1">
      <c r="A1" s="18"/>
      <c r="B1" s="76"/>
      <c r="C1" s="77" t="s">
        <v>165</v>
      </c>
      <c r="X1" s="78"/>
      <c r="Y1" s="79" t="s">
        <v>8</v>
      </c>
      <c r="AO1" s="78"/>
      <c r="AP1" s="80" t="s">
        <v>166</v>
      </c>
      <c r="BN1" s="78"/>
      <c r="BO1" s="18"/>
      <c r="BP1" s="18"/>
      <c r="BQ1" s="18"/>
      <c r="BR1" s="18"/>
      <c r="BS1" s="18"/>
      <c r="BT1" s="18"/>
      <c r="BU1" s="18"/>
      <c r="BV1" s="18"/>
      <c r="BW1" s="18"/>
    </row>
    <row r="2">
      <c r="A2" s="81" t="s">
        <v>167</v>
      </c>
      <c r="B2" s="82" t="s">
        <v>168</v>
      </c>
      <c r="C2" s="83">
        <v>3.0</v>
      </c>
      <c r="D2" s="83">
        <v>4.0</v>
      </c>
      <c r="E2" s="83">
        <v>5.0</v>
      </c>
      <c r="F2" s="83">
        <v>6.0</v>
      </c>
      <c r="G2" s="83">
        <v>7.0</v>
      </c>
      <c r="H2" s="83">
        <v>8.0</v>
      </c>
      <c r="I2" s="83">
        <v>9.0</v>
      </c>
      <c r="J2" s="83">
        <v>10.0</v>
      </c>
      <c r="K2" s="83">
        <v>11.0</v>
      </c>
      <c r="L2" s="83">
        <v>12.0</v>
      </c>
      <c r="M2" s="83">
        <v>13.0</v>
      </c>
      <c r="N2" s="83">
        <v>14.0</v>
      </c>
      <c r="O2" s="83">
        <v>15.0</v>
      </c>
      <c r="P2" s="83">
        <v>16.0</v>
      </c>
      <c r="Q2" s="83">
        <v>17.0</v>
      </c>
      <c r="R2" s="83">
        <v>18.0</v>
      </c>
      <c r="S2" s="83">
        <v>19.0</v>
      </c>
      <c r="T2" s="83">
        <v>20.0</v>
      </c>
      <c r="U2" s="83">
        <v>21.0</v>
      </c>
      <c r="V2" s="83">
        <v>22.0</v>
      </c>
      <c r="W2" s="83">
        <v>23.0</v>
      </c>
      <c r="X2" s="84">
        <v>24.0</v>
      </c>
      <c r="Y2" s="83">
        <v>1.0</v>
      </c>
      <c r="Z2" s="83">
        <v>2.0</v>
      </c>
      <c r="AA2" s="83">
        <v>3.0</v>
      </c>
      <c r="AB2" s="83">
        <v>4.0</v>
      </c>
      <c r="AC2" s="83">
        <v>5.0</v>
      </c>
      <c r="AD2" s="83">
        <v>6.0</v>
      </c>
      <c r="AE2" s="83">
        <v>7.0</v>
      </c>
      <c r="AF2" s="83">
        <v>8.0</v>
      </c>
      <c r="AG2" s="83">
        <v>9.0</v>
      </c>
      <c r="AH2" s="83">
        <v>10.0</v>
      </c>
      <c r="AI2" s="83">
        <v>11.0</v>
      </c>
      <c r="AJ2" s="83">
        <v>13.0</v>
      </c>
      <c r="AK2" s="83">
        <v>14.0</v>
      </c>
      <c r="AL2" s="83">
        <v>15.0</v>
      </c>
      <c r="AM2" s="83">
        <v>16.0</v>
      </c>
      <c r="AN2" s="83">
        <v>17.0</v>
      </c>
      <c r="AO2" s="84">
        <v>18.0</v>
      </c>
      <c r="AP2" s="83">
        <v>1.0</v>
      </c>
      <c r="AQ2" s="83">
        <v>2.0</v>
      </c>
      <c r="AR2" s="83">
        <v>3.0</v>
      </c>
      <c r="AS2" s="83">
        <v>4.0</v>
      </c>
      <c r="AT2" s="83">
        <v>5.0</v>
      </c>
      <c r="AU2" s="83">
        <v>6.0</v>
      </c>
      <c r="AV2" s="83">
        <v>7.0</v>
      </c>
      <c r="AW2" s="83">
        <v>8.0</v>
      </c>
      <c r="AX2" s="83">
        <v>9.0</v>
      </c>
      <c r="AY2" s="83">
        <v>10.0</v>
      </c>
      <c r="AZ2" s="83">
        <v>11.0</v>
      </c>
      <c r="BA2" s="83">
        <v>12.0</v>
      </c>
      <c r="BB2" s="83">
        <v>13.0</v>
      </c>
      <c r="BC2" s="83">
        <v>14.0</v>
      </c>
      <c r="BD2" s="83">
        <v>15.0</v>
      </c>
      <c r="BE2" s="83">
        <v>16.0</v>
      </c>
      <c r="BF2" s="83">
        <v>17.0</v>
      </c>
      <c r="BG2" s="83">
        <v>18.0</v>
      </c>
      <c r="BH2" s="83">
        <v>19.0</v>
      </c>
      <c r="BI2" s="83">
        <v>20.0</v>
      </c>
      <c r="BJ2" s="83">
        <v>21.0</v>
      </c>
      <c r="BK2" s="83">
        <v>22.0</v>
      </c>
      <c r="BL2" s="83">
        <v>23.0</v>
      </c>
      <c r="BM2" s="83">
        <v>24.0</v>
      </c>
      <c r="BN2" s="84">
        <v>25.0</v>
      </c>
      <c r="BO2" s="18"/>
      <c r="BP2" s="18"/>
      <c r="BQ2" s="18"/>
      <c r="BR2" s="18"/>
      <c r="BS2" s="18"/>
      <c r="BT2" s="18"/>
      <c r="BU2" s="18"/>
      <c r="BV2" s="18"/>
      <c r="BW2" s="18"/>
    </row>
    <row r="3">
      <c r="A3" s="20" t="s">
        <v>67</v>
      </c>
      <c r="B3" s="85">
        <f t="shared" ref="B3:B29" si="1">sum(C3:BN3)</f>
        <v>0</v>
      </c>
      <c r="X3" s="86"/>
      <c r="AO3" s="86"/>
      <c r="BN3" s="86"/>
    </row>
    <row r="4">
      <c r="A4" s="20" t="s">
        <v>70</v>
      </c>
      <c r="B4" s="85">
        <f t="shared" si="1"/>
        <v>0</v>
      </c>
      <c r="X4" s="86"/>
      <c r="AO4" s="86"/>
      <c r="BN4" s="86"/>
    </row>
    <row r="5">
      <c r="A5" s="20" t="s">
        <v>73</v>
      </c>
      <c r="B5" s="85">
        <f t="shared" si="1"/>
        <v>0</v>
      </c>
      <c r="X5" s="86"/>
      <c r="AO5" s="86"/>
      <c r="BN5" s="86"/>
    </row>
    <row r="6">
      <c r="A6" s="20" t="s">
        <v>76</v>
      </c>
      <c r="B6" s="85">
        <f t="shared" si="1"/>
        <v>0</v>
      </c>
      <c r="X6" s="86"/>
      <c r="AO6" s="86"/>
      <c r="BN6" s="86"/>
    </row>
    <row r="7">
      <c r="A7" s="125" t="s">
        <v>79</v>
      </c>
      <c r="B7" s="85">
        <f t="shared" si="1"/>
        <v>0</v>
      </c>
      <c r="X7" s="86"/>
      <c r="AO7" s="86"/>
      <c r="BN7" s="86"/>
    </row>
    <row r="8">
      <c r="A8" s="90" t="s">
        <v>82</v>
      </c>
      <c r="B8" s="96">
        <f t="shared" si="1"/>
        <v>0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3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3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3"/>
      <c r="BO8" s="91"/>
      <c r="BP8" s="91"/>
      <c r="BQ8" s="91"/>
      <c r="BR8" s="91"/>
      <c r="BS8" s="91"/>
      <c r="BT8" s="91"/>
      <c r="BU8" s="91"/>
      <c r="BV8" s="91"/>
      <c r="BW8" s="91"/>
    </row>
    <row r="9">
      <c r="A9" s="27" t="s">
        <v>88</v>
      </c>
      <c r="B9" s="85">
        <f t="shared" si="1"/>
        <v>0</v>
      </c>
      <c r="X9" s="86"/>
      <c r="AO9" s="86"/>
      <c r="BN9" s="86"/>
    </row>
    <row r="10">
      <c r="A10" s="27" t="s">
        <v>91</v>
      </c>
      <c r="B10" s="85">
        <f t="shared" si="1"/>
        <v>0</v>
      </c>
      <c r="X10" s="86"/>
      <c r="AO10" s="86"/>
      <c r="BN10" s="86"/>
    </row>
    <row r="11">
      <c r="A11" s="95" t="s">
        <v>94</v>
      </c>
      <c r="B11" s="96">
        <f t="shared" si="1"/>
        <v>0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3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3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3"/>
      <c r="BO11" s="91"/>
      <c r="BP11" s="91"/>
      <c r="BQ11" s="91"/>
      <c r="BR11" s="91"/>
      <c r="BS11" s="91"/>
      <c r="BT11" s="91"/>
      <c r="BU11" s="91"/>
      <c r="BV11" s="91"/>
      <c r="BW11" s="91"/>
    </row>
    <row r="12">
      <c r="A12" s="30" t="s">
        <v>98</v>
      </c>
      <c r="B12" s="85">
        <f t="shared" si="1"/>
        <v>0</v>
      </c>
      <c r="X12" s="86"/>
      <c r="AO12" s="86"/>
      <c r="BN12" s="86"/>
    </row>
    <row r="13">
      <c r="A13" s="30" t="s">
        <v>101</v>
      </c>
      <c r="B13" s="85">
        <f t="shared" si="1"/>
        <v>0</v>
      </c>
      <c r="X13" s="86"/>
      <c r="AO13" s="86"/>
      <c r="BN13" s="86"/>
    </row>
    <row r="14">
      <c r="A14" s="30" t="s">
        <v>104</v>
      </c>
      <c r="B14" s="85">
        <f t="shared" si="1"/>
        <v>0</v>
      </c>
      <c r="X14" s="86"/>
      <c r="AO14" s="86"/>
      <c r="BN14" s="86"/>
    </row>
    <row r="15">
      <c r="A15" s="30" t="s">
        <v>107</v>
      </c>
      <c r="B15" s="85">
        <f t="shared" si="1"/>
        <v>0</v>
      </c>
      <c r="X15" s="86"/>
      <c r="AO15" s="86"/>
      <c r="BN15" s="86"/>
    </row>
    <row r="16">
      <c r="A16" s="30" t="s">
        <v>110</v>
      </c>
      <c r="B16" s="85">
        <f t="shared" si="1"/>
        <v>0</v>
      </c>
      <c r="X16" s="86"/>
      <c r="AO16" s="86"/>
      <c r="BN16" s="86"/>
    </row>
    <row r="17">
      <c r="A17" s="98" t="s">
        <v>113</v>
      </c>
      <c r="B17" s="96">
        <f t="shared" si="1"/>
        <v>0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3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3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3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4" t="s">
        <v>117</v>
      </c>
      <c r="B18" s="85">
        <f t="shared" si="1"/>
        <v>0</v>
      </c>
      <c r="X18" s="86"/>
      <c r="AO18" s="86"/>
      <c r="BN18" s="86"/>
    </row>
    <row r="19">
      <c r="A19" s="34" t="s">
        <v>120</v>
      </c>
      <c r="B19" s="85">
        <f t="shared" si="1"/>
        <v>0</v>
      </c>
      <c r="X19" s="86"/>
      <c r="AO19" s="86"/>
      <c r="BN19" s="86"/>
    </row>
    <row r="20">
      <c r="A20" s="34" t="s">
        <v>123</v>
      </c>
      <c r="B20" s="85">
        <f t="shared" si="1"/>
        <v>0</v>
      </c>
      <c r="X20" s="86"/>
      <c r="AO20" s="86"/>
      <c r="BN20" s="86"/>
    </row>
    <row r="21">
      <c r="A21" s="34" t="s">
        <v>126</v>
      </c>
      <c r="B21" s="85">
        <f t="shared" si="1"/>
        <v>0</v>
      </c>
      <c r="X21" s="86"/>
      <c r="AO21" s="86"/>
      <c r="BN21" s="86"/>
    </row>
    <row r="22">
      <c r="A22" s="34" t="s">
        <v>129</v>
      </c>
      <c r="B22" s="85">
        <f t="shared" si="1"/>
        <v>0</v>
      </c>
      <c r="X22" s="86"/>
      <c r="AO22" s="86"/>
      <c r="BN22" s="86"/>
    </row>
    <row r="23">
      <c r="A23" s="34" t="s">
        <v>132</v>
      </c>
      <c r="B23" s="85">
        <f t="shared" si="1"/>
        <v>0</v>
      </c>
      <c r="X23" s="86"/>
      <c r="AO23" s="86"/>
      <c r="BN23" s="86"/>
    </row>
    <row r="24">
      <c r="A24" s="99" t="s">
        <v>135</v>
      </c>
      <c r="B24" s="96">
        <f t="shared" si="1"/>
        <v>0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3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3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3"/>
      <c r="BO24" s="91"/>
      <c r="BP24" s="91"/>
      <c r="BQ24" s="91"/>
      <c r="BR24" s="91"/>
      <c r="BS24" s="91"/>
      <c r="BT24" s="91"/>
      <c r="BU24" s="91"/>
      <c r="BV24" s="91"/>
      <c r="BW24" s="91"/>
    </row>
    <row r="25">
      <c r="A25" s="38" t="s">
        <v>139</v>
      </c>
      <c r="B25" s="85">
        <f t="shared" si="1"/>
        <v>0</v>
      </c>
      <c r="X25" s="86"/>
      <c r="AO25" s="86"/>
      <c r="BN25" s="86"/>
    </row>
    <row r="26">
      <c r="A26" s="38" t="s">
        <v>142</v>
      </c>
      <c r="B26" s="85">
        <f t="shared" si="1"/>
        <v>0</v>
      </c>
      <c r="X26" s="86"/>
      <c r="AO26" s="86"/>
      <c r="BN26" s="86"/>
    </row>
    <row r="27">
      <c r="A27" s="38" t="s">
        <v>145</v>
      </c>
      <c r="B27" s="85">
        <f t="shared" si="1"/>
        <v>0</v>
      </c>
      <c r="X27" s="86"/>
      <c r="AO27" s="86"/>
      <c r="BN27" s="86"/>
    </row>
    <row r="28">
      <c r="A28" s="38" t="s">
        <v>148</v>
      </c>
      <c r="B28" s="85">
        <f t="shared" si="1"/>
        <v>0</v>
      </c>
      <c r="X28" s="86"/>
      <c r="AO28" s="86"/>
      <c r="BN28" s="86"/>
    </row>
    <row r="29">
      <c r="A29" s="100" t="s">
        <v>151</v>
      </c>
      <c r="B29" s="96">
        <f t="shared" si="1"/>
        <v>0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3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3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3"/>
      <c r="BO29" s="91"/>
      <c r="BP29" s="91"/>
      <c r="BQ29" s="91"/>
      <c r="BR29" s="91"/>
      <c r="BS29" s="91"/>
      <c r="BT29" s="91"/>
      <c r="BU29" s="91"/>
      <c r="BV29" s="91"/>
      <c r="BW29" s="91"/>
    </row>
    <row r="66">
      <c r="A66" s="18"/>
      <c r="X66" s="86"/>
      <c r="AO66" s="86"/>
    </row>
    <row r="67">
      <c r="A67" s="18"/>
      <c r="X67" s="86"/>
      <c r="AO67" s="86"/>
    </row>
    <row r="68">
      <c r="A68" s="18"/>
      <c r="X68" s="86"/>
      <c r="AO68" s="86"/>
    </row>
    <row r="69">
      <c r="A69" s="18"/>
      <c r="X69" s="86"/>
      <c r="AO69" s="86"/>
    </row>
    <row r="70">
      <c r="A70" s="18"/>
      <c r="X70" s="86"/>
      <c r="AO70" s="86"/>
    </row>
    <row r="71">
      <c r="A71" s="18"/>
      <c r="X71" s="86"/>
      <c r="AO71" s="86"/>
    </row>
    <row r="72">
      <c r="A72" s="18"/>
      <c r="X72" s="86"/>
      <c r="AO72" s="86"/>
    </row>
    <row r="73">
      <c r="A73" s="18"/>
      <c r="X73" s="86"/>
      <c r="AO73" s="86"/>
    </row>
    <row r="74">
      <c r="A74" s="18"/>
      <c r="X74" s="86"/>
      <c r="AO74" s="86"/>
    </row>
    <row r="75">
      <c r="A75" s="18"/>
      <c r="X75" s="86"/>
      <c r="AO75" s="86"/>
    </row>
    <row r="76">
      <c r="A76" s="18"/>
      <c r="X76" s="86"/>
      <c r="AO76" s="86"/>
    </row>
    <row r="77">
      <c r="A77" s="18"/>
      <c r="X77" s="86"/>
      <c r="AO77" s="86"/>
    </row>
    <row r="78">
      <c r="A78" s="18"/>
      <c r="X78" s="86"/>
      <c r="AO78" s="86"/>
    </row>
    <row r="79">
      <c r="A79" s="18"/>
      <c r="X79" s="86"/>
      <c r="AO79" s="86"/>
    </row>
    <row r="80">
      <c r="A80" s="18"/>
      <c r="X80" s="86"/>
      <c r="AO80" s="86"/>
    </row>
    <row r="81">
      <c r="A81" s="18"/>
      <c r="X81" s="86"/>
      <c r="AO81" s="86"/>
    </row>
    <row r="82">
      <c r="A82" s="18"/>
      <c r="X82" s="86"/>
      <c r="AO82" s="86"/>
    </row>
    <row r="83">
      <c r="A83" s="18"/>
      <c r="X83" s="86"/>
      <c r="AO83" s="86"/>
    </row>
    <row r="84">
      <c r="A84" s="18"/>
      <c r="X84" s="86"/>
      <c r="AO84" s="86"/>
    </row>
    <row r="85">
      <c r="A85" s="18"/>
      <c r="X85" s="86"/>
      <c r="AO85" s="86"/>
    </row>
    <row r="86">
      <c r="A86" s="18"/>
      <c r="X86" s="86"/>
      <c r="AO86" s="86"/>
    </row>
    <row r="87">
      <c r="A87" s="18"/>
      <c r="X87" s="86"/>
      <c r="AO87" s="86"/>
    </row>
    <row r="88">
      <c r="A88" s="18"/>
      <c r="X88" s="86"/>
      <c r="AO88" s="86"/>
    </row>
    <row r="89">
      <c r="A89" s="18"/>
      <c r="X89" s="86"/>
      <c r="AO89" s="86"/>
    </row>
    <row r="90">
      <c r="A90" s="18"/>
      <c r="X90" s="86"/>
      <c r="AO90" s="86"/>
    </row>
    <row r="91">
      <c r="A91" s="18"/>
      <c r="X91" s="86"/>
      <c r="AO91" s="86"/>
    </row>
    <row r="92">
      <c r="A92" s="18"/>
      <c r="X92" s="86"/>
      <c r="AO92" s="86"/>
    </row>
    <row r="93">
      <c r="A93" s="18"/>
      <c r="X93" s="86"/>
      <c r="AO93" s="86"/>
    </row>
    <row r="94">
      <c r="A94" s="18"/>
      <c r="X94" s="86"/>
      <c r="AO94" s="86"/>
    </row>
    <row r="95">
      <c r="A95" s="18"/>
      <c r="X95" s="86"/>
      <c r="AO95" s="86"/>
    </row>
    <row r="96">
      <c r="A96" s="18"/>
      <c r="X96" s="86"/>
      <c r="AO96" s="86"/>
    </row>
    <row r="97">
      <c r="A97" s="18"/>
      <c r="X97" s="86"/>
      <c r="AO97" s="86"/>
    </row>
    <row r="98">
      <c r="A98" s="18"/>
      <c r="X98" s="86"/>
      <c r="AO98" s="86"/>
    </row>
    <row r="99">
      <c r="A99" s="18"/>
      <c r="X99" s="86"/>
      <c r="AO99" s="86"/>
    </row>
    <row r="100">
      <c r="A100" s="18"/>
      <c r="X100" s="86"/>
      <c r="AO100" s="86"/>
    </row>
    <row r="101">
      <c r="A101" s="18"/>
      <c r="X101" s="86"/>
      <c r="AO101" s="86"/>
    </row>
    <row r="102">
      <c r="A102" s="18"/>
      <c r="X102" s="86"/>
      <c r="AO102" s="86"/>
    </row>
    <row r="103">
      <c r="A103" s="18"/>
      <c r="X103" s="86"/>
      <c r="AO103" s="86"/>
    </row>
    <row r="104">
      <c r="A104" s="18"/>
      <c r="X104" s="86"/>
      <c r="AO104" s="86"/>
    </row>
    <row r="105">
      <c r="A105" s="18"/>
      <c r="X105" s="86"/>
      <c r="AO105" s="86"/>
    </row>
    <row r="106">
      <c r="A106" s="18"/>
      <c r="X106" s="86"/>
      <c r="AO106" s="86"/>
    </row>
    <row r="107">
      <c r="A107" s="18"/>
      <c r="X107" s="86"/>
      <c r="AO107" s="86"/>
    </row>
    <row r="108">
      <c r="A108" s="18"/>
      <c r="X108" s="86"/>
      <c r="AO108" s="86"/>
    </row>
    <row r="109">
      <c r="A109" s="18"/>
      <c r="X109" s="86"/>
      <c r="AO109" s="86"/>
    </row>
    <row r="110">
      <c r="A110" s="18"/>
      <c r="X110" s="86"/>
      <c r="AO110" s="86"/>
    </row>
    <row r="111">
      <c r="A111" s="18"/>
      <c r="X111" s="86"/>
      <c r="AO111" s="86"/>
    </row>
    <row r="112">
      <c r="A112" s="18"/>
      <c r="X112" s="86"/>
      <c r="AO112" s="86"/>
    </row>
    <row r="113">
      <c r="A113" s="18"/>
      <c r="X113" s="86"/>
      <c r="AO113" s="86"/>
    </row>
    <row r="114">
      <c r="A114" s="18"/>
      <c r="X114" s="86"/>
      <c r="AO114" s="86"/>
    </row>
    <row r="115">
      <c r="A115" s="18"/>
      <c r="X115" s="86"/>
      <c r="AO115" s="86"/>
    </row>
    <row r="116">
      <c r="A116" s="18"/>
      <c r="X116" s="86"/>
      <c r="AO116" s="86"/>
    </row>
    <row r="117">
      <c r="A117" s="18"/>
      <c r="X117" s="86"/>
      <c r="AO117" s="86"/>
    </row>
    <row r="118">
      <c r="A118" s="18"/>
      <c r="X118" s="86"/>
      <c r="AO118" s="86"/>
    </row>
    <row r="119">
      <c r="A119" s="18"/>
      <c r="X119" s="86"/>
      <c r="AO119" s="86"/>
    </row>
    <row r="120">
      <c r="A120" s="18"/>
      <c r="X120" s="86"/>
      <c r="AO120" s="86"/>
    </row>
    <row r="121">
      <c r="A121" s="18"/>
      <c r="X121" s="86"/>
      <c r="AO121" s="86"/>
    </row>
    <row r="122">
      <c r="A122" s="18"/>
      <c r="X122" s="86"/>
      <c r="AO122" s="86"/>
    </row>
    <row r="123">
      <c r="A123" s="18"/>
      <c r="X123" s="86"/>
      <c r="AO123" s="86"/>
    </row>
    <row r="124">
      <c r="A124" s="18"/>
      <c r="X124" s="86"/>
      <c r="AO124" s="86"/>
    </row>
    <row r="125">
      <c r="A125" s="18"/>
      <c r="X125" s="86"/>
      <c r="AO125" s="86"/>
    </row>
    <row r="126">
      <c r="A126" s="18"/>
      <c r="X126" s="86"/>
      <c r="AO126" s="86"/>
    </row>
    <row r="127">
      <c r="A127" s="18"/>
      <c r="X127" s="86"/>
      <c r="AO127" s="86"/>
    </row>
    <row r="128">
      <c r="A128" s="18"/>
      <c r="X128" s="86"/>
      <c r="AO128" s="86"/>
    </row>
    <row r="129">
      <c r="A129" s="18"/>
      <c r="X129" s="86"/>
      <c r="AO129" s="86"/>
    </row>
    <row r="130">
      <c r="A130" s="18"/>
      <c r="X130" s="86"/>
      <c r="AO130" s="86"/>
    </row>
    <row r="131">
      <c r="A131" s="18"/>
      <c r="X131" s="86"/>
      <c r="AO131" s="86"/>
    </row>
    <row r="132">
      <c r="A132" s="18"/>
      <c r="X132" s="86"/>
      <c r="AO132" s="86"/>
    </row>
    <row r="133">
      <c r="A133" s="18"/>
      <c r="X133" s="86"/>
      <c r="AO133" s="86"/>
    </row>
    <row r="134">
      <c r="A134" s="18"/>
      <c r="X134" s="86"/>
      <c r="AO134" s="86"/>
    </row>
    <row r="135">
      <c r="A135" s="18"/>
      <c r="X135" s="86"/>
      <c r="AO135" s="86"/>
    </row>
    <row r="136">
      <c r="A136" s="18"/>
      <c r="X136" s="86"/>
      <c r="AO136" s="86"/>
    </row>
    <row r="137">
      <c r="A137" s="18"/>
      <c r="X137" s="86"/>
      <c r="AO137" s="86"/>
    </row>
    <row r="138">
      <c r="A138" s="18"/>
      <c r="X138" s="86"/>
      <c r="AO138" s="86"/>
    </row>
    <row r="139">
      <c r="A139" s="18"/>
      <c r="X139" s="86"/>
      <c r="AO139" s="86"/>
    </row>
    <row r="140">
      <c r="A140" s="18"/>
      <c r="X140" s="86"/>
      <c r="AO140" s="86"/>
    </row>
    <row r="141">
      <c r="A141" s="18"/>
      <c r="X141" s="86"/>
      <c r="AO141" s="86"/>
    </row>
    <row r="142">
      <c r="A142" s="18"/>
      <c r="X142" s="86"/>
      <c r="AO142" s="86"/>
    </row>
    <row r="143">
      <c r="A143" s="18"/>
      <c r="X143" s="86"/>
      <c r="AO143" s="86"/>
    </row>
    <row r="144">
      <c r="A144" s="18"/>
      <c r="X144" s="86"/>
      <c r="AO144" s="86"/>
    </row>
    <row r="145">
      <c r="A145" s="18"/>
      <c r="X145" s="86"/>
      <c r="AO145" s="86"/>
    </row>
    <row r="146">
      <c r="A146" s="18"/>
      <c r="X146" s="86"/>
      <c r="AO146" s="86"/>
    </row>
    <row r="147">
      <c r="A147" s="18"/>
      <c r="X147" s="86"/>
      <c r="AO147" s="86"/>
    </row>
    <row r="148">
      <c r="A148" s="18"/>
      <c r="X148" s="86"/>
      <c r="AO148" s="86"/>
    </row>
    <row r="149">
      <c r="A149" s="18"/>
      <c r="X149" s="86"/>
      <c r="AO149" s="86"/>
    </row>
    <row r="150">
      <c r="A150" s="18"/>
      <c r="X150" s="86"/>
      <c r="AO150" s="86"/>
    </row>
    <row r="151">
      <c r="A151" s="18"/>
      <c r="X151" s="86"/>
      <c r="AO151" s="86"/>
    </row>
    <row r="152">
      <c r="A152" s="18"/>
      <c r="X152" s="86"/>
      <c r="AO152" s="86"/>
    </row>
    <row r="153">
      <c r="A153" s="18"/>
      <c r="X153" s="86"/>
      <c r="AO153" s="86"/>
    </row>
    <row r="154">
      <c r="A154" s="18"/>
      <c r="X154" s="86"/>
      <c r="AO154" s="86"/>
    </row>
    <row r="155">
      <c r="A155" s="18"/>
      <c r="X155" s="86"/>
      <c r="AO155" s="86"/>
    </row>
    <row r="156">
      <c r="A156" s="18"/>
      <c r="X156" s="86"/>
      <c r="AO156" s="86"/>
    </row>
    <row r="157">
      <c r="A157" s="18"/>
      <c r="X157" s="86"/>
      <c r="AO157" s="86"/>
    </row>
    <row r="158">
      <c r="A158" s="18"/>
      <c r="X158" s="86"/>
      <c r="AO158" s="86"/>
    </row>
    <row r="159">
      <c r="A159" s="18"/>
      <c r="X159" s="86"/>
      <c r="AO159" s="86"/>
    </row>
    <row r="160">
      <c r="A160" s="18"/>
      <c r="X160" s="86"/>
      <c r="AO160" s="86"/>
    </row>
    <row r="161">
      <c r="A161" s="18"/>
      <c r="X161" s="86"/>
      <c r="AO161" s="86"/>
    </row>
    <row r="162">
      <c r="A162" s="18"/>
      <c r="X162" s="86"/>
      <c r="AO162" s="86"/>
    </row>
    <row r="163">
      <c r="A163" s="18"/>
      <c r="X163" s="86"/>
      <c r="AO163" s="86"/>
    </row>
    <row r="164">
      <c r="A164" s="18"/>
      <c r="X164" s="86"/>
      <c r="AO164" s="86"/>
    </row>
    <row r="165">
      <c r="A165" s="18"/>
      <c r="X165" s="86"/>
      <c r="AO165" s="86"/>
    </row>
    <row r="166">
      <c r="A166" s="18"/>
      <c r="X166" s="86"/>
      <c r="AO166" s="86"/>
    </row>
    <row r="167">
      <c r="A167" s="18"/>
      <c r="X167" s="86"/>
      <c r="AO167" s="86"/>
    </row>
    <row r="168">
      <c r="A168" s="18"/>
      <c r="X168" s="86"/>
      <c r="AO168" s="86"/>
    </row>
    <row r="169">
      <c r="A169" s="18"/>
      <c r="X169" s="86"/>
      <c r="AO169" s="86"/>
    </row>
    <row r="170">
      <c r="A170" s="18"/>
      <c r="X170" s="86"/>
      <c r="AO170" s="86"/>
    </row>
    <row r="171">
      <c r="A171" s="18"/>
      <c r="X171" s="86"/>
      <c r="AO171" s="86"/>
    </row>
    <row r="172">
      <c r="A172" s="18"/>
      <c r="X172" s="86"/>
      <c r="AO172" s="86"/>
    </row>
    <row r="173">
      <c r="A173" s="18"/>
      <c r="X173" s="86"/>
      <c r="AO173" s="86"/>
    </row>
    <row r="174">
      <c r="A174" s="18"/>
      <c r="X174" s="86"/>
      <c r="AO174" s="86"/>
    </row>
    <row r="175">
      <c r="A175" s="18"/>
      <c r="X175" s="86"/>
      <c r="AO175" s="86"/>
    </row>
    <row r="176">
      <c r="A176" s="18"/>
      <c r="X176" s="86"/>
      <c r="AO176" s="86"/>
    </row>
    <row r="177">
      <c r="A177" s="18"/>
      <c r="X177" s="86"/>
      <c r="AO177" s="86"/>
    </row>
    <row r="178">
      <c r="A178" s="18"/>
      <c r="X178" s="86"/>
      <c r="AO178" s="86"/>
    </row>
    <row r="179">
      <c r="A179" s="18"/>
      <c r="X179" s="86"/>
      <c r="AO179" s="86"/>
    </row>
    <row r="180">
      <c r="A180" s="18"/>
      <c r="X180" s="86"/>
      <c r="AO180" s="86"/>
    </row>
    <row r="181">
      <c r="A181" s="18"/>
      <c r="X181" s="86"/>
      <c r="AO181" s="86"/>
    </row>
    <row r="182">
      <c r="A182" s="18"/>
      <c r="X182" s="86"/>
      <c r="AO182" s="86"/>
    </row>
    <row r="183">
      <c r="A183" s="18"/>
      <c r="X183" s="86"/>
      <c r="AO183" s="86"/>
    </row>
    <row r="184">
      <c r="A184" s="18"/>
      <c r="X184" s="86"/>
      <c r="AO184" s="86"/>
    </row>
    <row r="185">
      <c r="A185" s="18"/>
      <c r="X185" s="86"/>
      <c r="AO185" s="86"/>
    </row>
    <row r="186">
      <c r="A186" s="18"/>
      <c r="X186" s="86"/>
      <c r="AO186" s="86"/>
    </row>
    <row r="187">
      <c r="A187" s="18"/>
      <c r="X187" s="86"/>
      <c r="AO187" s="86"/>
    </row>
    <row r="188">
      <c r="A188" s="18"/>
      <c r="X188" s="86"/>
      <c r="AO188" s="86"/>
    </row>
    <row r="189">
      <c r="A189" s="18"/>
      <c r="X189" s="86"/>
      <c r="AO189" s="86"/>
    </row>
    <row r="190">
      <c r="A190" s="18"/>
      <c r="X190" s="86"/>
      <c r="AO190" s="86"/>
    </row>
    <row r="191">
      <c r="A191" s="18"/>
      <c r="X191" s="86"/>
      <c r="AO191" s="86"/>
    </row>
    <row r="192">
      <c r="A192" s="18"/>
      <c r="X192" s="86"/>
      <c r="AO192" s="86"/>
    </row>
    <row r="193">
      <c r="A193" s="18"/>
      <c r="X193" s="86"/>
      <c r="AO193" s="86"/>
    </row>
    <row r="194">
      <c r="A194" s="18"/>
      <c r="X194" s="86"/>
      <c r="AO194" s="86"/>
    </row>
    <row r="195">
      <c r="A195" s="18"/>
      <c r="X195" s="86"/>
      <c r="AO195" s="86"/>
    </row>
    <row r="196">
      <c r="A196" s="18"/>
      <c r="X196" s="86"/>
      <c r="AO196" s="86"/>
    </row>
    <row r="197">
      <c r="A197" s="18"/>
      <c r="X197" s="86"/>
      <c r="AO197" s="86"/>
    </row>
    <row r="198">
      <c r="A198" s="18"/>
      <c r="X198" s="86"/>
      <c r="AO198" s="86"/>
    </row>
    <row r="199">
      <c r="A199" s="18"/>
      <c r="X199" s="86"/>
      <c r="AO199" s="86"/>
    </row>
    <row r="200">
      <c r="A200" s="18"/>
      <c r="X200" s="86"/>
      <c r="AO200" s="86"/>
    </row>
    <row r="201">
      <c r="A201" s="18"/>
      <c r="X201" s="86"/>
      <c r="AO201" s="86"/>
    </row>
    <row r="202">
      <c r="A202" s="18"/>
      <c r="X202" s="86"/>
      <c r="AO202" s="86"/>
    </row>
    <row r="203">
      <c r="A203" s="18"/>
      <c r="X203" s="86"/>
      <c r="AO203" s="86"/>
    </row>
    <row r="204">
      <c r="A204" s="18"/>
      <c r="X204" s="86"/>
      <c r="AO204" s="86"/>
    </row>
    <row r="205">
      <c r="A205" s="18"/>
      <c r="X205" s="86"/>
      <c r="AO205" s="86"/>
    </row>
    <row r="206">
      <c r="A206" s="18"/>
      <c r="X206" s="86"/>
      <c r="AO206" s="86"/>
    </row>
    <row r="207">
      <c r="A207" s="18"/>
      <c r="X207" s="86"/>
      <c r="AO207" s="86"/>
    </row>
    <row r="208">
      <c r="A208" s="18"/>
      <c r="X208" s="86"/>
      <c r="AO208" s="86"/>
    </row>
    <row r="209">
      <c r="A209" s="18"/>
      <c r="X209" s="86"/>
      <c r="AO209" s="86"/>
    </row>
    <row r="210">
      <c r="A210" s="18"/>
      <c r="X210" s="86"/>
      <c r="AO210" s="86"/>
    </row>
    <row r="211">
      <c r="A211" s="18"/>
      <c r="X211" s="86"/>
      <c r="AO211" s="86"/>
    </row>
    <row r="212">
      <c r="A212" s="18"/>
      <c r="X212" s="86"/>
      <c r="AO212" s="86"/>
    </row>
    <row r="213">
      <c r="A213" s="18"/>
      <c r="X213" s="86"/>
      <c r="AO213" s="86"/>
    </row>
    <row r="214">
      <c r="A214" s="18"/>
      <c r="X214" s="86"/>
      <c r="AO214" s="86"/>
    </row>
    <row r="215">
      <c r="A215" s="18"/>
      <c r="X215" s="86"/>
      <c r="AO215" s="86"/>
    </row>
    <row r="216">
      <c r="A216" s="18"/>
      <c r="X216" s="86"/>
      <c r="AO216" s="86"/>
    </row>
    <row r="217">
      <c r="A217" s="18"/>
      <c r="X217" s="86"/>
      <c r="AO217" s="86"/>
    </row>
    <row r="218">
      <c r="A218" s="18"/>
      <c r="X218" s="86"/>
      <c r="AO218" s="86"/>
    </row>
    <row r="219">
      <c r="A219" s="18"/>
      <c r="X219" s="86"/>
      <c r="AO219" s="86"/>
    </row>
    <row r="220">
      <c r="A220" s="18"/>
      <c r="X220" s="86"/>
      <c r="AO220" s="86"/>
    </row>
    <row r="221">
      <c r="A221" s="18"/>
      <c r="X221" s="86"/>
      <c r="AO221" s="86"/>
    </row>
    <row r="222">
      <c r="A222" s="18"/>
      <c r="X222" s="86"/>
      <c r="AO222" s="86"/>
    </row>
    <row r="223">
      <c r="A223" s="18"/>
      <c r="X223" s="86"/>
      <c r="AO223" s="86"/>
    </row>
    <row r="224">
      <c r="A224" s="18"/>
      <c r="X224" s="86"/>
      <c r="AO224" s="86"/>
    </row>
    <row r="225">
      <c r="A225" s="18"/>
      <c r="X225" s="86"/>
      <c r="AO225" s="86"/>
    </row>
    <row r="226">
      <c r="A226" s="18"/>
      <c r="X226" s="86"/>
      <c r="AO226" s="86"/>
    </row>
    <row r="227">
      <c r="A227" s="18"/>
      <c r="X227" s="86"/>
      <c r="AO227" s="86"/>
    </row>
    <row r="228">
      <c r="A228" s="18"/>
      <c r="X228" s="86"/>
      <c r="AO228" s="86"/>
    </row>
    <row r="229">
      <c r="A229" s="18"/>
      <c r="X229" s="86"/>
      <c r="AO229" s="86"/>
    </row>
    <row r="230">
      <c r="A230" s="18"/>
      <c r="X230" s="86"/>
      <c r="AO230" s="86"/>
    </row>
    <row r="231">
      <c r="A231" s="18"/>
      <c r="X231" s="86"/>
      <c r="AO231" s="86"/>
    </row>
    <row r="232">
      <c r="A232" s="18"/>
      <c r="X232" s="86"/>
      <c r="AO232" s="86"/>
    </row>
    <row r="233">
      <c r="A233" s="18"/>
      <c r="X233" s="86"/>
      <c r="AO233" s="86"/>
    </row>
    <row r="234">
      <c r="A234" s="18"/>
      <c r="X234" s="86"/>
      <c r="AO234" s="86"/>
    </row>
    <row r="235">
      <c r="A235" s="18"/>
      <c r="X235" s="86"/>
      <c r="AO235" s="86"/>
    </row>
    <row r="236">
      <c r="A236" s="18"/>
      <c r="X236" s="86"/>
      <c r="AO236" s="86"/>
    </row>
    <row r="237">
      <c r="A237" s="18"/>
      <c r="X237" s="86"/>
      <c r="AO237" s="86"/>
    </row>
    <row r="238">
      <c r="A238" s="18"/>
      <c r="X238" s="86"/>
      <c r="AO238" s="86"/>
    </row>
    <row r="239">
      <c r="A239" s="18"/>
      <c r="X239" s="86"/>
      <c r="AO239" s="86"/>
    </row>
    <row r="240">
      <c r="A240" s="18"/>
      <c r="X240" s="86"/>
      <c r="AO240" s="86"/>
    </row>
    <row r="241">
      <c r="A241" s="18"/>
      <c r="X241" s="86"/>
      <c r="AO241" s="86"/>
    </row>
    <row r="242">
      <c r="A242" s="18"/>
      <c r="X242" s="86"/>
      <c r="AO242" s="86"/>
    </row>
    <row r="243">
      <c r="A243" s="18"/>
      <c r="X243" s="86"/>
      <c r="AO243" s="86"/>
    </row>
    <row r="244">
      <c r="A244" s="18"/>
      <c r="X244" s="86"/>
      <c r="AO244" s="86"/>
    </row>
    <row r="245">
      <c r="A245" s="18"/>
      <c r="X245" s="86"/>
      <c r="AO245" s="86"/>
    </row>
    <row r="246">
      <c r="A246" s="18"/>
      <c r="X246" s="86"/>
      <c r="AO246" s="86"/>
    </row>
    <row r="247">
      <c r="A247" s="18"/>
      <c r="X247" s="86"/>
      <c r="AO247" s="86"/>
    </row>
    <row r="248">
      <c r="A248" s="18"/>
      <c r="X248" s="86"/>
      <c r="AO248" s="86"/>
    </row>
    <row r="249">
      <c r="A249" s="18"/>
      <c r="X249" s="86"/>
      <c r="AO249" s="86"/>
    </row>
    <row r="250">
      <c r="A250" s="18"/>
      <c r="X250" s="86"/>
      <c r="AO250" s="86"/>
    </row>
    <row r="251">
      <c r="A251" s="18"/>
      <c r="X251" s="86"/>
      <c r="AO251" s="86"/>
    </row>
    <row r="252">
      <c r="A252" s="18"/>
      <c r="X252" s="86"/>
      <c r="AO252" s="86"/>
    </row>
    <row r="253">
      <c r="A253" s="18"/>
      <c r="X253" s="86"/>
      <c r="AO253" s="86"/>
    </row>
    <row r="254">
      <c r="A254" s="18"/>
      <c r="X254" s="86"/>
      <c r="AO254" s="86"/>
    </row>
    <row r="255">
      <c r="A255" s="18"/>
      <c r="X255" s="86"/>
      <c r="AO255" s="86"/>
    </row>
    <row r="256">
      <c r="A256" s="18"/>
      <c r="X256" s="86"/>
      <c r="AO256" s="86"/>
    </row>
    <row r="257">
      <c r="A257" s="18"/>
      <c r="X257" s="86"/>
      <c r="AO257" s="86"/>
    </row>
    <row r="258">
      <c r="A258" s="18"/>
      <c r="X258" s="86"/>
      <c r="AO258" s="86"/>
    </row>
    <row r="259">
      <c r="A259" s="18"/>
      <c r="X259" s="86"/>
      <c r="AO259" s="86"/>
    </row>
    <row r="260">
      <c r="A260" s="18"/>
      <c r="X260" s="86"/>
      <c r="AO260" s="86"/>
    </row>
    <row r="261">
      <c r="A261" s="18"/>
      <c r="X261" s="86"/>
      <c r="AO261" s="86"/>
    </row>
    <row r="262">
      <c r="A262" s="18"/>
      <c r="X262" s="86"/>
      <c r="AO262" s="86"/>
    </row>
    <row r="263">
      <c r="A263" s="18"/>
      <c r="X263" s="86"/>
      <c r="AO263" s="86"/>
    </row>
    <row r="264">
      <c r="A264" s="18"/>
      <c r="X264" s="86"/>
      <c r="AO264" s="86"/>
    </row>
    <row r="265">
      <c r="A265" s="18"/>
      <c r="X265" s="86"/>
      <c r="AO265" s="86"/>
    </row>
    <row r="266">
      <c r="A266" s="18"/>
      <c r="X266" s="86"/>
      <c r="AO266" s="86"/>
    </row>
    <row r="267">
      <c r="A267" s="18"/>
      <c r="X267" s="86"/>
      <c r="AO267" s="86"/>
    </row>
    <row r="268">
      <c r="A268" s="18"/>
      <c r="X268" s="86"/>
      <c r="AO268" s="86"/>
    </row>
    <row r="269">
      <c r="A269" s="18"/>
      <c r="X269" s="86"/>
      <c r="AO269" s="86"/>
    </row>
    <row r="270">
      <c r="A270" s="18"/>
      <c r="X270" s="86"/>
      <c r="AO270" s="86"/>
    </row>
    <row r="271">
      <c r="A271" s="18"/>
      <c r="X271" s="86"/>
      <c r="AO271" s="86"/>
    </row>
    <row r="272">
      <c r="A272" s="18"/>
      <c r="X272" s="86"/>
      <c r="AO272" s="86"/>
    </row>
    <row r="273">
      <c r="A273" s="18"/>
      <c r="X273" s="86"/>
      <c r="AO273" s="86"/>
    </row>
    <row r="274">
      <c r="A274" s="18"/>
      <c r="X274" s="86"/>
      <c r="AO274" s="86"/>
    </row>
    <row r="275">
      <c r="A275" s="18"/>
      <c r="X275" s="86"/>
      <c r="AO275" s="86"/>
    </row>
    <row r="276">
      <c r="A276" s="18"/>
      <c r="X276" s="86"/>
      <c r="AO276" s="86"/>
    </row>
    <row r="277">
      <c r="A277" s="18"/>
      <c r="X277" s="86"/>
      <c r="AO277" s="86"/>
    </row>
    <row r="278">
      <c r="A278" s="18"/>
      <c r="X278" s="86"/>
      <c r="AO278" s="86"/>
    </row>
    <row r="279">
      <c r="A279" s="18"/>
      <c r="X279" s="86"/>
      <c r="AO279" s="86"/>
    </row>
    <row r="280">
      <c r="A280" s="18"/>
      <c r="X280" s="86"/>
      <c r="AO280" s="86"/>
    </row>
    <row r="281">
      <c r="A281" s="18"/>
      <c r="X281" s="86"/>
      <c r="AO281" s="86"/>
    </row>
    <row r="282">
      <c r="A282" s="18"/>
      <c r="X282" s="86"/>
      <c r="AO282" s="86"/>
    </row>
    <row r="283">
      <c r="A283" s="18"/>
      <c r="X283" s="86"/>
      <c r="AO283" s="86"/>
    </row>
    <row r="284">
      <c r="A284" s="18"/>
      <c r="X284" s="86"/>
      <c r="AO284" s="86"/>
    </row>
    <row r="285">
      <c r="A285" s="18"/>
      <c r="X285" s="86"/>
      <c r="AO285" s="86"/>
    </row>
    <row r="286">
      <c r="A286" s="18"/>
      <c r="X286" s="86"/>
      <c r="AO286" s="86"/>
    </row>
    <row r="287">
      <c r="A287" s="18"/>
      <c r="X287" s="86"/>
      <c r="AO287" s="86"/>
    </row>
    <row r="288">
      <c r="A288" s="18"/>
      <c r="X288" s="86"/>
      <c r="AO288" s="86"/>
    </row>
    <row r="289">
      <c r="A289" s="18"/>
      <c r="X289" s="86"/>
      <c r="AO289" s="86"/>
    </row>
    <row r="290">
      <c r="A290" s="18"/>
      <c r="X290" s="86"/>
      <c r="AO290" s="86"/>
    </row>
    <row r="291">
      <c r="A291" s="18"/>
      <c r="X291" s="86"/>
      <c r="AO291" s="86"/>
    </row>
    <row r="292">
      <c r="A292" s="18"/>
      <c r="X292" s="86"/>
      <c r="AO292" s="86"/>
    </row>
    <row r="293">
      <c r="A293" s="18"/>
      <c r="X293" s="86"/>
      <c r="AO293" s="86"/>
    </row>
    <row r="294">
      <c r="A294" s="18"/>
      <c r="X294" s="86"/>
      <c r="AO294" s="86"/>
    </row>
    <row r="295">
      <c r="A295" s="18"/>
      <c r="X295" s="86"/>
      <c r="AO295" s="86"/>
    </row>
    <row r="296">
      <c r="A296" s="18"/>
      <c r="X296" s="86"/>
      <c r="AO296" s="86"/>
    </row>
    <row r="297">
      <c r="A297" s="18"/>
      <c r="X297" s="86"/>
      <c r="AO297" s="86"/>
    </row>
    <row r="298">
      <c r="A298" s="18"/>
      <c r="X298" s="86"/>
      <c r="AO298" s="86"/>
    </row>
    <row r="299">
      <c r="A299" s="18"/>
      <c r="X299" s="86"/>
      <c r="AO299" s="86"/>
    </row>
    <row r="300">
      <c r="A300" s="18"/>
      <c r="X300" s="86"/>
      <c r="AO300" s="86"/>
    </row>
    <row r="301">
      <c r="A301" s="18"/>
      <c r="X301" s="86"/>
      <c r="AO301" s="86"/>
    </row>
    <row r="302">
      <c r="A302" s="18"/>
      <c r="X302" s="86"/>
      <c r="AO302" s="86"/>
    </row>
    <row r="303">
      <c r="A303" s="18"/>
      <c r="X303" s="86"/>
      <c r="AO303" s="86"/>
    </row>
    <row r="304">
      <c r="A304" s="18"/>
      <c r="X304" s="86"/>
      <c r="AO304" s="86"/>
    </row>
    <row r="305">
      <c r="A305" s="18"/>
      <c r="X305" s="86"/>
      <c r="AO305" s="86"/>
    </row>
    <row r="306">
      <c r="A306" s="18"/>
      <c r="X306" s="86"/>
      <c r="AO306" s="86"/>
    </row>
    <row r="307">
      <c r="A307" s="18"/>
      <c r="X307" s="86"/>
      <c r="AO307" s="86"/>
    </row>
    <row r="308">
      <c r="A308" s="18"/>
      <c r="X308" s="86"/>
      <c r="AO308" s="86"/>
    </row>
    <row r="309">
      <c r="A309" s="18"/>
      <c r="X309" s="86"/>
      <c r="AO309" s="86"/>
    </row>
    <row r="310">
      <c r="A310" s="18"/>
      <c r="X310" s="86"/>
      <c r="AO310" s="86"/>
    </row>
    <row r="311">
      <c r="A311" s="18"/>
      <c r="X311" s="86"/>
      <c r="AO311" s="86"/>
    </row>
    <row r="312">
      <c r="A312" s="18"/>
      <c r="X312" s="86"/>
      <c r="AO312" s="86"/>
    </row>
    <row r="313">
      <c r="A313" s="18"/>
      <c r="X313" s="86"/>
      <c r="AO313" s="86"/>
    </row>
    <row r="314">
      <c r="A314" s="18"/>
      <c r="X314" s="86"/>
      <c r="AO314" s="86"/>
    </row>
    <row r="315">
      <c r="A315" s="18"/>
      <c r="X315" s="86"/>
      <c r="AO315" s="86"/>
    </row>
    <row r="316">
      <c r="A316" s="18"/>
      <c r="X316" s="86"/>
      <c r="AO316" s="86"/>
    </row>
    <row r="317">
      <c r="A317" s="18"/>
      <c r="X317" s="86"/>
      <c r="AO317" s="86"/>
    </row>
    <row r="318">
      <c r="A318" s="18"/>
      <c r="X318" s="86"/>
      <c r="AO318" s="86"/>
    </row>
    <row r="319">
      <c r="A319" s="18"/>
      <c r="X319" s="86"/>
      <c r="AO319" s="86"/>
    </row>
    <row r="320">
      <c r="A320" s="18"/>
      <c r="X320" s="86"/>
      <c r="AO320" s="86"/>
    </row>
    <row r="321">
      <c r="A321" s="18"/>
      <c r="X321" s="86"/>
      <c r="AO321" s="86"/>
    </row>
    <row r="322">
      <c r="A322" s="18"/>
      <c r="X322" s="86"/>
      <c r="AO322" s="86"/>
    </row>
    <row r="323">
      <c r="A323" s="18"/>
      <c r="X323" s="86"/>
      <c r="AO323" s="86"/>
    </row>
    <row r="324">
      <c r="A324" s="18"/>
      <c r="X324" s="86"/>
      <c r="AO324" s="86"/>
    </row>
    <row r="325">
      <c r="A325" s="18"/>
      <c r="X325" s="86"/>
      <c r="AO325" s="86"/>
    </row>
    <row r="326">
      <c r="A326" s="18"/>
      <c r="X326" s="86"/>
      <c r="AO326" s="86"/>
    </row>
    <row r="327">
      <c r="A327" s="18"/>
      <c r="X327" s="86"/>
      <c r="AO327" s="86"/>
    </row>
    <row r="328">
      <c r="A328" s="18"/>
      <c r="X328" s="86"/>
      <c r="AO328" s="86"/>
    </row>
    <row r="329">
      <c r="A329" s="18"/>
      <c r="X329" s="86"/>
      <c r="AO329" s="86"/>
    </row>
    <row r="330">
      <c r="A330" s="18"/>
      <c r="X330" s="86"/>
      <c r="AO330" s="86"/>
    </row>
    <row r="331">
      <c r="A331" s="18"/>
      <c r="X331" s="86"/>
      <c r="AO331" s="86"/>
    </row>
    <row r="332">
      <c r="A332" s="18"/>
      <c r="X332" s="86"/>
      <c r="AO332" s="86"/>
    </row>
    <row r="333">
      <c r="A333" s="18"/>
      <c r="X333" s="86"/>
      <c r="AO333" s="86"/>
    </row>
    <row r="334">
      <c r="A334" s="18"/>
      <c r="X334" s="86"/>
      <c r="AO334" s="86"/>
    </row>
    <row r="335">
      <c r="A335" s="18"/>
      <c r="X335" s="86"/>
      <c r="AO335" s="86"/>
    </row>
    <row r="336">
      <c r="A336" s="18"/>
      <c r="X336" s="86"/>
      <c r="AO336" s="86"/>
    </row>
    <row r="337">
      <c r="A337" s="18"/>
      <c r="X337" s="86"/>
      <c r="AO337" s="86"/>
    </row>
    <row r="338">
      <c r="A338" s="18"/>
      <c r="X338" s="86"/>
      <c r="AO338" s="86"/>
    </row>
    <row r="339">
      <c r="A339" s="18"/>
      <c r="X339" s="86"/>
      <c r="AO339" s="86"/>
    </row>
    <row r="340">
      <c r="A340" s="18"/>
      <c r="X340" s="86"/>
      <c r="AO340" s="86"/>
    </row>
    <row r="341">
      <c r="A341" s="18"/>
      <c r="X341" s="86"/>
      <c r="AO341" s="86"/>
    </row>
    <row r="342">
      <c r="A342" s="18"/>
      <c r="X342" s="86"/>
      <c r="AO342" s="86"/>
    </row>
    <row r="343">
      <c r="A343" s="18"/>
      <c r="X343" s="86"/>
      <c r="AO343" s="86"/>
    </row>
    <row r="344">
      <c r="A344" s="18"/>
      <c r="X344" s="86"/>
      <c r="AO344" s="86"/>
    </row>
    <row r="345">
      <c r="A345" s="18"/>
      <c r="X345" s="86"/>
      <c r="AO345" s="86"/>
    </row>
    <row r="346">
      <c r="A346" s="18"/>
      <c r="X346" s="86"/>
      <c r="AO346" s="86"/>
    </row>
    <row r="347">
      <c r="A347" s="18"/>
      <c r="X347" s="86"/>
      <c r="AO347" s="86"/>
    </row>
    <row r="348">
      <c r="A348" s="18"/>
      <c r="X348" s="86"/>
      <c r="AO348" s="86"/>
    </row>
    <row r="349">
      <c r="A349" s="18"/>
      <c r="X349" s="86"/>
      <c r="AO349" s="86"/>
    </row>
    <row r="350">
      <c r="A350" s="18"/>
      <c r="X350" s="86"/>
      <c r="AO350" s="86"/>
    </row>
    <row r="351">
      <c r="A351" s="18"/>
      <c r="X351" s="86"/>
      <c r="AO351" s="86"/>
    </row>
    <row r="352">
      <c r="A352" s="18"/>
      <c r="X352" s="86"/>
      <c r="AO352" s="86"/>
    </row>
    <row r="353">
      <c r="A353" s="18"/>
      <c r="X353" s="86"/>
      <c r="AO353" s="86"/>
    </row>
    <row r="354">
      <c r="A354" s="18"/>
      <c r="X354" s="86"/>
      <c r="AO354" s="86"/>
    </row>
    <row r="355">
      <c r="A355" s="18"/>
      <c r="X355" s="86"/>
      <c r="AO355" s="86"/>
    </row>
    <row r="356">
      <c r="A356" s="18"/>
      <c r="X356" s="86"/>
      <c r="AO356" s="86"/>
    </row>
    <row r="357">
      <c r="A357" s="18"/>
      <c r="X357" s="86"/>
      <c r="AO357" s="86"/>
    </row>
    <row r="358">
      <c r="A358" s="18"/>
      <c r="X358" s="86"/>
      <c r="AO358" s="86"/>
    </row>
    <row r="359">
      <c r="A359" s="18"/>
      <c r="X359" s="86"/>
      <c r="AO359" s="86"/>
    </row>
    <row r="360">
      <c r="A360" s="18"/>
      <c r="X360" s="86"/>
      <c r="AO360" s="86"/>
    </row>
    <row r="361">
      <c r="A361" s="18"/>
      <c r="X361" s="86"/>
      <c r="AO361" s="86"/>
    </row>
    <row r="362">
      <c r="A362" s="18"/>
      <c r="X362" s="86"/>
      <c r="AO362" s="86"/>
    </row>
    <row r="363">
      <c r="A363" s="18"/>
      <c r="X363" s="86"/>
      <c r="AO363" s="86"/>
    </row>
    <row r="364">
      <c r="A364" s="18"/>
      <c r="X364" s="86"/>
      <c r="AO364" s="86"/>
    </row>
    <row r="365">
      <c r="A365" s="18"/>
      <c r="X365" s="86"/>
      <c r="AO365" s="86"/>
    </row>
    <row r="366">
      <c r="A366" s="18"/>
      <c r="X366" s="86"/>
      <c r="AO366" s="86"/>
    </row>
    <row r="367">
      <c r="A367" s="18"/>
      <c r="X367" s="86"/>
      <c r="AO367" s="86"/>
    </row>
    <row r="368">
      <c r="A368" s="18"/>
      <c r="X368" s="86"/>
      <c r="AO368" s="86"/>
    </row>
    <row r="369">
      <c r="A369" s="18"/>
      <c r="X369" s="86"/>
      <c r="AO369" s="86"/>
    </row>
    <row r="370">
      <c r="A370" s="18"/>
      <c r="X370" s="86"/>
      <c r="AO370" s="86"/>
    </row>
    <row r="371">
      <c r="A371" s="18"/>
      <c r="X371" s="86"/>
      <c r="AO371" s="86"/>
    </row>
    <row r="372">
      <c r="A372" s="18"/>
      <c r="X372" s="86"/>
      <c r="AO372" s="86"/>
    </row>
    <row r="373">
      <c r="A373" s="18"/>
      <c r="X373" s="86"/>
      <c r="AO373" s="86"/>
    </row>
    <row r="374">
      <c r="A374" s="18"/>
      <c r="X374" s="86"/>
      <c r="AO374" s="86"/>
    </row>
    <row r="375">
      <c r="A375" s="18"/>
      <c r="X375" s="86"/>
      <c r="AO375" s="86"/>
    </row>
    <row r="376">
      <c r="A376" s="18"/>
      <c r="X376" s="86"/>
      <c r="AO376" s="86"/>
    </row>
    <row r="377">
      <c r="A377" s="18"/>
      <c r="X377" s="86"/>
      <c r="AO377" s="86"/>
    </row>
    <row r="378">
      <c r="A378" s="18"/>
      <c r="X378" s="86"/>
      <c r="AO378" s="86"/>
    </row>
    <row r="379">
      <c r="A379" s="18"/>
      <c r="X379" s="86"/>
      <c r="AO379" s="86"/>
    </row>
    <row r="380">
      <c r="A380" s="18"/>
      <c r="X380" s="86"/>
      <c r="AO380" s="86"/>
    </row>
    <row r="381">
      <c r="A381" s="18"/>
      <c r="X381" s="86"/>
      <c r="AO381" s="86"/>
    </row>
    <row r="382">
      <c r="A382" s="18"/>
      <c r="X382" s="86"/>
      <c r="AO382" s="86"/>
    </row>
    <row r="383">
      <c r="A383" s="18"/>
      <c r="X383" s="86"/>
      <c r="AO383" s="86"/>
    </row>
    <row r="384">
      <c r="A384" s="18"/>
      <c r="X384" s="86"/>
      <c r="AO384" s="86"/>
    </row>
    <row r="385">
      <c r="A385" s="18"/>
      <c r="X385" s="86"/>
      <c r="AO385" s="86"/>
    </row>
    <row r="386">
      <c r="A386" s="18"/>
      <c r="X386" s="86"/>
      <c r="AO386" s="86"/>
    </row>
    <row r="387">
      <c r="A387" s="18"/>
      <c r="X387" s="86"/>
      <c r="AO387" s="86"/>
    </row>
    <row r="388">
      <c r="A388" s="18"/>
      <c r="X388" s="86"/>
      <c r="AO388" s="86"/>
    </row>
    <row r="389">
      <c r="A389" s="18"/>
      <c r="X389" s="86"/>
      <c r="AO389" s="86"/>
    </row>
    <row r="390">
      <c r="A390" s="18"/>
      <c r="X390" s="86"/>
      <c r="AO390" s="86"/>
    </row>
    <row r="391">
      <c r="A391" s="18"/>
      <c r="X391" s="86"/>
      <c r="AO391" s="86"/>
    </row>
    <row r="392">
      <c r="A392" s="18"/>
      <c r="X392" s="86"/>
      <c r="AO392" s="86"/>
    </row>
    <row r="393">
      <c r="A393" s="18"/>
      <c r="X393" s="86"/>
      <c r="AO393" s="86"/>
    </row>
    <row r="394">
      <c r="A394" s="18"/>
      <c r="X394" s="86"/>
      <c r="AO394" s="86"/>
    </row>
    <row r="395">
      <c r="A395" s="18"/>
      <c r="X395" s="86"/>
      <c r="AO395" s="86"/>
    </row>
    <row r="396">
      <c r="A396" s="18"/>
      <c r="X396" s="86"/>
      <c r="AO396" s="86"/>
    </row>
    <row r="397">
      <c r="A397" s="18"/>
      <c r="X397" s="86"/>
      <c r="AO397" s="86"/>
    </row>
    <row r="398">
      <c r="A398" s="18"/>
      <c r="X398" s="86"/>
      <c r="AO398" s="86"/>
    </row>
    <row r="399">
      <c r="A399" s="18"/>
      <c r="X399" s="86"/>
      <c r="AO399" s="86"/>
    </row>
    <row r="400">
      <c r="A400" s="18"/>
      <c r="X400" s="86"/>
      <c r="AO400" s="86"/>
    </row>
    <row r="401">
      <c r="A401" s="18"/>
      <c r="X401" s="86"/>
      <c r="AO401" s="86"/>
    </row>
    <row r="402">
      <c r="A402" s="18"/>
      <c r="X402" s="86"/>
      <c r="AO402" s="86"/>
    </row>
    <row r="403">
      <c r="A403" s="18"/>
      <c r="X403" s="86"/>
      <c r="AO403" s="86"/>
    </row>
    <row r="404">
      <c r="A404" s="18"/>
      <c r="X404" s="86"/>
      <c r="AO404" s="86"/>
    </row>
    <row r="405">
      <c r="A405" s="18"/>
      <c r="X405" s="86"/>
      <c r="AO405" s="86"/>
    </row>
    <row r="406">
      <c r="A406" s="18"/>
      <c r="X406" s="86"/>
      <c r="AO406" s="86"/>
    </row>
    <row r="407">
      <c r="A407" s="18"/>
      <c r="X407" s="86"/>
      <c r="AO407" s="86"/>
    </row>
    <row r="408">
      <c r="A408" s="18"/>
      <c r="X408" s="86"/>
      <c r="AO408" s="86"/>
    </row>
    <row r="409">
      <c r="A409" s="18"/>
      <c r="X409" s="86"/>
      <c r="AO409" s="86"/>
    </row>
    <row r="410">
      <c r="A410" s="18"/>
      <c r="X410" s="86"/>
      <c r="AO410" s="86"/>
    </row>
    <row r="411">
      <c r="A411" s="18"/>
      <c r="X411" s="86"/>
      <c r="AO411" s="86"/>
    </row>
    <row r="412">
      <c r="A412" s="18"/>
      <c r="X412" s="86"/>
      <c r="AO412" s="86"/>
    </row>
    <row r="413">
      <c r="A413" s="18"/>
      <c r="X413" s="86"/>
      <c r="AO413" s="86"/>
    </row>
    <row r="414">
      <c r="A414" s="18"/>
      <c r="X414" s="86"/>
      <c r="AO414" s="86"/>
    </row>
    <row r="415">
      <c r="A415" s="18"/>
      <c r="X415" s="86"/>
      <c r="AO415" s="86"/>
    </row>
    <row r="416">
      <c r="A416" s="18"/>
      <c r="X416" s="86"/>
      <c r="AO416" s="86"/>
    </row>
    <row r="417">
      <c r="A417" s="18"/>
      <c r="X417" s="86"/>
      <c r="AO417" s="86"/>
    </row>
    <row r="418">
      <c r="A418" s="18"/>
      <c r="X418" s="86"/>
      <c r="AO418" s="86"/>
    </row>
    <row r="419">
      <c r="A419" s="18"/>
      <c r="X419" s="86"/>
      <c r="AO419" s="86"/>
    </row>
    <row r="420">
      <c r="A420" s="18"/>
      <c r="X420" s="86"/>
      <c r="AO420" s="86"/>
    </row>
    <row r="421">
      <c r="A421" s="18"/>
      <c r="X421" s="86"/>
      <c r="AO421" s="86"/>
    </row>
    <row r="422">
      <c r="A422" s="18"/>
      <c r="X422" s="86"/>
      <c r="AO422" s="86"/>
    </row>
    <row r="423">
      <c r="A423" s="18"/>
      <c r="X423" s="86"/>
      <c r="AO423" s="86"/>
    </row>
    <row r="424">
      <c r="A424" s="18"/>
      <c r="X424" s="86"/>
      <c r="AO424" s="86"/>
    </row>
    <row r="425">
      <c r="A425" s="18"/>
      <c r="X425" s="86"/>
      <c r="AO425" s="86"/>
    </row>
    <row r="426">
      <c r="A426" s="18"/>
      <c r="X426" s="86"/>
      <c r="AO426" s="86"/>
    </row>
    <row r="427">
      <c r="A427" s="18"/>
      <c r="X427" s="86"/>
      <c r="AO427" s="86"/>
    </row>
    <row r="428">
      <c r="A428" s="18"/>
      <c r="X428" s="86"/>
      <c r="AO428" s="86"/>
    </row>
    <row r="429">
      <c r="A429" s="18"/>
      <c r="X429" s="86"/>
      <c r="AO429" s="86"/>
    </row>
    <row r="430">
      <c r="A430" s="18"/>
      <c r="X430" s="86"/>
      <c r="AO430" s="86"/>
    </row>
    <row r="431">
      <c r="A431" s="18"/>
      <c r="X431" s="86"/>
      <c r="AO431" s="86"/>
    </row>
    <row r="432">
      <c r="A432" s="18"/>
      <c r="X432" s="86"/>
      <c r="AO432" s="86"/>
    </row>
    <row r="433">
      <c r="A433" s="18"/>
      <c r="X433" s="86"/>
      <c r="AO433" s="86"/>
    </row>
    <row r="434">
      <c r="A434" s="18"/>
      <c r="X434" s="86"/>
      <c r="AO434" s="86"/>
    </row>
    <row r="435">
      <c r="A435" s="18"/>
      <c r="X435" s="86"/>
      <c r="AO435" s="86"/>
    </row>
    <row r="436">
      <c r="A436" s="18"/>
      <c r="X436" s="86"/>
      <c r="AO436" s="86"/>
    </row>
    <row r="437">
      <c r="A437" s="18"/>
      <c r="X437" s="86"/>
      <c r="AO437" s="86"/>
    </row>
    <row r="438">
      <c r="A438" s="18"/>
      <c r="X438" s="86"/>
      <c r="AO438" s="86"/>
    </row>
    <row r="439">
      <c r="A439" s="18"/>
      <c r="X439" s="86"/>
      <c r="AO439" s="86"/>
    </row>
    <row r="440">
      <c r="A440" s="18"/>
      <c r="X440" s="86"/>
      <c r="AO440" s="86"/>
    </row>
    <row r="441">
      <c r="A441" s="18"/>
      <c r="X441" s="86"/>
      <c r="AO441" s="86"/>
    </row>
    <row r="442">
      <c r="A442" s="18"/>
      <c r="X442" s="86"/>
      <c r="AO442" s="86"/>
    </row>
    <row r="443">
      <c r="A443" s="18"/>
      <c r="X443" s="86"/>
      <c r="AO443" s="86"/>
    </row>
    <row r="444">
      <c r="A444" s="18"/>
      <c r="X444" s="86"/>
      <c r="AO444" s="86"/>
    </row>
    <row r="445">
      <c r="A445" s="18"/>
      <c r="X445" s="86"/>
      <c r="AO445" s="86"/>
    </row>
    <row r="446">
      <c r="A446" s="18"/>
      <c r="X446" s="86"/>
      <c r="AO446" s="86"/>
    </row>
    <row r="447">
      <c r="A447" s="18"/>
      <c r="X447" s="86"/>
      <c r="AO447" s="86"/>
    </row>
    <row r="448">
      <c r="A448" s="18"/>
      <c r="X448" s="86"/>
      <c r="AO448" s="86"/>
    </row>
    <row r="449">
      <c r="A449" s="18"/>
      <c r="X449" s="86"/>
      <c r="AO449" s="86"/>
    </row>
    <row r="450">
      <c r="A450" s="18"/>
      <c r="X450" s="86"/>
      <c r="AO450" s="86"/>
    </row>
    <row r="451">
      <c r="A451" s="18"/>
      <c r="X451" s="86"/>
      <c r="AO451" s="86"/>
    </row>
    <row r="452">
      <c r="A452" s="18"/>
      <c r="X452" s="86"/>
      <c r="AO452" s="86"/>
    </row>
    <row r="453">
      <c r="A453" s="18"/>
      <c r="X453" s="86"/>
      <c r="AO453" s="86"/>
    </row>
    <row r="454">
      <c r="A454" s="18"/>
      <c r="X454" s="86"/>
      <c r="AO454" s="86"/>
    </row>
    <row r="455">
      <c r="A455" s="18"/>
      <c r="X455" s="86"/>
      <c r="AO455" s="86"/>
    </row>
    <row r="456">
      <c r="A456" s="18"/>
      <c r="X456" s="86"/>
      <c r="AO456" s="86"/>
    </row>
    <row r="457">
      <c r="A457" s="18"/>
      <c r="X457" s="86"/>
      <c r="AO457" s="86"/>
    </row>
    <row r="458">
      <c r="A458" s="18"/>
      <c r="X458" s="86"/>
      <c r="AO458" s="86"/>
    </row>
    <row r="459">
      <c r="A459" s="18"/>
      <c r="X459" s="86"/>
      <c r="AO459" s="86"/>
    </row>
    <row r="460">
      <c r="A460" s="18"/>
      <c r="X460" s="86"/>
      <c r="AO460" s="86"/>
    </row>
    <row r="461">
      <c r="A461" s="18"/>
      <c r="X461" s="86"/>
      <c r="AO461" s="86"/>
    </row>
    <row r="462">
      <c r="A462" s="18"/>
      <c r="X462" s="86"/>
      <c r="AO462" s="86"/>
    </row>
    <row r="463">
      <c r="A463" s="18"/>
      <c r="X463" s="86"/>
      <c r="AO463" s="86"/>
    </row>
    <row r="464">
      <c r="A464" s="18"/>
      <c r="X464" s="86"/>
      <c r="AO464" s="86"/>
    </row>
    <row r="465">
      <c r="A465" s="18"/>
      <c r="X465" s="86"/>
      <c r="AO465" s="86"/>
    </row>
    <row r="466">
      <c r="A466" s="18"/>
      <c r="X466" s="86"/>
      <c r="AO466" s="86"/>
    </row>
    <row r="467">
      <c r="A467" s="18"/>
      <c r="X467" s="86"/>
      <c r="AO467" s="86"/>
    </row>
    <row r="468">
      <c r="A468" s="18"/>
      <c r="X468" s="86"/>
      <c r="AO468" s="86"/>
    </row>
    <row r="469">
      <c r="A469" s="18"/>
      <c r="X469" s="86"/>
      <c r="AO469" s="86"/>
    </row>
    <row r="470">
      <c r="A470" s="18"/>
      <c r="X470" s="86"/>
      <c r="AO470" s="86"/>
    </row>
    <row r="471">
      <c r="A471" s="18"/>
      <c r="X471" s="86"/>
      <c r="AO471" s="86"/>
    </row>
    <row r="472">
      <c r="A472" s="18"/>
      <c r="X472" s="86"/>
      <c r="AO472" s="86"/>
    </row>
    <row r="473">
      <c r="A473" s="18"/>
      <c r="X473" s="86"/>
      <c r="AO473" s="86"/>
    </row>
    <row r="474">
      <c r="A474" s="18"/>
      <c r="X474" s="86"/>
      <c r="AO474" s="86"/>
    </row>
    <row r="475">
      <c r="A475" s="18"/>
      <c r="X475" s="86"/>
      <c r="AO475" s="86"/>
    </row>
    <row r="476">
      <c r="A476" s="18"/>
      <c r="X476" s="86"/>
      <c r="AO476" s="86"/>
    </row>
    <row r="477">
      <c r="A477" s="18"/>
      <c r="X477" s="86"/>
      <c r="AO477" s="86"/>
    </row>
    <row r="478">
      <c r="A478" s="18"/>
      <c r="X478" s="86"/>
      <c r="AO478" s="86"/>
    </row>
    <row r="479">
      <c r="A479" s="18"/>
      <c r="X479" s="86"/>
      <c r="AO479" s="86"/>
    </row>
    <row r="480">
      <c r="A480" s="18"/>
      <c r="X480" s="86"/>
      <c r="AO480" s="86"/>
    </row>
    <row r="481">
      <c r="A481" s="18"/>
      <c r="X481" s="86"/>
      <c r="AO481" s="86"/>
    </row>
    <row r="482">
      <c r="A482" s="18"/>
      <c r="X482" s="86"/>
      <c r="AO482" s="86"/>
    </row>
    <row r="483">
      <c r="A483" s="18"/>
      <c r="X483" s="86"/>
      <c r="AO483" s="86"/>
    </row>
    <row r="484">
      <c r="A484" s="18"/>
      <c r="X484" s="86"/>
      <c r="AO484" s="86"/>
    </row>
    <row r="485">
      <c r="A485" s="18"/>
      <c r="X485" s="86"/>
      <c r="AO485" s="86"/>
    </row>
    <row r="486">
      <c r="A486" s="18"/>
      <c r="X486" s="86"/>
      <c r="AO486" s="86"/>
    </row>
    <row r="487">
      <c r="A487" s="18"/>
      <c r="X487" s="86"/>
      <c r="AO487" s="86"/>
    </row>
    <row r="488">
      <c r="A488" s="18"/>
      <c r="X488" s="86"/>
      <c r="AO488" s="86"/>
    </row>
    <row r="489">
      <c r="A489" s="18"/>
      <c r="X489" s="86"/>
      <c r="AO489" s="86"/>
    </row>
    <row r="490">
      <c r="A490" s="18"/>
      <c r="X490" s="86"/>
      <c r="AO490" s="86"/>
    </row>
    <row r="491">
      <c r="A491" s="18"/>
      <c r="X491" s="86"/>
      <c r="AO491" s="86"/>
    </row>
    <row r="492">
      <c r="A492" s="18"/>
      <c r="X492" s="86"/>
      <c r="AO492" s="86"/>
    </row>
    <row r="493">
      <c r="A493" s="18"/>
      <c r="X493" s="86"/>
      <c r="AO493" s="86"/>
    </row>
    <row r="494">
      <c r="A494" s="18"/>
      <c r="X494" s="86"/>
      <c r="AO494" s="86"/>
    </row>
    <row r="495">
      <c r="A495" s="18"/>
      <c r="X495" s="86"/>
      <c r="AO495" s="86"/>
    </row>
    <row r="496">
      <c r="A496" s="18"/>
      <c r="X496" s="86"/>
      <c r="AO496" s="86"/>
    </row>
    <row r="497">
      <c r="A497" s="18"/>
      <c r="X497" s="86"/>
      <c r="AO497" s="86"/>
    </row>
    <row r="498">
      <c r="A498" s="18"/>
      <c r="X498" s="86"/>
      <c r="AO498" s="86"/>
    </row>
    <row r="499">
      <c r="A499" s="18"/>
      <c r="X499" s="86"/>
      <c r="AO499" s="86"/>
    </row>
    <row r="500">
      <c r="A500" s="18"/>
      <c r="X500" s="86"/>
      <c r="AO500" s="86"/>
    </row>
    <row r="501">
      <c r="A501" s="18"/>
      <c r="X501" s="86"/>
      <c r="AO501" s="86"/>
    </row>
    <row r="502">
      <c r="A502" s="18"/>
      <c r="X502" s="86"/>
      <c r="AO502" s="86"/>
    </row>
    <row r="503">
      <c r="A503" s="18"/>
      <c r="X503" s="86"/>
      <c r="AO503" s="86"/>
    </row>
    <row r="504">
      <c r="A504" s="18"/>
      <c r="X504" s="86"/>
      <c r="AO504" s="86"/>
    </row>
    <row r="505">
      <c r="A505" s="18"/>
      <c r="X505" s="86"/>
      <c r="AO505" s="86"/>
    </row>
    <row r="506">
      <c r="A506" s="18"/>
      <c r="X506" s="86"/>
      <c r="AO506" s="86"/>
    </row>
    <row r="507">
      <c r="A507" s="18"/>
      <c r="X507" s="86"/>
      <c r="AO507" s="86"/>
    </row>
    <row r="508">
      <c r="A508" s="18"/>
      <c r="X508" s="86"/>
      <c r="AO508" s="86"/>
    </row>
    <row r="509">
      <c r="A509" s="18"/>
      <c r="X509" s="86"/>
      <c r="AO509" s="86"/>
    </row>
    <row r="510">
      <c r="A510" s="18"/>
      <c r="X510" s="86"/>
      <c r="AO510" s="86"/>
    </row>
    <row r="511">
      <c r="A511" s="18"/>
      <c r="X511" s="86"/>
      <c r="AO511" s="86"/>
    </row>
    <row r="512">
      <c r="A512" s="18"/>
      <c r="X512" s="86"/>
      <c r="AO512" s="86"/>
    </row>
    <row r="513">
      <c r="A513" s="18"/>
      <c r="X513" s="86"/>
      <c r="AO513" s="86"/>
    </row>
    <row r="514">
      <c r="A514" s="18"/>
      <c r="X514" s="86"/>
      <c r="AO514" s="86"/>
    </row>
    <row r="515">
      <c r="A515" s="18"/>
      <c r="X515" s="86"/>
      <c r="AO515" s="86"/>
    </row>
    <row r="516">
      <c r="A516" s="18"/>
      <c r="X516" s="86"/>
      <c r="AO516" s="86"/>
    </row>
    <row r="517">
      <c r="A517" s="18"/>
      <c r="X517" s="86"/>
      <c r="AO517" s="86"/>
    </row>
    <row r="518">
      <c r="A518" s="18"/>
      <c r="X518" s="86"/>
      <c r="AO518" s="86"/>
    </row>
    <row r="519">
      <c r="A519" s="18"/>
      <c r="X519" s="86"/>
      <c r="AO519" s="86"/>
    </row>
    <row r="520">
      <c r="A520" s="18"/>
      <c r="X520" s="86"/>
      <c r="AO520" s="86"/>
    </row>
    <row r="521">
      <c r="A521" s="18"/>
      <c r="X521" s="86"/>
      <c r="AO521" s="86"/>
    </row>
    <row r="522">
      <c r="A522" s="18"/>
      <c r="X522" s="86"/>
      <c r="AO522" s="86"/>
    </row>
    <row r="523">
      <c r="A523" s="18"/>
      <c r="X523" s="86"/>
      <c r="AO523" s="86"/>
    </row>
    <row r="524">
      <c r="A524" s="18"/>
      <c r="X524" s="86"/>
      <c r="AO524" s="86"/>
    </row>
    <row r="525">
      <c r="A525" s="18"/>
      <c r="X525" s="86"/>
      <c r="AO525" s="86"/>
    </row>
    <row r="526">
      <c r="A526" s="18"/>
      <c r="X526" s="86"/>
      <c r="AO526" s="86"/>
    </row>
    <row r="527">
      <c r="A527" s="18"/>
      <c r="X527" s="86"/>
      <c r="AO527" s="86"/>
    </row>
    <row r="528">
      <c r="A528" s="18"/>
      <c r="X528" s="86"/>
      <c r="AO528" s="86"/>
    </row>
    <row r="529">
      <c r="A529" s="18"/>
      <c r="X529" s="86"/>
      <c r="AO529" s="86"/>
    </row>
    <row r="530">
      <c r="A530" s="18"/>
      <c r="X530" s="86"/>
      <c r="AO530" s="86"/>
    </row>
    <row r="531">
      <c r="A531" s="18"/>
      <c r="X531" s="86"/>
      <c r="AO531" s="86"/>
    </row>
    <row r="532">
      <c r="A532" s="18"/>
      <c r="X532" s="86"/>
      <c r="AO532" s="86"/>
    </row>
    <row r="533">
      <c r="A533" s="18"/>
      <c r="X533" s="86"/>
      <c r="AO533" s="86"/>
    </row>
    <row r="534">
      <c r="A534" s="18"/>
      <c r="X534" s="86"/>
      <c r="AO534" s="86"/>
    </row>
    <row r="535">
      <c r="A535" s="18"/>
      <c r="X535" s="86"/>
      <c r="AO535" s="86"/>
    </row>
    <row r="536">
      <c r="A536" s="18"/>
      <c r="X536" s="86"/>
      <c r="AO536" s="86"/>
    </row>
    <row r="537">
      <c r="A537" s="18"/>
      <c r="X537" s="86"/>
      <c r="AO537" s="86"/>
    </row>
    <row r="538">
      <c r="A538" s="18"/>
      <c r="X538" s="86"/>
      <c r="AO538" s="86"/>
    </row>
    <row r="539">
      <c r="A539" s="18"/>
      <c r="X539" s="86"/>
      <c r="AO539" s="86"/>
    </row>
    <row r="540">
      <c r="A540" s="18"/>
      <c r="X540" s="86"/>
      <c r="AO540" s="86"/>
    </row>
    <row r="541">
      <c r="A541" s="18"/>
      <c r="X541" s="86"/>
      <c r="AO541" s="86"/>
    </row>
    <row r="542">
      <c r="A542" s="18"/>
      <c r="X542" s="86"/>
      <c r="AO542" s="86"/>
    </row>
    <row r="543">
      <c r="A543" s="18"/>
      <c r="X543" s="86"/>
      <c r="AO543" s="86"/>
    </row>
    <row r="544">
      <c r="A544" s="18"/>
      <c r="X544" s="86"/>
      <c r="AO544" s="86"/>
    </row>
    <row r="545">
      <c r="A545" s="18"/>
      <c r="X545" s="86"/>
      <c r="AO545" s="86"/>
    </row>
    <row r="546">
      <c r="A546" s="18"/>
      <c r="X546" s="86"/>
      <c r="AO546" s="86"/>
    </row>
    <row r="547">
      <c r="A547" s="18"/>
      <c r="X547" s="86"/>
      <c r="AO547" s="86"/>
    </row>
    <row r="548">
      <c r="A548" s="18"/>
      <c r="X548" s="86"/>
      <c r="AO548" s="86"/>
    </row>
    <row r="549">
      <c r="A549" s="18"/>
      <c r="X549" s="86"/>
      <c r="AO549" s="86"/>
    </row>
    <row r="550">
      <c r="A550" s="18"/>
      <c r="X550" s="86"/>
      <c r="AO550" s="86"/>
    </row>
    <row r="551">
      <c r="A551" s="18"/>
      <c r="X551" s="86"/>
      <c r="AO551" s="86"/>
    </row>
    <row r="552">
      <c r="A552" s="18"/>
      <c r="X552" s="86"/>
      <c r="AO552" s="86"/>
    </row>
    <row r="553">
      <c r="A553" s="18"/>
      <c r="X553" s="86"/>
      <c r="AO553" s="86"/>
    </row>
    <row r="554">
      <c r="A554" s="18"/>
      <c r="X554" s="86"/>
      <c r="AO554" s="86"/>
    </row>
    <row r="555">
      <c r="A555" s="18"/>
      <c r="X555" s="86"/>
      <c r="AO555" s="86"/>
    </row>
    <row r="556">
      <c r="A556" s="18"/>
      <c r="X556" s="86"/>
      <c r="AO556" s="86"/>
    </row>
    <row r="557">
      <c r="A557" s="18"/>
      <c r="X557" s="86"/>
      <c r="AO557" s="86"/>
    </row>
    <row r="558">
      <c r="A558" s="18"/>
      <c r="X558" s="86"/>
      <c r="AO558" s="86"/>
    </row>
    <row r="559">
      <c r="A559" s="18"/>
      <c r="X559" s="86"/>
      <c r="AO559" s="86"/>
    </row>
    <row r="560">
      <c r="A560" s="18"/>
      <c r="X560" s="86"/>
      <c r="AO560" s="86"/>
    </row>
    <row r="561">
      <c r="A561" s="18"/>
      <c r="X561" s="86"/>
      <c r="AO561" s="86"/>
    </row>
    <row r="562">
      <c r="A562" s="18"/>
      <c r="X562" s="86"/>
      <c r="AO562" s="86"/>
    </row>
    <row r="563">
      <c r="A563" s="18"/>
      <c r="X563" s="86"/>
      <c r="AO563" s="86"/>
    </row>
    <row r="564">
      <c r="A564" s="18"/>
      <c r="X564" s="86"/>
      <c r="AO564" s="86"/>
    </row>
    <row r="565">
      <c r="A565" s="18"/>
      <c r="X565" s="86"/>
      <c r="AO565" s="86"/>
    </row>
    <row r="566">
      <c r="A566" s="18"/>
      <c r="X566" s="86"/>
      <c r="AO566" s="86"/>
    </row>
    <row r="567">
      <c r="A567" s="18"/>
      <c r="X567" s="86"/>
      <c r="AO567" s="86"/>
    </row>
    <row r="568">
      <c r="A568" s="18"/>
      <c r="X568" s="86"/>
      <c r="AO568" s="86"/>
    </row>
    <row r="569">
      <c r="A569" s="18"/>
      <c r="X569" s="86"/>
      <c r="AO569" s="86"/>
    </row>
    <row r="570">
      <c r="A570" s="18"/>
      <c r="X570" s="86"/>
      <c r="AO570" s="86"/>
    </row>
    <row r="571">
      <c r="A571" s="18"/>
      <c r="X571" s="86"/>
      <c r="AO571" s="86"/>
    </row>
    <row r="572">
      <c r="A572" s="18"/>
      <c r="X572" s="86"/>
      <c r="AO572" s="86"/>
    </row>
    <row r="573">
      <c r="A573" s="18"/>
      <c r="X573" s="86"/>
      <c r="AO573" s="86"/>
    </row>
    <row r="574">
      <c r="A574" s="18"/>
      <c r="X574" s="86"/>
      <c r="AO574" s="86"/>
    </row>
    <row r="575">
      <c r="A575" s="18"/>
      <c r="X575" s="86"/>
      <c r="AO575" s="86"/>
    </row>
    <row r="576">
      <c r="A576" s="18"/>
      <c r="X576" s="86"/>
      <c r="AO576" s="86"/>
    </row>
    <row r="577">
      <c r="A577" s="18"/>
      <c r="X577" s="86"/>
      <c r="AO577" s="86"/>
    </row>
    <row r="578">
      <c r="A578" s="18"/>
      <c r="X578" s="86"/>
      <c r="AO578" s="86"/>
    </row>
    <row r="579">
      <c r="A579" s="18"/>
      <c r="X579" s="86"/>
      <c r="AO579" s="86"/>
    </row>
    <row r="580">
      <c r="A580" s="18"/>
      <c r="X580" s="86"/>
      <c r="AO580" s="86"/>
    </row>
    <row r="581">
      <c r="A581" s="18"/>
      <c r="X581" s="86"/>
      <c r="AO581" s="86"/>
    </row>
    <row r="582">
      <c r="A582" s="18"/>
      <c r="X582" s="86"/>
      <c r="AO582" s="86"/>
    </row>
    <row r="583">
      <c r="A583" s="18"/>
      <c r="X583" s="86"/>
      <c r="AO583" s="86"/>
    </row>
    <row r="584">
      <c r="A584" s="18"/>
      <c r="X584" s="86"/>
      <c r="AO584" s="86"/>
    </row>
    <row r="585">
      <c r="A585" s="18"/>
      <c r="X585" s="86"/>
      <c r="AO585" s="86"/>
    </row>
    <row r="586">
      <c r="A586" s="18"/>
      <c r="X586" s="86"/>
      <c r="AO586" s="86"/>
    </row>
    <row r="587">
      <c r="A587" s="18"/>
      <c r="X587" s="86"/>
      <c r="AO587" s="86"/>
    </row>
    <row r="588">
      <c r="A588" s="18"/>
      <c r="X588" s="86"/>
      <c r="AO588" s="86"/>
    </row>
    <row r="589">
      <c r="A589" s="18"/>
      <c r="X589" s="86"/>
      <c r="AO589" s="86"/>
    </row>
    <row r="590">
      <c r="A590" s="18"/>
      <c r="X590" s="86"/>
      <c r="AO590" s="86"/>
    </row>
    <row r="591">
      <c r="A591" s="18"/>
      <c r="X591" s="86"/>
      <c r="AO591" s="86"/>
    </row>
    <row r="592">
      <c r="A592" s="18"/>
      <c r="X592" s="86"/>
      <c r="AO592" s="86"/>
    </row>
    <row r="593">
      <c r="A593" s="18"/>
      <c r="X593" s="86"/>
      <c r="AO593" s="86"/>
    </row>
    <row r="594">
      <c r="A594" s="18"/>
      <c r="X594" s="86"/>
      <c r="AO594" s="86"/>
    </row>
    <row r="595">
      <c r="A595" s="18"/>
      <c r="X595" s="86"/>
      <c r="AO595" s="86"/>
    </row>
    <row r="596">
      <c r="A596" s="18"/>
      <c r="X596" s="86"/>
      <c r="AO596" s="86"/>
    </row>
    <row r="597">
      <c r="A597" s="18"/>
      <c r="X597" s="86"/>
      <c r="AO597" s="86"/>
    </row>
    <row r="598">
      <c r="A598" s="18"/>
      <c r="X598" s="86"/>
      <c r="AO598" s="86"/>
    </row>
    <row r="599">
      <c r="A599" s="18"/>
      <c r="X599" s="86"/>
      <c r="AO599" s="86"/>
    </row>
    <row r="600">
      <c r="A600" s="18"/>
      <c r="X600" s="86"/>
      <c r="AO600" s="86"/>
    </row>
    <row r="601">
      <c r="A601" s="18"/>
      <c r="X601" s="86"/>
      <c r="AO601" s="86"/>
    </row>
    <row r="602">
      <c r="A602" s="18"/>
      <c r="X602" s="86"/>
      <c r="AO602" s="86"/>
    </row>
    <row r="603">
      <c r="A603" s="18"/>
      <c r="X603" s="86"/>
      <c r="AO603" s="86"/>
    </row>
    <row r="604">
      <c r="A604" s="18"/>
      <c r="X604" s="86"/>
      <c r="AO604" s="86"/>
    </row>
    <row r="605">
      <c r="A605" s="18"/>
      <c r="X605" s="86"/>
      <c r="AO605" s="86"/>
    </row>
    <row r="606">
      <c r="A606" s="18"/>
      <c r="X606" s="86"/>
      <c r="AO606" s="86"/>
    </row>
    <row r="607">
      <c r="A607" s="18"/>
      <c r="X607" s="86"/>
      <c r="AO607" s="86"/>
    </row>
    <row r="608">
      <c r="A608" s="18"/>
      <c r="X608" s="86"/>
      <c r="AO608" s="86"/>
    </row>
    <row r="609">
      <c r="A609" s="18"/>
      <c r="X609" s="86"/>
      <c r="AO609" s="86"/>
    </row>
    <row r="610">
      <c r="A610" s="18"/>
      <c r="X610" s="86"/>
      <c r="AO610" s="86"/>
    </row>
    <row r="611">
      <c r="A611" s="18"/>
      <c r="X611" s="86"/>
      <c r="AO611" s="86"/>
    </row>
    <row r="612">
      <c r="A612" s="18"/>
      <c r="X612" s="86"/>
      <c r="AO612" s="86"/>
    </row>
    <row r="613">
      <c r="A613" s="18"/>
      <c r="X613" s="86"/>
      <c r="AO613" s="86"/>
    </row>
    <row r="614">
      <c r="A614" s="18"/>
      <c r="X614" s="86"/>
      <c r="AO614" s="86"/>
    </row>
    <row r="615">
      <c r="A615" s="18"/>
      <c r="X615" s="86"/>
      <c r="AO615" s="86"/>
    </row>
    <row r="616">
      <c r="A616" s="18"/>
      <c r="X616" s="86"/>
      <c r="AO616" s="86"/>
    </row>
    <row r="617">
      <c r="A617" s="18"/>
      <c r="X617" s="86"/>
      <c r="AO617" s="86"/>
    </row>
    <row r="618">
      <c r="A618" s="18"/>
      <c r="X618" s="86"/>
      <c r="AO618" s="86"/>
    </row>
    <row r="619">
      <c r="A619" s="18"/>
      <c r="X619" s="86"/>
      <c r="AO619" s="86"/>
    </row>
    <row r="620">
      <c r="A620" s="18"/>
      <c r="X620" s="86"/>
      <c r="AO620" s="86"/>
    </row>
    <row r="621">
      <c r="A621" s="18"/>
      <c r="X621" s="86"/>
      <c r="AO621" s="86"/>
    </row>
    <row r="622">
      <c r="A622" s="18"/>
      <c r="X622" s="86"/>
      <c r="AO622" s="86"/>
    </row>
    <row r="623">
      <c r="A623" s="18"/>
      <c r="X623" s="86"/>
      <c r="AO623" s="86"/>
    </row>
    <row r="624">
      <c r="A624" s="18"/>
      <c r="X624" s="86"/>
      <c r="AO624" s="86"/>
    </row>
    <row r="625">
      <c r="A625" s="18"/>
      <c r="X625" s="86"/>
      <c r="AO625" s="86"/>
    </row>
    <row r="626">
      <c r="A626" s="18"/>
      <c r="X626" s="86"/>
      <c r="AO626" s="86"/>
    </row>
    <row r="627">
      <c r="A627" s="18"/>
      <c r="X627" s="86"/>
      <c r="AO627" s="86"/>
    </row>
    <row r="628">
      <c r="A628" s="18"/>
      <c r="X628" s="86"/>
      <c r="AO628" s="86"/>
    </row>
    <row r="629">
      <c r="A629" s="18"/>
      <c r="X629" s="86"/>
      <c r="AO629" s="86"/>
    </row>
    <row r="630">
      <c r="A630" s="18"/>
      <c r="X630" s="86"/>
      <c r="AO630" s="86"/>
    </row>
    <row r="631">
      <c r="A631" s="18"/>
      <c r="X631" s="86"/>
      <c r="AO631" s="86"/>
    </row>
    <row r="632">
      <c r="A632" s="18"/>
      <c r="X632" s="86"/>
      <c r="AO632" s="86"/>
    </row>
    <row r="633">
      <c r="A633" s="18"/>
      <c r="X633" s="86"/>
      <c r="AO633" s="86"/>
    </row>
    <row r="634">
      <c r="A634" s="18"/>
      <c r="X634" s="86"/>
      <c r="AO634" s="86"/>
    </row>
    <row r="635">
      <c r="A635" s="18"/>
      <c r="X635" s="86"/>
      <c r="AO635" s="86"/>
    </row>
    <row r="636">
      <c r="A636" s="18"/>
      <c r="X636" s="86"/>
      <c r="AO636" s="86"/>
    </row>
    <row r="637">
      <c r="A637" s="18"/>
      <c r="X637" s="86"/>
      <c r="AO637" s="86"/>
    </row>
    <row r="638">
      <c r="A638" s="18"/>
      <c r="X638" s="86"/>
      <c r="AO638" s="86"/>
    </row>
    <row r="639">
      <c r="A639" s="18"/>
      <c r="X639" s="86"/>
      <c r="AO639" s="86"/>
    </row>
    <row r="640">
      <c r="A640" s="18"/>
      <c r="X640" s="86"/>
      <c r="AO640" s="86"/>
    </row>
    <row r="641">
      <c r="A641" s="18"/>
      <c r="X641" s="86"/>
      <c r="AO641" s="86"/>
    </row>
    <row r="642">
      <c r="A642" s="18"/>
      <c r="X642" s="86"/>
      <c r="AO642" s="86"/>
    </row>
    <row r="643">
      <c r="A643" s="18"/>
      <c r="X643" s="86"/>
      <c r="AO643" s="86"/>
    </row>
    <row r="644">
      <c r="A644" s="18"/>
      <c r="X644" s="86"/>
      <c r="AO644" s="86"/>
    </row>
    <row r="645">
      <c r="A645" s="18"/>
      <c r="X645" s="86"/>
      <c r="AO645" s="86"/>
    </row>
    <row r="646">
      <c r="A646" s="18"/>
      <c r="X646" s="86"/>
      <c r="AO646" s="86"/>
    </row>
    <row r="647">
      <c r="A647" s="18"/>
      <c r="X647" s="86"/>
      <c r="AO647" s="86"/>
    </row>
    <row r="648">
      <c r="A648" s="18"/>
      <c r="X648" s="86"/>
      <c r="AO648" s="86"/>
    </row>
    <row r="649">
      <c r="A649" s="18"/>
      <c r="X649" s="86"/>
      <c r="AO649" s="86"/>
    </row>
    <row r="650">
      <c r="A650" s="18"/>
      <c r="X650" s="86"/>
      <c r="AO650" s="86"/>
    </row>
    <row r="651">
      <c r="A651" s="18"/>
      <c r="X651" s="86"/>
      <c r="AO651" s="86"/>
    </row>
    <row r="652">
      <c r="A652" s="18"/>
      <c r="X652" s="86"/>
      <c r="AO652" s="86"/>
    </row>
    <row r="653">
      <c r="A653" s="18"/>
      <c r="X653" s="86"/>
      <c r="AO653" s="86"/>
    </row>
    <row r="654">
      <c r="A654" s="18"/>
      <c r="X654" s="86"/>
      <c r="AO654" s="86"/>
    </row>
    <row r="655">
      <c r="A655" s="18"/>
      <c r="X655" s="86"/>
      <c r="AO655" s="86"/>
    </row>
    <row r="656">
      <c r="A656" s="18"/>
      <c r="X656" s="86"/>
      <c r="AO656" s="86"/>
    </row>
    <row r="657">
      <c r="A657" s="18"/>
      <c r="X657" s="86"/>
      <c r="AO657" s="86"/>
    </row>
    <row r="658">
      <c r="A658" s="18"/>
      <c r="X658" s="86"/>
      <c r="AO658" s="86"/>
    </row>
    <row r="659">
      <c r="A659" s="18"/>
      <c r="X659" s="86"/>
      <c r="AO659" s="86"/>
    </row>
    <row r="660">
      <c r="A660" s="18"/>
      <c r="X660" s="86"/>
      <c r="AO660" s="86"/>
    </row>
    <row r="661">
      <c r="A661" s="18"/>
      <c r="X661" s="86"/>
      <c r="AO661" s="86"/>
    </row>
    <row r="662">
      <c r="A662" s="18"/>
      <c r="X662" s="86"/>
      <c r="AO662" s="86"/>
    </row>
    <row r="663">
      <c r="A663" s="18"/>
      <c r="X663" s="86"/>
      <c r="AO663" s="86"/>
    </row>
    <row r="664">
      <c r="A664" s="18"/>
      <c r="X664" s="86"/>
      <c r="AO664" s="86"/>
    </row>
    <row r="665">
      <c r="A665" s="18"/>
      <c r="X665" s="86"/>
      <c r="AO665" s="86"/>
    </row>
    <row r="666">
      <c r="A666" s="18"/>
      <c r="X666" s="86"/>
      <c r="AO666" s="86"/>
    </row>
    <row r="667">
      <c r="A667" s="18"/>
      <c r="X667" s="86"/>
      <c r="AO667" s="86"/>
    </row>
    <row r="668">
      <c r="A668" s="18"/>
      <c r="X668" s="86"/>
      <c r="AO668" s="86"/>
    </row>
    <row r="669">
      <c r="A669" s="18"/>
      <c r="X669" s="86"/>
      <c r="AO669" s="86"/>
    </row>
    <row r="670">
      <c r="A670" s="18"/>
      <c r="X670" s="86"/>
      <c r="AO670" s="86"/>
    </row>
    <row r="671">
      <c r="A671" s="18"/>
      <c r="X671" s="86"/>
      <c r="AO671" s="86"/>
    </row>
    <row r="672">
      <c r="A672" s="18"/>
      <c r="X672" s="86"/>
      <c r="AO672" s="86"/>
    </row>
    <row r="673">
      <c r="A673" s="18"/>
      <c r="X673" s="86"/>
      <c r="AO673" s="86"/>
    </row>
    <row r="674">
      <c r="A674" s="18"/>
      <c r="X674" s="86"/>
      <c r="AO674" s="86"/>
    </row>
    <row r="675">
      <c r="A675" s="18"/>
      <c r="X675" s="86"/>
      <c r="AO675" s="86"/>
    </row>
    <row r="676">
      <c r="A676" s="18"/>
      <c r="X676" s="86"/>
      <c r="AO676" s="86"/>
    </row>
    <row r="677">
      <c r="A677" s="18"/>
      <c r="X677" s="86"/>
      <c r="AO677" s="86"/>
    </row>
    <row r="678">
      <c r="A678" s="18"/>
      <c r="X678" s="86"/>
      <c r="AO678" s="86"/>
    </row>
    <row r="679">
      <c r="A679" s="18"/>
      <c r="X679" s="86"/>
      <c r="AO679" s="86"/>
    </row>
    <row r="680">
      <c r="A680" s="18"/>
      <c r="X680" s="86"/>
      <c r="AO680" s="86"/>
    </row>
    <row r="681">
      <c r="A681" s="18"/>
      <c r="X681" s="86"/>
      <c r="AO681" s="86"/>
    </row>
    <row r="682">
      <c r="A682" s="18"/>
      <c r="X682" s="86"/>
      <c r="AO682" s="86"/>
    </row>
    <row r="683">
      <c r="A683" s="18"/>
      <c r="X683" s="86"/>
      <c r="AO683" s="86"/>
    </row>
    <row r="684">
      <c r="A684" s="18"/>
      <c r="X684" s="86"/>
      <c r="AO684" s="86"/>
    </row>
    <row r="685">
      <c r="A685" s="18"/>
      <c r="X685" s="86"/>
      <c r="AO685" s="86"/>
    </row>
    <row r="686">
      <c r="A686" s="18"/>
      <c r="X686" s="86"/>
      <c r="AO686" s="86"/>
    </row>
    <row r="687">
      <c r="A687" s="18"/>
      <c r="X687" s="86"/>
      <c r="AO687" s="86"/>
    </row>
    <row r="688">
      <c r="A688" s="18"/>
      <c r="X688" s="86"/>
      <c r="AO688" s="86"/>
    </row>
    <row r="689">
      <c r="A689" s="18"/>
      <c r="X689" s="86"/>
      <c r="AO689" s="86"/>
    </row>
    <row r="690">
      <c r="A690" s="18"/>
      <c r="X690" s="86"/>
      <c r="AO690" s="86"/>
    </row>
    <row r="691">
      <c r="A691" s="18"/>
      <c r="X691" s="86"/>
      <c r="AO691" s="86"/>
    </row>
    <row r="692">
      <c r="A692" s="18"/>
      <c r="X692" s="86"/>
      <c r="AO692" s="86"/>
    </row>
    <row r="693">
      <c r="A693" s="18"/>
      <c r="X693" s="86"/>
      <c r="AO693" s="86"/>
    </row>
    <row r="694">
      <c r="A694" s="18"/>
      <c r="X694" s="86"/>
      <c r="AO694" s="86"/>
    </row>
    <row r="695">
      <c r="A695" s="18"/>
      <c r="X695" s="86"/>
      <c r="AO695" s="86"/>
    </row>
    <row r="696">
      <c r="A696" s="18"/>
      <c r="X696" s="86"/>
      <c r="AO696" s="86"/>
    </row>
    <row r="697">
      <c r="A697" s="18"/>
      <c r="X697" s="86"/>
      <c r="AO697" s="86"/>
    </row>
    <row r="698">
      <c r="A698" s="18"/>
      <c r="X698" s="86"/>
      <c r="AO698" s="86"/>
    </row>
    <row r="699">
      <c r="A699" s="18"/>
      <c r="X699" s="86"/>
      <c r="AO699" s="86"/>
    </row>
    <row r="700">
      <c r="A700" s="18"/>
      <c r="X700" s="86"/>
      <c r="AO700" s="86"/>
    </row>
    <row r="701">
      <c r="A701" s="18"/>
      <c r="X701" s="86"/>
      <c r="AO701" s="86"/>
    </row>
    <row r="702">
      <c r="A702" s="18"/>
      <c r="X702" s="86"/>
      <c r="AO702" s="86"/>
    </row>
    <row r="703">
      <c r="A703" s="18"/>
      <c r="X703" s="86"/>
      <c r="AO703" s="86"/>
    </row>
    <row r="704">
      <c r="A704" s="18"/>
      <c r="X704" s="86"/>
      <c r="AO704" s="86"/>
    </row>
    <row r="705">
      <c r="A705" s="18"/>
      <c r="X705" s="86"/>
      <c r="AO705" s="86"/>
    </row>
    <row r="706">
      <c r="A706" s="18"/>
      <c r="X706" s="86"/>
      <c r="AO706" s="86"/>
    </row>
    <row r="707">
      <c r="A707" s="18"/>
      <c r="X707" s="86"/>
      <c r="AO707" s="86"/>
    </row>
    <row r="708">
      <c r="A708" s="18"/>
      <c r="X708" s="86"/>
      <c r="AO708" s="86"/>
    </row>
    <row r="709">
      <c r="A709" s="18"/>
      <c r="X709" s="86"/>
      <c r="AO709" s="86"/>
    </row>
    <row r="710">
      <c r="A710" s="18"/>
      <c r="X710" s="86"/>
      <c r="AO710" s="86"/>
    </row>
    <row r="711">
      <c r="A711" s="18"/>
      <c r="X711" s="86"/>
      <c r="AO711" s="86"/>
    </row>
    <row r="712">
      <c r="A712" s="18"/>
      <c r="X712" s="86"/>
      <c r="AO712" s="86"/>
    </row>
    <row r="713">
      <c r="A713" s="18"/>
      <c r="X713" s="86"/>
      <c r="AO713" s="86"/>
    </row>
    <row r="714">
      <c r="A714" s="18"/>
      <c r="X714" s="86"/>
      <c r="AO714" s="86"/>
    </row>
    <row r="715">
      <c r="A715" s="18"/>
      <c r="X715" s="86"/>
      <c r="AO715" s="86"/>
    </row>
    <row r="716">
      <c r="A716" s="18"/>
      <c r="X716" s="86"/>
      <c r="AO716" s="86"/>
    </row>
    <row r="717">
      <c r="A717" s="18"/>
      <c r="X717" s="86"/>
      <c r="AO717" s="86"/>
    </row>
    <row r="718">
      <c r="A718" s="18"/>
      <c r="X718" s="86"/>
      <c r="AO718" s="86"/>
    </row>
    <row r="719">
      <c r="A719" s="18"/>
      <c r="X719" s="86"/>
      <c r="AO719" s="86"/>
    </row>
    <row r="720">
      <c r="A720" s="18"/>
      <c r="X720" s="86"/>
      <c r="AO720" s="86"/>
    </row>
    <row r="721">
      <c r="A721" s="18"/>
      <c r="X721" s="86"/>
      <c r="AO721" s="86"/>
    </row>
    <row r="722">
      <c r="A722" s="18"/>
      <c r="X722" s="86"/>
      <c r="AO722" s="86"/>
    </row>
    <row r="723">
      <c r="A723" s="18"/>
      <c r="X723" s="86"/>
      <c r="AO723" s="86"/>
    </row>
    <row r="724">
      <c r="A724" s="18"/>
      <c r="X724" s="86"/>
      <c r="AO724" s="86"/>
    </row>
    <row r="725">
      <c r="A725" s="18"/>
      <c r="X725" s="86"/>
      <c r="AO725" s="86"/>
    </row>
    <row r="726">
      <c r="A726" s="18"/>
      <c r="X726" s="86"/>
      <c r="AO726" s="86"/>
    </row>
    <row r="727">
      <c r="A727" s="18"/>
      <c r="X727" s="86"/>
      <c r="AO727" s="86"/>
    </row>
    <row r="728">
      <c r="A728" s="18"/>
      <c r="X728" s="86"/>
      <c r="AO728" s="86"/>
    </row>
    <row r="729">
      <c r="A729" s="18"/>
      <c r="X729" s="86"/>
      <c r="AO729" s="86"/>
    </row>
    <row r="730">
      <c r="A730" s="18"/>
      <c r="X730" s="86"/>
      <c r="AO730" s="86"/>
    </row>
    <row r="731">
      <c r="A731" s="18"/>
      <c r="X731" s="86"/>
      <c r="AO731" s="86"/>
    </row>
    <row r="732">
      <c r="A732" s="18"/>
      <c r="X732" s="86"/>
      <c r="AO732" s="86"/>
    </row>
    <row r="733">
      <c r="A733" s="18"/>
      <c r="X733" s="86"/>
      <c r="AO733" s="86"/>
    </row>
    <row r="734">
      <c r="A734" s="18"/>
      <c r="X734" s="86"/>
      <c r="AO734" s="86"/>
    </row>
    <row r="735">
      <c r="A735" s="18"/>
      <c r="X735" s="86"/>
      <c r="AO735" s="86"/>
    </row>
    <row r="736">
      <c r="A736" s="18"/>
      <c r="X736" s="86"/>
      <c r="AO736" s="86"/>
    </row>
    <row r="737">
      <c r="A737" s="18"/>
      <c r="X737" s="86"/>
      <c r="AO737" s="86"/>
    </row>
    <row r="738">
      <c r="A738" s="18"/>
      <c r="X738" s="86"/>
      <c r="AO738" s="86"/>
    </row>
    <row r="739">
      <c r="A739" s="18"/>
      <c r="X739" s="86"/>
      <c r="AO739" s="86"/>
    </row>
    <row r="740">
      <c r="A740" s="18"/>
      <c r="X740" s="86"/>
      <c r="AO740" s="86"/>
    </row>
    <row r="741">
      <c r="A741" s="18"/>
      <c r="X741" s="86"/>
      <c r="AO741" s="86"/>
    </row>
    <row r="742">
      <c r="A742" s="18"/>
      <c r="X742" s="86"/>
      <c r="AO742" s="86"/>
    </row>
    <row r="743">
      <c r="A743" s="18"/>
      <c r="X743" s="86"/>
      <c r="AO743" s="86"/>
    </row>
    <row r="744">
      <c r="A744" s="18"/>
      <c r="X744" s="86"/>
      <c r="AO744" s="86"/>
    </row>
    <row r="745">
      <c r="A745" s="18"/>
      <c r="X745" s="86"/>
      <c r="AO745" s="86"/>
    </row>
    <row r="746">
      <c r="A746" s="18"/>
      <c r="X746" s="86"/>
      <c r="AO746" s="86"/>
    </row>
    <row r="747">
      <c r="A747" s="18"/>
      <c r="X747" s="86"/>
      <c r="AO747" s="86"/>
    </row>
    <row r="748">
      <c r="A748" s="18"/>
      <c r="X748" s="86"/>
      <c r="AO748" s="86"/>
    </row>
    <row r="749">
      <c r="A749" s="18"/>
      <c r="X749" s="86"/>
      <c r="AO749" s="86"/>
    </row>
    <row r="750">
      <c r="A750" s="18"/>
      <c r="X750" s="86"/>
      <c r="AO750" s="86"/>
    </row>
    <row r="751">
      <c r="A751" s="18"/>
      <c r="X751" s="86"/>
      <c r="AO751" s="86"/>
    </row>
    <row r="752">
      <c r="A752" s="18"/>
      <c r="X752" s="86"/>
      <c r="AO752" s="86"/>
    </row>
    <row r="753">
      <c r="A753" s="18"/>
      <c r="X753" s="86"/>
      <c r="AO753" s="86"/>
    </row>
    <row r="754">
      <c r="A754" s="18"/>
      <c r="X754" s="86"/>
      <c r="AO754" s="86"/>
    </row>
    <row r="755">
      <c r="A755" s="18"/>
      <c r="X755" s="86"/>
      <c r="AO755" s="86"/>
    </row>
    <row r="756">
      <c r="A756" s="18"/>
      <c r="X756" s="86"/>
      <c r="AO756" s="86"/>
    </row>
    <row r="757">
      <c r="A757" s="18"/>
      <c r="X757" s="86"/>
      <c r="AO757" s="86"/>
    </row>
    <row r="758">
      <c r="A758" s="18"/>
      <c r="X758" s="86"/>
      <c r="AO758" s="86"/>
    </row>
    <row r="759">
      <c r="A759" s="18"/>
      <c r="X759" s="86"/>
      <c r="AO759" s="86"/>
    </row>
    <row r="760">
      <c r="A760" s="18"/>
      <c r="X760" s="86"/>
      <c r="AO760" s="86"/>
    </row>
    <row r="761">
      <c r="A761" s="18"/>
      <c r="X761" s="86"/>
      <c r="AO761" s="86"/>
    </row>
    <row r="762">
      <c r="A762" s="18"/>
      <c r="X762" s="86"/>
      <c r="AO762" s="86"/>
    </row>
    <row r="763">
      <c r="A763" s="18"/>
      <c r="X763" s="86"/>
      <c r="AO763" s="86"/>
    </row>
    <row r="764">
      <c r="A764" s="18"/>
      <c r="X764" s="86"/>
      <c r="AO764" s="86"/>
    </row>
    <row r="765">
      <c r="A765" s="18"/>
      <c r="X765" s="86"/>
      <c r="AO765" s="86"/>
    </row>
    <row r="766">
      <c r="A766" s="18"/>
      <c r="X766" s="86"/>
      <c r="AO766" s="86"/>
    </row>
    <row r="767">
      <c r="A767" s="18"/>
      <c r="X767" s="86"/>
      <c r="AO767" s="86"/>
    </row>
    <row r="768">
      <c r="A768" s="18"/>
      <c r="X768" s="86"/>
      <c r="AO768" s="86"/>
    </row>
    <row r="769">
      <c r="A769" s="18"/>
      <c r="X769" s="86"/>
      <c r="AO769" s="86"/>
    </row>
    <row r="770">
      <c r="A770" s="18"/>
      <c r="X770" s="86"/>
      <c r="AO770" s="86"/>
    </row>
    <row r="771">
      <c r="A771" s="18"/>
      <c r="X771" s="86"/>
      <c r="AO771" s="86"/>
    </row>
    <row r="772">
      <c r="A772" s="18"/>
      <c r="X772" s="86"/>
      <c r="AO772" s="86"/>
    </row>
    <row r="773">
      <c r="A773" s="18"/>
      <c r="X773" s="86"/>
      <c r="AO773" s="86"/>
    </row>
    <row r="774">
      <c r="A774" s="18"/>
      <c r="X774" s="86"/>
      <c r="AO774" s="86"/>
    </row>
    <row r="775">
      <c r="A775" s="18"/>
      <c r="X775" s="86"/>
      <c r="AO775" s="86"/>
    </row>
    <row r="776">
      <c r="A776" s="18"/>
      <c r="X776" s="86"/>
      <c r="AO776" s="86"/>
    </row>
    <row r="777">
      <c r="A777" s="18"/>
      <c r="X777" s="86"/>
      <c r="AO777" s="86"/>
    </row>
    <row r="778">
      <c r="A778" s="18"/>
      <c r="X778" s="86"/>
      <c r="AO778" s="86"/>
    </row>
    <row r="779">
      <c r="A779" s="18"/>
      <c r="X779" s="86"/>
      <c r="AO779" s="86"/>
    </row>
    <row r="780">
      <c r="A780" s="18"/>
      <c r="X780" s="86"/>
      <c r="AO780" s="86"/>
    </row>
    <row r="781">
      <c r="A781" s="18"/>
      <c r="X781" s="86"/>
      <c r="AO781" s="86"/>
    </row>
    <row r="782">
      <c r="A782" s="18"/>
      <c r="X782" s="86"/>
      <c r="AO782" s="86"/>
    </row>
    <row r="783">
      <c r="A783" s="18"/>
      <c r="X783" s="86"/>
      <c r="AO783" s="86"/>
    </row>
    <row r="784">
      <c r="A784" s="18"/>
      <c r="X784" s="86"/>
      <c r="AO784" s="86"/>
    </row>
    <row r="785">
      <c r="A785" s="18"/>
      <c r="X785" s="86"/>
      <c r="AO785" s="86"/>
    </row>
    <row r="786">
      <c r="A786" s="18"/>
      <c r="X786" s="86"/>
      <c r="AO786" s="86"/>
    </row>
    <row r="787">
      <c r="A787" s="18"/>
      <c r="X787" s="86"/>
      <c r="AO787" s="86"/>
    </row>
    <row r="788">
      <c r="A788" s="18"/>
      <c r="X788" s="86"/>
      <c r="AO788" s="86"/>
    </row>
    <row r="789">
      <c r="A789" s="18"/>
      <c r="X789" s="86"/>
      <c r="AO789" s="86"/>
    </row>
    <row r="790">
      <c r="A790" s="18"/>
      <c r="X790" s="86"/>
      <c r="AO790" s="86"/>
    </row>
    <row r="791">
      <c r="A791" s="18"/>
      <c r="X791" s="86"/>
      <c r="AO791" s="86"/>
    </row>
    <row r="792">
      <c r="A792" s="18"/>
      <c r="X792" s="86"/>
      <c r="AO792" s="86"/>
    </row>
    <row r="793">
      <c r="A793" s="18"/>
      <c r="X793" s="86"/>
      <c r="AO793" s="86"/>
    </row>
    <row r="794">
      <c r="A794" s="18"/>
      <c r="X794" s="86"/>
      <c r="AO794" s="86"/>
    </row>
    <row r="795">
      <c r="A795" s="18"/>
      <c r="X795" s="86"/>
      <c r="AO795" s="86"/>
    </row>
    <row r="796">
      <c r="A796" s="18"/>
      <c r="X796" s="86"/>
      <c r="AO796" s="86"/>
    </row>
    <row r="797">
      <c r="A797" s="18"/>
      <c r="X797" s="86"/>
      <c r="AO797" s="86"/>
    </row>
    <row r="798">
      <c r="A798" s="18"/>
      <c r="X798" s="86"/>
      <c r="AO798" s="86"/>
    </row>
    <row r="799">
      <c r="A799" s="18"/>
      <c r="X799" s="86"/>
      <c r="AO799" s="86"/>
    </row>
    <row r="800">
      <c r="A800" s="18"/>
      <c r="X800" s="86"/>
      <c r="AO800" s="86"/>
    </row>
    <row r="801">
      <c r="A801" s="18"/>
      <c r="X801" s="86"/>
      <c r="AO801" s="86"/>
    </row>
    <row r="802">
      <c r="A802" s="18"/>
      <c r="X802" s="86"/>
      <c r="AO802" s="86"/>
    </row>
    <row r="803">
      <c r="A803" s="18"/>
      <c r="X803" s="86"/>
      <c r="AO803" s="86"/>
    </row>
    <row r="804">
      <c r="A804" s="18"/>
      <c r="X804" s="86"/>
      <c r="AO804" s="86"/>
    </row>
    <row r="805">
      <c r="A805" s="18"/>
      <c r="X805" s="86"/>
      <c r="AO805" s="86"/>
    </row>
    <row r="806">
      <c r="A806" s="18"/>
      <c r="X806" s="86"/>
      <c r="AO806" s="86"/>
    </row>
    <row r="807">
      <c r="A807" s="18"/>
      <c r="X807" s="86"/>
      <c r="AO807" s="86"/>
    </row>
    <row r="808">
      <c r="A808" s="18"/>
      <c r="X808" s="86"/>
      <c r="AO808" s="86"/>
    </row>
    <row r="809">
      <c r="A809" s="18"/>
      <c r="X809" s="86"/>
      <c r="AO809" s="86"/>
    </row>
    <row r="810">
      <c r="A810" s="18"/>
      <c r="X810" s="86"/>
      <c r="AO810" s="86"/>
    </row>
    <row r="811">
      <c r="A811" s="18"/>
      <c r="X811" s="86"/>
      <c r="AO811" s="86"/>
    </row>
    <row r="812">
      <c r="A812" s="18"/>
      <c r="X812" s="86"/>
      <c r="AO812" s="86"/>
    </row>
    <row r="813">
      <c r="A813" s="18"/>
      <c r="X813" s="86"/>
      <c r="AO813" s="86"/>
    </row>
    <row r="814">
      <c r="A814" s="18"/>
      <c r="X814" s="86"/>
      <c r="AO814" s="86"/>
    </row>
    <row r="815">
      <c r="A815" s="18"/>
      <c r="X815" s="86"/>
      <c r="AO815" s="86"/>
    </row>
    <row r="816">
      <c r="A816" s="18"/>
      <c r="X816" s="86"/>
      <c r="AO816" s="86"/>
    </row>
    <row r="817">
      <c r="A817" s="18"/>
      <c r="X817" s="86"/>
      <c r="AO817" s="86"/>
    </row>
    <row r="818">
      <c r="A818" s="18"/>
      <c r="X818" s="86"/>
      <c r="AO818" s="86"/>
    </row>
    <row r="819">
      <c r="A819" s="18"/>
      <c r="X819" s="86"/>
      <c r="AO819" s="86"/>
    </row>
    <row r="820">
      <c r="A820" s="18"/>
      <c r="X820" s="86"/>
      <c r="AO820" s="86"/>
    </row>
    <row r="821">
      <c r="A821" s="18"/>
      <c r="X821" s="86"/>
      <c r="AO821" s="86"/>
    </row>
    <row r="822">
      <c r="A822" s="18"/>
      <c r="X822" s="86"/>
      <c r="AO822" s="86"/>
    </row>
    <row r="823">
      <c r="A823" s="18"/>
      <c r="X823" s="86"/>
      <c r="AO823" s="86"/>
    </row>
    <row r="824">
      <c r="A824" s="18"/>
      <c r="X824" s="86"/>
      <c r="AO824" s="86"/>
    </row>
    <row r="825">
      <c r="A825" s="18"/>
      <c r="X825" s="86"/>
      <c r="AO825" s="86"/>
    </row>
    <row r="826">
      <c r="A826" s="18"/>
      <c r="X826" s="86"/>
      <c r="AO826" s="86"/>
    </row>
    <row r="827">
      <c r="A827" s="18"/>
      <c r="X827" s="86"/>
      <c r="AO827" s="86"/>
    </row>
    <row r="828">
      <c r="A828" s="18"/>
      <c r="X828" s="86"/>
      <c r="AO828" s="86"/>
    </row>
    <row r="829">
      <c r="A829" s="18"/>
      <c r="X829" s="86"/>
      <c r="AO829" s="86"/>
    </row>
    <row r="830">
      <c r="A830" s="18"/>
      <c r="X830" s="86"/>
      <c r="AO830" s="86"/>
    </row>
    <row r="831">
      <c r="A831" s="18"/>
      <c r="X831" s="86"/>
      <c r="AO831" s="86"/>
    </row>
    <row r="832">
      <c r="A832" s="18"/>
      <c r="X832" s="86"/>
      <c r="AO832" s="86"/>
    </row>
    <row r="833">
      <c r="A833" s="18"/>
      <c r="X833" s="86"/>
      <c r="AO833" s="86"/>
    </row>
    <row r="834">
      <c r="A834" s="18"/>
      <c r="X834" s="86"/>
      <c r="AO834" s="86"/>
    </row>
    <row r="835">
      <c r="A835" s="18"/>
      <c r="X835" s="86"/>
      <c r="AO835" s="86"/>
    </row>
    <row r="836">
      <c r="A836" s="18"/>
      <c r="X836" s="86"/>
      <c r="AO836" s="86"/>
    </row>
    <row r="837">
      <c r="A837" s="18"/>
      <c r="X837" s="86"/>
      <c r="AO837" s="86"/>
    </row>
    <row r="838">
      <c r="A838" s="18"/>
      <c r="X838" s="86"/>
      <c r="AO838" s="86"/>
    </row>
    <row r="839">
      <c r="A839" s="18"/>
      <c r="X839" s="86"/>
      <c r="AO839" s="86"/>
    </row>
    <row r="840">
      <c r="A840" s="18"/>
      <c r="X840" s="86"/>
      <c r="AO840" s="86"/>
    </row>
    <row r="841">
      <c r="A841" s="18"/>
      <c r="X841" s="86"/>
      <c r="AO841" s="86"/>
    </row>
    <row r="842">
      <c r="A842" s="18"/>
      <c r="X842" s="86"/>
      <c r="AO842" s="86"/>
    </row>
    <row r="843">
      <c r="A843" s="18"/>
      <c r="X843" s="86"/>
      <c r="AO843" s="86"/>
    </row>
    <row r="844">
      <c r="A844" s="18"/>
      <c r="X844" s="86"/>
      <c r="AO844" s="86"/>
    </row>
    <row r="845">
      <c r="A845" s="18"/>
      <c r="X845" s="86"/>
      <c r="AO845" s="86"/>
    </row>
    <row r="846">
      <c r="A846" s="18"/>
      <c r="X846" s="86"/>
      <c r="AO846" s="86"/>
    </row>
    <row r="847">
      <c r="A847" s="18"/>
      <c r="X847" s="86"/>
      <c r="AO847" s="86"/>
    </row>
    <row r="848">
      <c r="A848" s="18"/>
      <c r="X848" s="86"/>
      <c r="AO848" s="86"/>
    </row>
    <row r="849">
      <c r="A849" s="18"/>
      <c r="X849" s="86"/>
      <c r="AO849" s="86"/>
    </row>
    <row r="850">
      <c r="A850" s="18"/>
      <c r="X850" s="86"/>
      <c r="AO850" s="86"/>
    </row>
    <row r="851">
      <c r="A851" s="18"/>
      <c r="X851" s="86"/>
      <c r="AO851" s="86"/>
    </row>
    <row r="852">
      <c r="A852" s="18"/>
      <c r="X852" s="86"/>
      <c r="AO852" s="86"/>
    </row>
    <row r="853">
      <c r="A853" s="18"/>
      <c r="X853" s="86"/>
      <c r="AO853" s="86"/>
    </row>
    <row r="854">
      <c r="A854" s="18"/>
      <c r="X854" s="86"/>
      <c r="AO854" s="86"/>
    </row>
    <row r="855">
      <c r="A855" s="18"/>
      <c r="X855" s="86"/>
      <c r="AO855" s="86"/>
    </row>
    <row r="856">
      <c r="A856" s="18"/>
      <c r="X856" s="86"/>
      <c r="AO856" s="86"/>
    </row>
    <row r="857">
      <c r="A857" s="18"/>
      <c r="X857" s="86"/>
      <c r="AO857" s="86"/>
    </row>
    <row r="858">
      <c r="A858" s="18"/>
      <c r="X858" s="86"/>
      <c r="AO858" s="86"/>
    </row>
    <row r="859">
      <c r="A859" s="18"/>
      <c r="X859" s="86"/>
      <c r="AO859" s="86"/>
    </row>
    <row r="860">
      <c r="A860" s="18"/>
      <c r="X860" s="86"/>
      <c r="AO860" s="86"/>
    </row>
    <row r="861">
      <c r="A861" s="18"/>
      <c r="X861" s="86"/>
      <c r="AO861" s="86"/>
    </row>
    <row r="862">
      <c r="A862" s="18"/>
      <c r="X862" s="86"/>
      <c r="AO862" s="86"/>
    </row>
    <row r="863">
      <c r="A863" s="18"/>
      <c r="X863" s="86"/>
      <c r="AO863" s="86"/>
    </row>
    <row r="864">
      <c r="A864" s="18"/>
      <c r="X864" s="86"/>
      <c r="AO864" s="86"/>
    </row>
    <row r="865">
      <c r="A865" s="18"/>
      <c r="X865" s="86"/>
      <c r="AO865" s="86"/>
    </row>
    <row r="866">
      <c r="A866" s="18"/>
      <c r="X866" s="86"/>
      <c r="AO866" s="86"/>
    </row>
    <row r="867">
      <c r="A867" s="18"/>
      <c r="X867" s="86"/>
      <c r="AO867" s="86"/>
    </row>
    <row r="868">
      <c r="A868" s="18"/>
      <c r="X868" s="86"/>
      <c r="AO868" s="86"/>
    </row>
    <row r="869">
      <c r="A869" s="18"/>
      <c r="X869" s="86"/>
      <c r="AO869" s="86"/>
    </row>
    <row r="870">
      <c r="A870" s="18"/>
      <c r="X870" s="86"/>
      <c r="AO870" s="86"/>
    </row>
    <row r="871">
      <c r="A871" s="18"/>
      <c r="X871" s="86"/>
      <c r="AO871" s="86"/>
    </row>
    <row r="872">
      <c r="A872" s="18"/>
      <c r="X872" s="86"/>
      <c r="AO872" s="86"/>
    </row>
    <row r="873">
      <c r="A873" s="18"/>
      <c r="X873" s="86"/>
      <c r="AO873" s="86"/>
    </row>
    <row r="874">
      <c r="A874" s="18"/>
      <c r="X874" s="86"/>
      <c r="AO874" s="86"/>
    </row>
    <row r="875">
      <c r="A875" s="18"/>
      <c r="X875" s="86"/>
      <c r="AO875" s="86"/>
    </row>
    <row r="876">
      <c r="A876" s="18"/>
      <c r="X876" s="86"/>
      <c r="AO876" s="86"/>
    </row>
    <row r="877">
      <c r="A877" s="18"/>
      <c r="X877" s="86"/>
      <c r="AO877" s="86"/>
    </row>
    <row r="878">
      <c r="A878" s="18"/>
      <c r="X878" s="86"/>
      <c r="AO878" s="86"/>
    </row>
    <row r="879">
      <c r="A879" s="18"/>
      <c r="X879" s="86"/>
      <c r="AO879" s="86"/>
    </row>
    <row r="880">
      <c r="A880" s="18"/>
      <c r="X880" s="86"/>
      <c r="AO880" s="86"/>
    </row>
    <row r="881">
      <c r="A881" s="18"/>
      <c r="X881" s="86"/>
      <c r="AO881" s="86"/>
    </row>
    <row r="882">
      <c r="A882" s="18"/>
      <c r="X882" s="86"/>
      <c r="AO882" s="86"/>
    </row>
    <row r="883">
      <c r="A883" s="18"/>
      <c r="X883" s="86"/>
      <c r="AO883" s="86"/>
    </row>
    <row r="884">
      <c r="A884" s="18"/>
      <c r="X884" s="86"/>
      <c r="AO884" s="86"/>
    </row>
    <row r="885">
      <c r="A885" s="18"/>
      <c r="X885" s="86"/>
      <c r="AO885" s="86"/>
    </row>
    <row r="886">
      <c r="A886" s="18"/>
      <c r="X886" s="86"/>
      <c r="AO886" s="86"/>
    </row>
    <row r="887">
      <c r="A887" s="18"/>
      <c r="X887" s="86"/>
      <c r="AO887" s="86"/>
    </row>
    <row r="888">
      <c r="A888" s="18"/>
      <c r="X888" s="86"/>
      <c r="AO888" s="86"/>
    </row>
    <row r="889">
      <c r="A889" s="18"/>
      <c r="X889" s="86"/>
      <c r="AO889" s="86"/>
    </row>
    <row r="890">
      <c r="A890" s="18"/>
      <c r="X890" s="86"/>
      <c r="AO890" s="86"/>
    </row>
    <row r="891">
      <c r="A891" s="18"/>
      <c r="X891" s="86"/>
      <c r="AO891" s="86"/>
    </row>
    <row r="892">
      <c r="A892" s="18"/>
      <c r="X892" s="86"/>
      <c r="AO892" s="86"/>
    </row>
    <row r="893">
      <c r="A893" s="18"/>
      <c r="X893" s="86"/>
      <c r="AO893" s="86"/>
    </row>
    <row r="894">
      <c r="A894" s="18"/>
      <c r="X894" s="86"/>
      <c r="AO894" s="86"/>
    </row>
    <row r="895">
      <c r="A895" s="18"/>
      <c r="X895" s="86"/>
      <c r="AO895" s="86"/>
    </row>
    <row r="896">
      <c r="A896" s="18"/>
      <c r="X896" s="86"/>
      <c r="AO896" s="86"/>
    </row>
    <row r="897">
      <c r="A897" s="18"/>
      <c r="X897" s="86"/>
      <c r="AO897" s="86"/>
    </row>
    <row r="898">
      <c r="A898" s="18"/>
      <c r="X898" s="86"/>
      <c r="AO898" s="86"/>
    </row>
    <row r="899">
      <c r="A899" s="18"/>
      <c r="X899" s="86"/>
      <c r="AO899" s="86"/>
    </row>
    <row r="900">
      <c r="A900" s="18"/>
      <c r="X900" s="86"/>
      <c r="AO900" s="86"/>
    </row>
    <row r="901">
      <c r="A901" s="18"/>
      <c r="X901" s="86"/>
      <c r="AO901" s="86"/>
    </row>
    <row r="902">
      <c r="A902" s="18"/>
      <c r="X902" s="86"/>
      <c r="AO902" s="86"/>
    </row>
    <row r="903">
      <c r="A903" s="18"/>
      <c r="X903" s="86"/>
      <c r="AO903" s="86"/>
    </row>
    <row r="904">
      <c r="A904" s="18"/>
      <c r="X904" s="86"/>
      <c r="AO904" s="86"/>
    </row>
    <row r="905">
      <c r="A905" s="18"/>
      <c r="X905" s="86"/>
      <c r="AO905" s="86"/>
    </row>
    <row r="906">
      <c r="A906" s="18"/>
      <c r="X906" s="86"/>
      <c r="AO906" s="86"/>
    </row>
    <row r="907">
      <c r="A907" s="18"/>
      <c r="X907" s="86"/>
      <c r="AO907" s="86"/>
    </row>
    <row r="908">
      <c r="A908" s="18"/>
      <c r="X908" s="86"/>
      <c r="AO908" s="86"/>
    </row>
    <row r="909">
      <c r="A909" s="18"/>
      <c r="X909" s="86"/>
      <c r="AO909" s="86"/>
    </row>
    <row r="910">
      <c r="A910" s="18"/>
      <c r="X910" s="86"/>
      <c r="AO910" s="86"/>
    </row>
    <row r="911">
      <c r="A911" s="18"/>
      <c r="X911" s="86"/>
      <c r="AO911" s="86"/>
    </row>
    <row r="912">
      <c r="A912" s="18"/>
      <c r="X912" s="86"/>
      <c r="AO912" s="86"/>
    </row>
    <row r="913">
      <c r="A913" s="18"/>
      <c r="X913" s="86"/>
      <c r="AO913" s="86"/>
    </row>
    <row r="914">
      <c r="A914" s="18"/>
      <c r="X914" s="86"/>
      <c r="AO914" s="86"/>
    </row>
    <row r="915">
      <c r="A915" s="18"/>
      <c r="X915" s="86"/>
      <c r="AO915" s="86"/>
    </row>
    <row r="916">
      <c r="A916" s="18"/>
      <c r="X916" s="86"/>
      <c r="AO916" s="86"/>
    </row>
    <row r="917">
      <c r="A917" s="18"/>
      <c r="X917" s="86"/>
      <c r="AO917" s="86"/>
    </row>
    <row r="918">
      <c r="A918" s="18"/>
      <c r="X918" s="86"/>
      <c r="AO918" s="86"/>
    </row>
    <row r="919">
      <c r="A919" s="18"/>
      <c r="X919" s="86"/>
      <c r="AO919" s="86"/>
    </row>
    <row r="920">
      <c r="A920" s="18"/>
      <c r="X920" s="86"/>
      <c r="AO920" s="86"/>
    </row>
    <row r="921">
      <c r="A921" s="18"/>
      <c r="X921" s="86"/>
      <c r="AO921" s="86"/>
    </row>
    <row r="922">
      <c r="A922" s="18"/>
      <c r="X922" s="86"/>
      <c r="AO922" s="86"/>
    </row>
    <row r="923">
      <c r="A923" s="18"/>
      <c r="X923" s="86"/>
      <c r="AO923" s="86"/>
    </row>
    <row r="924">
      <c r="A924" s="18"/>
      <c r="X924" s="86"/>
      <c r="AO924" s="86"/>
    </row>
    <row r="925">
      <c r="A925" s="18"/>
      <c r="X925" s="86"/>
      <c r="AO925" s="86"/>
    </row>
    <row r="926">
      <c r="A926" s="18"/>
      <c r="X926" s="86"/>
      <c r="AO926" s="86"/>
    </row>
    <row r="927">
      <c r="A927" s="18"/>
      <c r="X927" s="86"/>
      <c r="AO927" s="86"/>
    </row>
    <row r="928">
      <c r="A928" s="18"/>
      <c r="X928" s="86"/>
      <c r="AO928" s="86"/>
    </row>
    <row r="929">
      <c r="A929" s="18"/>
      <c r="X929" s="86"/>
      <c r="AO929" s="86"/>
    </row>
    <row r="930">
      <c r="A930" s="18"/>
      <c r="X930" s="86"/>
      <c r="AO930" s="86"/>
    </row>
    <row r="931">
      <c r="A931" s="18"/>
      <c r="X931" s="86"/>
      <c r="AO931" s="86"/>
    </row>
    <row r="932">
      <c r="A932" s="18"/>
      <c r="X932" s="86"/>
      <c r="AO932" s="86"/>
    </row>
    <row r="933">
      <c r="A933" s="18"/>
      <c r="X933" s="86"/>
      <c r="AO933" s="86"/>
    </row>
    <row r="934">
      <c r="A934" s="18"/>
      <c r="X934" s="86"/>
      <c r="AO934" s="86"/>
    </row>
    <row r="935">
      <c r="A935" s="18"/>
      <c r="X935" s="86"/>
      <c r="AO935" s="86"/>
    </row>
    <row r="936">
      <c r="A936" s="18"/>
      <c r="X936" s="86"/>
      <c r="AO936" s="86"/>
    </row>
    <row r="937">
      <c r="A937" s="18"/>
      <c r="X937" s="86"/>
      <c r="AO937" s="86"/>
    </row>
    <row r="938">
      <c r="A938" s="18"/>
      <c r="X938" s="86"/>
      <c r="AO938" s="86"/>
    </row>
    <row r="939">
      <c r="A939" s="18"/>
      <c r="X939" s="86"/>
      <c r="AO939" s="86"/>
    </row>
    <row r="940">
      <c r="A940" s="18"/>
      <c r="X940" s="86"/>
      <c r="AO940" s="86"/>
    </row>
    <row r="941">
      <c r="A941" s="18"/>
      <c r="X941" s="86"/>
      <c r="AO941" s="86"/>
    </row>
    <row r="942">
      <c r="A942" s="18"/>
      <c r="X942" s="86"/>
      <c r="AO942" s="86"/>
    </row>
    <row r="943">
      <c r="A943" s="18"/>
      <c r="X943" s="86"/>
      <c r="AO943" s="86"/>
    </row>
    <row r="944">
      <c r="A944" s="18"/>
      <c r="X944" s="86"/>
      <c r="AO944" s="86"/>
    </row>
    <row r="945">
      <c r="A945" s="18"/>
      <c r="X945" s="86"/>
      <c r="AO945" s="86"/>
    </row>
    <row r="946">
      <c r="A946" s="18"/>
      <c r="X946" s="86"/>
      <c r="AO946" s="86"/>
    </row>
    <row r="947">
      <c r="A947" s="18"/>
      <c r="X947" s="86"/>
      <c r="AO947" s="86"/>
    </row>
    <row r="948">
      <c r="A948" s="18"/>
      <c r="X948" s="86"/>
      <c r="AO948" s="86"/>
    </row>
    <row r="949">
      <c r="A949" s="18"/>
      <c r="X949" s="86"/>
      <c r="AO949" s="86"/>
    </row>
    <row r="950">
      <c r="A950" s="18"/>
      <c r="X950" s="86"/>
      <c r="AO950" s="86"/>
    </row>
    <row r="951">
      <c r="A951" s="18"/>
      <c r="X951" s="86"/>
      <c r="AO951" s="86"/>
    </row>
    <row r="952">
      <c r="A952" s="18"/>
      <c r="X952" s="86"/>
      <c r="AO952" s="86"/>
    </row>
    <row r="953">
      <c r="A953" s="18"/>
      <c r="X953" s="86"/>
      <c r="AO953" s="86"/>
    </row>
    <row r="954">
      <c r="A954" s="18"/>
      <c r="X954" s="86"/>
      <c r="AO954" s="86"/>
    </row>
    <row r="955">
      <c r="A955" s="18"/>
      <c r="X955" s="86"/>
      <c r="AO955" s="86"/>
    </row>
    <row r="956">
      <c r="A956" s="18"/>
      <c r="X956" s="86"/>
      <c r="AO956" s="86"/>
    </row>
    <row r="957">
      <c r="A957" s="18"/>
      <c r="X957" s="86"/>
      <c r="AO957" s="86"/>
    </row>
    <row r="958">
      <c r="A958" s="18"/>
      <c r="X958" s="86"/>
      <c r="AO958" s="86"/>
    </row>
    <row r="959">
      <c r="A959" s="18"/>
      <c r="X959" s="86"/>
      <c r="AO959" s="86"/>
    </row>
    <row r="960">
      <c r="A960" s="18"/>
      <c r="X960" s="86"/>
      <c r="AO960" s="86"/>
    </row>
    <row r="961">
      <c r="A961" s="18"/>
      <c r="X961" s="86"/>
      <c r="AO961" s="86"/>
    </row>
    <row r="962">
      <c r="A962" s="18"/>
      <c r="X962" s="86"/>
      <c r="AO962" s="86"/>
    </row>
    <row r="963">
      <c r="A963" s="18"/>
      <c r="X963" s="86"/>
      <c r="AO963" s="86"/>
    </row>
    <row r="964">
      <c r="A964" s="18"/>
      <c r="X964" s="86"/>
      <c r="AO964" s="86"/>
    </row>
    <row r="965">
      <c r="A965" s="18"/>
      <c r="X965" s="86"/>
      <c r="AO965" s="86"/>
    </row>
    <row r="966">
      <c r="A966" s="18"/>
      <c r="X966" s="86"/>
      <c r="AO966" s="86"/>
    </row>
    <row r="967">
      <c r="A967" s="18"/>
      <c r="X967" s="86"/>
      <c r="AO967" s="86"/>
    </row>
    <row r="968">
      <c r="A968" s="18"/>
      <c r="X968" s="86"/>
      <c r="AO968" s="86"/>
    </row>
    <row r="969">
      <c r="A969" s="18"/>
      <c r="X969" s="86"/>
      <c r="AO969" s="86"/>
    </row>
    <row r="970">
      <c r="A970" s="18"/>
      <c r="X970" s="86"/>
      <c r="AO970" s="86"/>
    </row>
    <row r="971">
      <c r="A971" s="18"/>
      <c r="X971" s="86"/>
      <c r="AO971" s="86"/>
    </row>
    <row r="972">
      <c r="A972" s="18"/>
      <c r="X972" s="86"/>
      <c r="AO972" s="86"/>
    </row>
    <row r="973">
      <c r="A973" s="18"/>
      <c r="X973" s="86"/>
      <c r="AO973" s="86"/>
    </row>
    <row r="974">
      <c r="A974" s="18"/>
      <c r="X974" s="86"/>
      <c r="AO974" s="86"/>
    </row>
    <row r="975">
      <c r="A975" s="18"/>
      <c r="X975" s="86"/>
      <c r="AO975" s="86"/>
    </row>
    <row r="976">
      <c r="A976" s="18"/>
      <c r="X976" s="86"/>
      <c r="AO976" s="86"/>
    </row>
    <row r="977">
      <c r="A977" s="18"/>
      <c r="X977" s="86"/>
      <c r="AO977" s="86"/>
    </row>
    <row r="978">
      <c r="A978" s="18"/>
      <c r="X978" s="86"/>
      <c r="AO978" s="86"/>
    </row>
    <row r="979">
      <c r="A979" s="18"/>
      <c r="X979" s="86"/>
      <c r="AO979" s="86"/>
    </row>
    <row r="980">
      <c r="A980" s="18"/>
      <c r="X980" s="86"/>
      <c r="AO980" s="86"/>
    </row>
    <row r="981">
      <c r="A981" s="18"/>
      <c r="X981" s="86"/>
      <c r="AO981" s="86"/>
    </row>
    <row r="982">
      <c r="A982" s="18"/>
      <c r="X982" s="86"/>
      <c r="AO982" s="86"/>
    </row>
    <row r="983">
      <c r="A983" s="18"/>
      <c r="X983" s="86"/>
      <c r="AO983" s="86"/>
    </row>
    <row r="984">
      <c r="A984" s="18"/>
      <c r="X984" s="86"/>
      <c r="AO984" s="86"/>
    </row>
    <row r="985">
      <c r="A985" s="18"/>
      <c r="X985" s="86"/>
      <c r="AO985" s="86"/>
    </row>
    <row r="986">
      <c r="A986" s="18"/>
      <c r="X986" s="86"/>
      <c r="AO986" s="86"/>
    </row>
    <row r="987">
      <c r="A987" s="18"/>
      <c r="X987" s="86"/>
      <c r="AO987" s="86"/>
    </row>
    <row r="988">
      <c r="A988" s="18"/>
      <c r="X988" s="86"/>
      <c r="AO988" s="86"/>
    </row>
    <row r="989">
      <c r="A989" s="18"/>
      <c r="X989" s="86"/>
      <c r="AO989" s="86"/>
    </row>
    <row r="990">
      <c r="A990" s="18"/>
      <c r="X990" s="86"/>
      <c r="AO990" s="86"/>
    </row>
    <row r="991">
      <c r="A991" s="18"/>
      <c r="X991" s="86"/>
      <c r="AO991" s="86"/>
    </row>
    <row r="992">
      <c r="X992" s="86"/>
      <c r="AO992" s="86"/>
    </row>
    <row r="993">
      <c r="X993" s="86"/>
      <c r="AO993" s="86"/>
    </row>
    <row r="994">
      <c r="X994" s="86"/>
      <c r="AO994" s="86"/>
    </row>
    <row r="995">
      <c r="X995" s="86"/>
      <c r="AO995" s="86"/>
    </row>
    <row r="996">
      <c r="X996" s="86"/>
      <c r="AO996" s="86"/>
    </row>
    <row r="997">
      <c r="X997" s="86"/>
      <c r="AO997" s="86"/>
    </row>
    <row r="998">
      <c r="X998" s="86"/>
      <c r="AO998" s="86"/>
    </row>
    <row r="999">
      <c r="X999" s="86"/>
      <c r="AO999" s="86"/>
    </row>
  </sheetData>
  <mergeCells count="3">
    <mergeCell ref="C1:X1"/>
    <mergeCell ref="Y1:AO1"/>
    <mergeCell ref="AP1:B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.0"/>
    <col customWidth="1" min="3" max="8" width="1.88"/>
    <col customWidth="1" min="9" max="9" width="2.88"/>
    <col customWidth="1" min="10" max="10" width="2.75"/>
    <col customWidth="1" min="11" max="22" width="2.88"/>
    <col customWidth="1" min="23" max="23" width="3.0"/>
  </cols>
  <sheetData>
    <row r="1">
      <c r="A1" s="18"/>
      <c r="B1" s="77" t="s">
        <v>165</v>
      </c>
      <c r="W1" s="78"/>
    </row>
    <row r="2">
      <c r="A2" s="81" t="s">
        <v>167</v>
      </c>
      <c r="B2" s="83">
        <v>3.0</v>
      </c>
      <c r="C2" s="83">
        <v>4.0</v>
      </c>
      <c r="D2" s="83">
        <v>5.0</v>
      </c>
      <c r="E2" s="83">
        <v>6.0</v>
      </c>
      <c r="F2" s="83">
        <v>7.0</v>
      </c>
      <c r="G2" s="83">
        <v>8.0</v>
      </c>
      <c r="H2" s="83">
        <v>9.0</v>
      </c>
      <c r="I2" s="83">
        <v>10.0</v>
      </c>
      <c r="J2" s="83">
        <v>11.0</v>
      </c>
      <c r="K2" s="83">
        <v>12.0</v>
      </c>
      <c r="L2" s="83">
        <v>13.0</v>
      </c>
      <c r="M2" s="83">
        <v>14.0</v>
      </c>
      <c r="N2" s="83">
        <v>15.0</v>
      </c>
      <c r="O2" s="83">
        <v>16.0</v>
      </c>
      <c r="P2" s="83">
        <v>17.0</v>
      </c>
      <c r="Q2" s="83">
        <v>18.0</v>
      </c>
      <c r="R2" s="83">
        <v>19.0</v>
      </c>
      <c r="S2" s="83">
        <v>20.0</v>
      </c>
      <c r="T2" s="83">
        <v>21.0</v>
      </c>
      <c r="U2" s="83">
        <v>22.0</v>
      </c>
      <c r="V2" s="83">
        <v>23.0</v>
      </c>
      <c r="W2" s="84">
        <v>24.0</v>
      </c>
    </row>
    <row r="3">
      <c r="A3" s="20" t="s">
        <v>67</v>
      </c>
      <c r="M3" s="42">
        <v>1.0</v>
      </c>
      <c r="O3" s="42">
        <v>1.0</v>
      </c>
      <c r="W3" s="86"/>
    </row>
    <row r="4">
      <c r="A4" s="20" t="s">
        <v>70</v>
      </c>
      <c r="R4" s="42">
        <v>1.0</v>
      </c>
      <c r="U4" s="42">
        <v>1.0</v>
      </c>
      <c r="W4" s="87">
        <v>1.0</v>
      </c>
    </row>
    <row r="5">
      <c r="A5" s="125" t="s">
        <v>79</v>
      </c>
      <c r="B5" s="91"/>
      <c r="C5" s="91"/>
      <c r="D5" s="91"/>
      <c r="E5" s="92">
        <v>1.0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3"/>
    </row>
    <row r="6">
      <c r="A6" s="27" t="s">
        <v>88</v>
      </c>
      <c r="B6" s="42">
        <v>1.0</v>
      </c>
      <c r="G6" s="42">
        <v>1.0</v>
      </c>
      <c r="S6" s="42">
        <v>1.0</v>
      </c>
      <c r="W6" s="86"/>
    </row>
    <row r="7">
      <c r="A7" s="30" t="s">
        <v>98</v>
      </c>
      <c r="F7" s="42">
        <v>1.0</v>
      </c>
      <c r="P7" s="42">
        <v>1.0</v>
      </c>
      <c r="R7" s="97"/>
      <c r="W7" s="86"/>
    </row>
    <row r="8">
      <c r="A8" s="30" t="s">
        <v>101</v>
      </c>
      <c r="C8" s="42">
        <v>1.0</v>
      </c>
      <c r="D8" s="42">
        <v>1.0</v>
      </c>
      <c r="H8" s="42">
        <v>1.0</v>
      </c>
      <c r="T8" s="42">
        <v>1.0</v>
      </c>
      <c r="W8" s="86"/>
    </row>
    <row r="9">
      <c r="A9" s="34" t="s">
        <v>117</v>
      </c>
      <c r="L9" s="42">
        <v>1.0</v>
      </c>
      <c r="W9" s="86"/>
    </row>
    <row r="10">
      <c r="A10" s="34" t="s">
        <v>120</v>
      </c>
      <c r="N10" s="42">
        <v>1.0</v>
      </c>
      <c r="W10" s="86"/>
    </row>
    <row r="11">
      <c r="A11" s="34" t="s">
        <v>123</v>
      </c>
      <c r="V11" s="42">
        <v>1.0</v>
      </c>
      <c r="W11" s="86"/>
    </row>
    <row r="12">
      <c r="A12" s="34" t="s">
        <v>126</v>
      </c>
      <c r="I12" s="42">
        <v>1.0</v>
      </c>
      <c r="J12" s="42">
        <v>1.0</v>
      </c>
      <c r="K12" s="42">
        <v>1.0</v>
      </c>
      <c r="W12" s="86"/>
    </row>
    <row r="13">
      <c r="A13" s="38" t="s">
        <v>145</v>
      </c>
      <c r="Q13" s="42">
        <v>1.0</v>
      </c>
      <c r="W13" s="86"/>
    </row>
    <row r="50">
      <c r="A50" s="18"/>
      <c r="W50" s="86"/>
    </row>
    <row r="51">
      <c r="A51" s="18"/>
      <c r="W51" s="86"/>
    </row>
    <row r="52">
      <c r="A52" s="18"/>
      <c r="W52" s="86"/>
    </row>
    <row r="53">
      <c r="A53" s="18"/>
      <c r="W53" s="86"/>
    </row>
    <row r="54">
      <c r="A54" s="18"/>
      <c r="W54" s="86"/>
    </row>
    <row r="55">
      <c r="A55" s="18"/>
      <c r="W55" s="86"/>
    </row>
    <row r="56">
      <c r="A56" s="18"/>
      <c r="W56" s="86"/>
    </row>
    <row r="57">
      <c r="A57" s="18"/>
      <c r="W57" s="86"/>
    </row>
    <row r="58">
      <c r="A58" s="18"/>
      <c r="W58" s="86"/>
    </row>
    <row r="59">
      <c r="A59" s="18"/>
      <c r="W59" s="86"/>
    </row>
    <row r="60">
      <c r="A60" s="18"/>
      <c r="W60" s="86"/>
    </row>
    <row r="61">
      <c r="A61" s="18"/>
      <c r="W61" s="86"/>
    </row>
    <row r="62">
      <c r="A62" s="18"/>
      <c r="W62" s="86"/>
    </row>
    <row r="63">
      <c r="A63" s="18"/>
      <c r="W63" s="86"/>
    </row>
    <row r="64">
      <c r="A64" s="18"/>
      <c r="W64" s="86"/>
    </row>
    <row r="65">
      <c r="A65" s="18"/>
      <c r="W65" s="86"/>
    </row>
    <row r="66">
      <c r="A66" s="18"/>
      <c r="W66" s="86"/>
    </row>
    <row r="67">
      <c r="A67" s="18"/>
      <c r="W67" s="86"/>
    </row>
    <row r="68">
      <c r="A68" s="18"/>
      <c r="W68" s="86"/>
    </row>
    <row r="69">
      <c r="A69" s="18"/>
      <c r="W69" s="86"/>
    </row>
    <row r="70">
      <c r="A70" s="18"/>
      <c r="W70" s="86"/>
    </row>
    <row r="71">
      <c r="A71" s="18"/>
      <c r="W71" s="86"/>
    </row>
    <row r="72">
      <c r="A72" s="18"/>
      <c r="W72" s="86"/>
    </row>
    <row r="73">
      <c r="A73" s="18"/>
      <c r="W73" s="86"/>
    </row>
    <row r="74">
      <c r="A74" s="18"/>
      <c r="W74" s="86"/>
    </row>
    <row r="75">
      <c r="A75" s="18"/>
      <c r="W75" s="86"/>
    </row>
    <row r="76">
      <c r="A76" s="18"/>
      <c r="W76" s="86"/>
    </row>
    <row r="77">
      <c r="A77" s="18"/>
      <c r="W77" s="86"/>
    </row>
    <row r="78">
      <c r="A78" s="18"/>
      <c r="W78" s="86"/>
    </row>
    <row r="79">
      <c r="A79" s="18"/>
      <c r="W79" s="86"/>
    </row>
    <row r="80">
      <c r="A80" s="18"/>
      <c r="W80" s="86"/>
    </row>
    <row r="81">
      <c r="A81" s="18"/>
      <c r="W81" s="86"/>
    </row>
    <row r="82">
      <c r="A82" s="18"/>
      <c r="W82" s="86"/>
    </row>
    <row r="83">
      <c r="A83" s="18"/>
      <c r="W83" s="86"/>
    </row>
    <row r="84">
      <c r="A84" s="18"/>
      <c r="W84" s="86"/>
    </row>
    <row r="85">
      <c r="A85" s="18"/>
      <c r="W85" s="86"/>
    </row>
    <row r="86">
      <c r="A86" s="18"/>
      <c r="W86" s="86"/>
    </row>
    <row r="87">
      <c r="A87" s="18"/>
      <c r="W87" s="86"/>
    </row>
    <row r="88">
      <c r="A88" s="18"/>
      <c r="W88" s="86"/>
    </row>
    <row r="89">
      <c r="A89" s="18"/>
      <c r="W89" s="86"/>
    </row>
    <row r="90">
      <c r="A90" s="18"/>
      <c r="W90" s="86"/>
    </row>
    <row r="91">
      <c r="A91" s="18"/>
      <c r="W91" s="86"/>
    </row>
    <row r="92">
      <c r="A92" s="18"/>
      <c r="W92" s="86"/>
    </row>
    <row r="93">
      <c r="A93" s="18"/>
      <c r="W93" s="86"/>
    </row>
    <row r="94">
      <c r="A94" s="18"/>
      <c r="W94" s="86"/>
    </row>
    <row r="95">
      <c r="A95" s="18"/>
      <c r="W95" s="86"/>
    </row>
    <row r="96">
      <c r="A96" s="18"/>
      <c r="W96" s="86"/>
    </row>
    <row r="97">
      <c r="A97" s="18"/>
      <c r="W97" s="86"/>
    </row>
    <row r="98">
      <c r="A98" s="18"/>
      <c r="W98" s="86"/>
    </row>
    <row r="99">
      <c r="A99" s="18"/>
      <c r="W99" s="86"/>
    </row>
    <row r="100">
      <c r="A100" s="18"/>
      <c r="W100" s="86"/>
    </row>
    <row r="101">
      <c r="A101" s="18"/>
      <c r="W101" s="86"/>
    </row>
    <row r="102">
      <c r="A102" s="18"/>
      <c r="W102" s="86"/>
    </row>
    <row r="103">
      <c r="A103" s="18"/>
      <c r="W103" s="86"/>
    </row>
    <row r="104">
      <c r="A104" s="18"/>
      <c r="W104" s="86"/>
    </row>
    <row r="105">
      <c r="A105" s="18"/>
      <c r="W105" s="86"/>
    </row>
    <row r="106">
      <c r="A106" s="18"/>
      <c r="W106" s="86"/>
    </row>
    <row r="107">
      <c r="A107" s="18"/>
      <c r="W107" s="86"/>
    </row>
    <row r="108">
      <c r="A108" s="18"/>
      <c r="W108" s="86"/>
    </row>
    <row r="109">
      <c r="A109" s="18"/>
      <c r="W109" s="86"/>
    </row>
    <row r="110">
      <c r="A110" s="18"/>
      <c r="W110" s="86"/>
    </row>
    <row r="111">
      <c r="A111" s="18"/>
      <c r="W111" s="86"/>
    </row>
    <row r="112">
      <c r="A112" s="18"/>
      <c r="W112" s="86"/>
    </row>
    <row r="113">
      <c r="A113" s="18"/>
      <c r="W113" s="86"/>
    </row>
    <row r="114">
      <c r="A114" s="18"/>
      <c r="W114" s="86"/>
    </row>
    <row r="115">
      <c r="A115" s="18"/>
      <c r="W115" s="86"/>
    </row>
    <row r="116">
      <c r="A116" s="18"/>
      <c r="W116" s="86"/>
    </row>
    <row r="117">
      <c r="A117" s="18"/>
      <c r="W117" s="86"/>
    </row>
    <row r="118">
      <c r="A118" s="18"/>
      <c r="W118" s="86"/>
    </row>
    <row r="119">
      <c r="A119" s="18"/>
      <c r="W119" s="86"/>
    </row>
    <row r="120">
      <c r="A120" s="18"/>
      <c r="W120" s="86"/>
    </row>
    <row r="121">
      <c r="A121" s="18"/>
      <c r="W121" s="86"/>
    </row>
    <row r="122">
      <c r="A122" s="18"/>
      <c r="W122" s="86"/>
    </row>
    <row r="123">
      <c r="A123" s="18"/>
      <c r="W123" s="86"/>
    </row>
    <row r="124">
      <c r="A124" s="18"/>
      <c r="W124" s="86"/>
    </row>
    <row r="125">
      <c r="A125" s="18"/>
      <c r="W125" s="86"/>
    </row>
    <row r="126">
      <c r="A126" s="18"/>
      <c r="W126" s="86"/>
    </row>
    <row r="127">
      <c r="A127" s="18"/>
      <c r="W127" s="86"/>
    </row>
    <row r="128">
      <c r="A128" s="18"/>
      <c r="W128" s="86"/>
    </row>
    <row r="129">
      <c r="A129" s="18"/>
      <c r="W129" s="86"/>
    </row>
    <row r="130">
      <c r="A130" s="18"/>
      <c r="W130" s="86"/>
    </row>
    <row r="131">
      <c r="A131" s="18"/>
      <c r="W131" s="86"/>
    </row>
    <row r="132">
      <c r="A132" s="18"/>
      <c r="W132" s="86"/>
    </row>
    <row r="133">
      <c r="A133" s="18"/>
      <c r="W133" s="86"/>
    </row>
    <row r="134">
      <c r="A134" s="18"/>
      <c r="W134" s="86"/>
    </row>
    <row r="135">
      <c r="A135" s="18"/>
      <c r="W135" s="86"/>
    </row>
    <row r="136">
      <c r="A136" s="18"/>
      <c r="W136" s="86"/>
    </row>
    <row r="137">
      <c r="A137" s="18"/>
      <c r="W137" s="86"/>
    </row>
    <row r="138">
      <c r="A138" s="18"/>
      <c r="W138" s="86"/>
    </row>
    <row r="139">
      <c r="A139" s="18"/>
      <c r="W139" s="86"/>
    </row>
    <row r="140">
      <c r="A140" s="18"/>
      <c r="W140" s="86"/>
    </row>
    <row r="141">
      <c r="A141" s="18"/>
      <c r="W141" s="86"/>
    </row>
    <row r="142">
      <c r="A142" s="18"/>
      <c r="W142" s="86"/>
    </row>
    <row r="143">
      <c r="A143" s="18"/>
      <c r="W143" s="86"/>
    </row>
    <row r="144">
      <c r="A144" s="18"/>
      <c r="W144" s="86"/>
    </row>
    <row r="145">
      <c r="A145" s="18"/>
      <c r="W145" s="86"/>
    </row>
    <row r="146">
      <c r="A146" s="18"/>
      <c r="W146" s="86"/>
    </row>
    <row r="147">
      <c r="A147" s="18"/>
      <c r="W147" s="86"/>
    </row>
    <row r="148">
      <c r="A148" s="18"/>
      <c r="W148" s="86"/>
    </row>
    <row r="149">
      <c r="A149" s="18"/>
      <c r="W149" s="86"/>
    </row>
    <row r="150">
      <c r="A150" s="18"/>
      <c r="W150" s="86"/>
    </row>
    <row r="151">
      <c r="A151" s="18"/>
      <c r="W151" s="86"/>
    </row>
    <row r="152">
      <c r="A152" s="18"/>
      <c r="W152" s="86"/>
    </row>
    <row r="153">
      <c r="A153" s="18"/>
      <c r="W153" s="86"/>
    </row>
    <row r="154">
      <c r="A154" s="18"/>
      <c r="W154" s="86"/>
    </row>
    <row r="155">
      <c r="A155" s="18"/>
      <c r="W155" s="86"/>
    </row>
    <row r="156">
      <c r="A156" s="18"/>
      <c r="W156" s="86"/>
    </row>
    <row r="157">
      <c r="A157" s="18"/>
      <c r="W157" s="86"/>
    </row>
    <row r="158">
      <c r="A158" s="18"/>
      <c r="W158" s="86"/>
    </row>
    <row r="159">
      <c r="A159" s="18"/>
      <c r="W159" s="86"/>
    </row>
    <row r="160">
      <c r="A160" s="18"/>
      <c r="W160" s="86"/>
    </row>
    <row r="161">
      <c r="A161" s="18"/>
      <c r="W161" s="86"/>
    </row>
    <row r="162">
      <c r="A162" s="18"/>
      <c r="W162" s="86"/>
    </row>
    <row r="163">
      <c r="A163" s="18"/>
      <c r="W163" s="86"/>
    </row>
    <row r="164">
      <c r="A164" s="18"/>
      <c r="W164" s="86"/>
    </row>
    <row r="165">
      <c r="A165" s="18"/>
      <c r="W165" s="86"/>
    </row>
    <row r="166">
      <c r="A166" s="18"/>
      <c r="W166" s="86"/>
    </row>
    <row r="167">
      <c r="A167" s="18"/>
      <c r="W167" s="86"/>
    </row>
    <row r="168">
      <c r="A168" s="18"/>
      <c r="W168" s="86"/>
    </row>
    <row r="169">
      <c r="A169" s="18"/>
      <c r="W169" s="86"/>
    </row>
    <row r="170">
      <c r="A170" s="18"/>
      <c r="W170" s="86"/>
    </row>
    <row r="171">
      <c r="A171" s="18"/>
      <c r="W171" s="86"/>
    </row>
    <row r="172">
      <c r="A172" s="18"/>
      <c r="W172" s="86"/>
    </row>
    <row r="173">
      <c r="A173" s="18"/>
      <c r="W173" s="86"/>
    </row>
    <row r="174">
      <c r="A174" s="18"/>
      <c r="W174" s="86"/>
    </row>
    <row r="175">
      <c r="A175" s="18"/>
      <c r="W175" s="86"/>
    </row>
    <row r="176">
      <c r="A176" s="18"/>
      <c r="W176" s="86"/>
    </row>
    <row r="177">
      <c r="A177" s="18"/>
      <c r="W177" s="86"/>
    </row>
    <row r="178">
      <c r="A178" s="18"/>
      <c r="W178" s="86"/>
    </row>
    <row r="179">
      <c r="A179" s="18"/>
      <c r="W179" s="86"/>
    </row>
    <row r="180">
      <c r="A180" s="18"/>
      <c r="W180" s="86"/>
    </row>
    <row r="181">
      <c r="A181" s="18"/>
      <c r="W181" s="86"/>
    </row>
    <row r="182">
      <c r="A182" s="18"/>
      <c r="W182" s="86"/>
    </row>
    <row r="183">
      <c r="A183" s="18"/>
      <c r="W183" s="86"/>
    </row>
    <row r="184">
      <c r="A184" s="18"/>
      <c r="W184" s="86"/>
    </row>
    <row r="185">
      <c r="A185" s="18"/>
      <c r="W185" s="86"/>
    </row>
    <row r="186">
      <c r="A186" s="18"/>
      <c r="W186" s="86"/>
    </row>
    <row r="187">
      <c r="A187" s="18"/>
      <c r="W187" s="86"/>
    </row>
    <row r="188">
      <c r="A188" s="18"/>
      <c r="W188" s="86"/>
    </row>
    <row r="189">
      <c r="A189" s="18"/>
      <c r="W189" s="86"/>
    </row>
    <row r="190">
      <c r="A190" s="18"/>
      <c r="W190" s="86"/>
    </row>
    <row r="191">
      <c r="A191" s="18"/>
      <c r="W191" s="86"/>
    </row>
    <row r="192">
      <c r="A192" s="18"/>
      <c r="W192" s="86"/>
    </row>
    <row r="193">
      <c r="A193" s="18"/>
      <c r="W193" s="86"/>
    </row>
    <row r="194">
      <c r="A194" s="18"/>
      <c r="W194" s="86"/>
    </row>
    <row r="195">
      <c r="A195" s="18"/>
      <c r="W195" s="86"/>
    </row>
    <row r="196">
      <c r="A196" s="18"/>
      <c r="W196" s="86"/>
    </row>
    <row r="197">
      <c r="A197" s="18"/>
      <c r="W197" s="86"/>
    </row>
    <row r="198">
      <c r="A198" s="18"/>
      <c r="W198" s="86"/>
    </row>
    <row r="199">
      <c r="A199" s="18"/>
      <c r="W199" s="86"/>
    </row>
    <row r="200">
      <c r="A200" s="18"/>
      <c r="W200" s="86"/>
    </row>
    <row r="201">
      <c r="A201" s="18"/>
      <c r="W201" s="86"/>
    </row>
    <row r="202">
      <c r="A202" s="18"/>
      <c r="W202" s="86"/>
    </row>
    <row r="203">
      <c r="A203" s="18"/>
      <c r="W203" s="86"/>
    </row>
    <row r="204">
      <c r="A204" s="18"/>
      <c r="W204" s="86"/>
    </row>
    <row r="205">
      <c r="A205" s="18"/>
      <c r="W205" s="86"/>
    </row>
    <row r="206">
      <c r="A206" s="18"/>
      <c r="W206" s="86"/>
    </row>
    <row r="207">
      <c r="A207" s="18"/>
      <c r="W207" s="86"/>
    </row>
    <row r="208">
      <c r="A208" s="18"/>
      <c r="W208" s="86"/>
    </row>
    <row r="209">
      <c r="A209" s="18"/>
      <c r="W209" s="86"/>
    </row>
    <row r="210">
      <c r="A210" s="18"/>
      <c r="W210" s="86"/>
    </row>
    <row r="211">
      <c r="A211" s="18"/>
      <c r="W211" s="86"/>
    </row>
    <row r="212">
      <c r="A212" s="18"/>
      <c r="W212" s="86"/>
    </row>
    <row r="213">
      <c r="A213" s="18"/>
      <c r="W213" s="86"/>
    </row>
    <row r="214">
      <c r="A214" s="18"/>
      <c r="W214" s="86"/>
    </row>
    <row r="215">
      <c r="A215" s="18"/>
      <c r="W215" s="86"/>
    </row>
    <row r="216">
      <c r="A216" s="18"/>
      <c r="W216" s="86"/>
    </row>
    <row r="217">
      <c r="A217" s="18"/>
      <c r="W217" s="86"/>
    </row>
    <row r="218">
      <c r="A218" s="18"/>
      <c r="W218" s="86"/>
    </row>
    <row r="219">
      <c r="A219" s="18"/>
      <c r="W219" s="86"/>
    </row>
    <row r="220">
      <c r="A220" s="18"/>
      <c r="W220" s="86"/>
    </row>
    <row r="221">
      <c r="A221" s="18"/>
      <c r="W221" s="86"/>
    </row>
    <row r="222">
      <c r="A222" s="18"/>
      <c r="W222" s="86"/>
    </row>
    <row r="223">
      <c r="A223" s="18"/>
      <c r="W223" s="86"/>
    </row>
    <row r="224">
      <c r="A224" s="18"/>
      <c r="W224" s="86"/>
    </row>
    <row r="225">
      <c r="A225" s="18"/>
      <c r="W225" s="86"/>
    </row>
    <row r="226">
      <c r="A226" s="18"/>
      <c r="W226" s="86"/>
    </row>
    <row r="227">
      <c r="A227" s="18"/>
      <c r="W227" s="86"/>
    </row>
    <row r="228">
      <c r="A228" s="18"/>
      <c r="W228" s="86"/>
    </row>
    <row r="229">
      <c r="A229" s="18"/>
      <c r="W229" s="86"/>
    </row>
    <row r="230">
      <c r="A230" s="18"/>
      <c r="W230" s="86"/>
    </row>
    <row r="231">
      <c r="A231" s="18"/>
      <c r="W231" s="86"/>
    </row>
    <row r="232">
      <c r="A232" s="18"/>
      <c r="W232" s="86"/>
    </row>
    <row r="233">
      <c r="A233" s="18"/>
      <c r="W233" s="86"/>
    </row>
    <row r="234">
      <c r="A234" s="18"/>
      <c r="W234" s="86"/>
    </row>
    <row r="235">
      <c r="A235" s="18"/>
      <c r="W235" s="86"/>
    </row>
    <row r="236">
      <c r="A236" s="18"/>
      <c r="W236" s="86"/>
    </row>
    <row r="237">
      <c r="A237" s="18"/>
      <c r="W237" s="86"/>
    </row>
    <row r="238">
      <c r="A238" s="18"/>
      <c r="W238" s="86"/>
    </row>
    <row r="239">
      <c r="A239" s="18"/>
      <c r="W239" s="86"/>
    </row>
    <row r="240">
      <c r="A240" s="18"/>
      <c r="W240" s="86"/>
    </row>
    <row r="241">
      <c r="A241" s="18"/>
      <c r="W241" s="86"/>
    </row>
    <row r="242">
      <c r="A242" s="18"/>
      <c r="W242" s="86"/>
    </row>
    <row r="243">
      <c r="A243" s="18"/>
      <c r="W243" s="86"/>
    </row>
    <row r="244">
      <c r="A244" s="18"/>
      <c r="W244" s="86"/>
    </row>
    <row r="245">
      <c r="A245" s="18"/>
      <c r="W245" s="86"/>
    </row>
    <row r="246">
      <c r="A246" s="18"/>
      <c r="W246" s="86"/>
    </row>
    <row r="247">
      <c r="A247" s="18"/>
      <c r="W247" s="86"/>
    </row>
    <row r="248">
      <c r="A248" s="18"/>
      <c r="W248" s="86"/>
    </row>
    <row r="249">
      <c r="A249" s="18"/>
      <c r="W249" s="86"/>
    </row>
    <row r="250">
      <c r="A250" s="18"/>
      <c r="W250" s="86"/>
    </row>
    <row r="251">
      <c r="A251" s="18"/>
      <c r="W251" s="86"/>
    </row>
    <row r="252">
      <c r="A252" s="18"/>
      <c r="W252" s="86"/>
    </row>
    <row r="253">
      <c r="A253" s="18"/>
      <c r="W253" s="86"/>
    </row>
    <row r="254">
      <c r="A254" s="18"/>
      <c r="W254" s="86"/>
    </row>
    <row r="255">
      <c r="A255" s="18"/>
      <c r="W255" s="86"/>
    </row>
    <row r="256">
      <c r="A256" s="18"/>
      <c r="W256" s="86"/>
    </row>
    <row r="257">
      <c r="A257" s="18"/>
      <c r="W257" s="86"/>
    </row>
    <row r="258">
      <c r="A258" s="18"/>
      <c r="W258" s="86"/>
    </row>
    <row r="259">
      <c r="A259" s="18"/>
      <c r="W259" s="86"/>
    </row>
    <row r="260">
      <c r="A260" s="18"/>
      <c r="W260" s="86"/>
    </row>
    <row r="261">
      <c r="A261" s="18"/>
      <c r="W261" s="86"/>
    </row>
    <row r="262">
      <c r="A262" s="18"/>
      <c r="W262" s="86"/>
    </row>
    <row r="263">
      <c r="A263" s="18"/>
      <c r="W263" s="86"/>
    </row>
    <row r="264">
      <c r="A264" s="18"/>
      <c r="W264" s="86"/>
    </row>
    <row r="265">
      <c r="A265" s="18"/>
      <c r="W265" s="86"/>
    </row>
    <row r="266">
      <c r="A266" s="18"/>
      <c r="W266" s="86"/>
    </row>
    <row r="267">
      <c r="A267" s="18"/>
      <c r="W267" s="86"/>
    </row>
    <row r="268">
      <c r="A268" s="18"/>
      <c r="W268" s="86"/>
    </row>
    <row r="269">
      <c r="A269" s="18"/>
      <c r="W269" s="86"/>
    </row>
    <row r="270">
      <c r="A270" s="18"/>
      <c r="W270" s="86"/>
    </row>
    <row r="271">
      <c r="A271" s="18"/>
      <c r="W271" s="86"/>
    </row>
    <row r="272">
      <c r="A272" s="18"/>
      <c r="W272" s="86"/>
    </row>
    <row r="273">
      <c r="A273" s="18"/>
      <c r="W273" s="86"/>
    </row>
    <row r="274">
      <c r="A274" s="18"/>
      <c r="W274" s="86"/>
    </row>
    <row r="275">
      <c r="A275" s="18"/>
      <c r="W275" s="86"/>
    </row>
    <row r="276">
      <c r="A276" s="18"/>
      <c r="W276" s="86"/>
    </row>
    <row r="277">
      <c r="A277" s="18"/>
      <c r="W277" s="86"/>
    </row>
    <row r="278">
      <c r="A278" s="18"/>
      <c r="W278" s="86"/>
    </row>
    <row r="279">
      <c r="A279" s="18"/>
      <c r="W279" s="86"/>
    </row>
    <row r="280">
      <c r="A280" s="18"/>
      <c r="W280" s="86"/>
    </row>
    <row r="281">
      <c r="A281" s="18"/>
      <c r="W281" s="86"/>
    </row>
    <row r="282">
      <c r="A282" s="18"/>
      <c r="W282" s="86"/>
    </row>
    <row r="283">
      <c r="A283" s="18"/>
      <c r="W283" s="86"/>
    </row>
    <row r="284">
      <c r="A284" s="18"/>
      <c r="W284" s="86"/>
    </row>
    <row r="285">
      <c r="A285" s="18"/>
      <c r="W285" s="86"/>
    </row>
    <row r="286">
      <c r="A286" s="18"/>
      <c r="W286" s="86"/>
    </row>
    <row r="287">
      <c r="A287" s="18"/>
      <c r="W287" s="86"/>
    </row>
    <row r="288">
      <c r="A288" s="18"/>
      <c r="W288" s="86"/>
    </row>
    <row r="289">
      <c r="A289" s="18"/>
      <c r="W289" s="86"/>
    </row>
    <row r="290">
      <c r="A290" s="18"/>
      <c r="W290" s="86"/>
    </row>
    <row r="291">
      <c r="A291" s="18"/>
      <c r="W291" s="86"/>
    </row>
    <row r="292">
      <c r="A292" s="18"/>
      <c r="W292" s="86"/>
    </row>
    <row r="293">
      <c r="A293" s="18"/>
      <c r="W293" s="86"/>
    </row>
    <row r="294">
      <c r="A294" s="18"/>
      <c r="W294" s="86"/>
    </row>
    <row r="295">
      <c r="A295" s="18"/>
      <c r="W295" s="86"/>
    </row>
    <row r="296">
      <c r="A296" s="18"/>
      <c r="W296" s="86"/>
    </row>
    <row r="297">
      <c r="A297" s="18"/>
      <c r="W297" s="86"/>
    </row>
    <row r="298">
      <c r="A298" s="18"/>
      <c r="W298" s="86"/>
    </row>
    <row r="299">
      <c r="A299" s="18"/>
      <c r="W299" s="86"/>
    </row>
    <row r="300">
      <c r="A300" s="18"/>
      <c r="W300" s="86"/>
    </row>
    <row r="301">
      <c r="A301" s="18"/>
      <c r="W301" s="86"/>
    </row>
    <row r="302">
      <c r="A302" s="18"/>
      <c r="W302" s="86"/>
    </row>
    <row r="303">
      <c r="A303" s="18"/>
      <c r="W303" s="86"/>
    </row>
    <row r="304">
      <c r="A304" s="18"/>
      <c r="W304" s="86"/>
    </row>
    <row r="305">
      <c r="A305" s="18"/>
      <c r="W305" s="86"/>
    </row>
    <row r="306">
      <c r="A306" s="18"/>
      <c r="W306" s="86"/>
    </row>
    <row r="307">
      <c r="A307" s="18"/>
      <c r="W307" s="86"/>
    </row>
    <row r="308">
      <c r="A308" s="18"/>
      <c r="W308" s="86"/>
    </row>
    <row r="309">
      <c r="A309" s="18"/>
      <c r="W309" s="86"/>
    </row>
    <row r="310">
      <c r="A310" s="18"/>
      <c r="W310" s="86"/>
    </row>
    <row r="311">
      <c r="A311" s="18"/>
      <c r="W311" s="86"/>
    </row>
    <row r="312">
      <c r="A312" s="18"/>
      <c r="W312" s="86"/>
    </row>
    <row r="313">
      <c r="A313" s="18"/>
      <c r="W313" s="86"/>
    </row>
    <row r="314">
      <c r="A314" s="18"/>
      <c r="W314" s="86"/>
    </row>
    <row r="315">
      <c r="A315" s="18"/>
      <c r="W315" s="86"/>
    </row>
    <row r="316">
      <c r="A316" s="18"/>
      <c r="W316" s="86"/>
    </row>
    <row r="317">
      <c r="A317" s="18"/>
      <c r="W317" s="86"/>
    </row>
    <row r="318">
      <c r="A318" s="18"/>
      <c r="W318" s="86"/>
    </row>
    <row r="319">
      <c r="A319" s="18"/>
      <c r="W319" s="86"/>
    </row>
    <row r="320">
      <c r="A320" s="18"/>
      <c r="W320" s="86"/>
    </row>
    <row r="321">
      <c r="A321" s="18"/>
      <c r="W321" s="86"/>
    </row>
    <row r="322">
      <c r="A322" s="18"/>
      <c r="W322" s="86"/>
    </row>
    <row r="323">
      <c r="A323" s="18"/>
      <c r="W323" s="86"/>
    </row>
    <row r="324">
      <c r="A324" s="18"/>
      <c r="W324" s="86"/>
    </row>
    <row r="325">
      <c r="A325" s="18"/>
      <c r="W325" s="86"/>
    </row>
    <row r="326">
      <c r="A326" s="18"/>
      <c r="W326" s="86"/>
    </row>
    <row r="327">
      <c r="A327" s="18"/>
      <c r="W327" s="86"/>
    </row>
    <row r="328">
      <c r="A328" s="18"/>
      <c r="W328" s="86"/>
    </row>
    <row r="329">
      <c r="A329" s="18"/>
      <c r="W329" s="86"/>
    </row>
    <row r="330">
      <c r="A330" s="18"/>
      <c r="W330" s="86"/>
    </row>
    <row r="331">
      <c r="A331" s="18"/>
      <c r="W331" s="86"/>
    </row>
    <row r="332">
      <c r="A332" s="18"/>
      <c r="W332" s="86"/>
    </row>
    <row r="333">
      <c r="A333" s="18"/>
      <c r="W333" s="86"/>
    </row>
    <row r="334">
      <c r="A334" s="18"/>
      <c r="W334" s="86"/>
    </row>
    <row r="335">
      <c r="A335" s="18"/>
      <c r="W335" s="86"/>
    </row>
    <row r="336">
      <c r="A336" s="18"/>
      <c r="W336" s="86"/>
    </row>
    <row r="337">
      <c r="A337" s="18"/>
      <c r="W337" s="86"/>
    </row>
    <row r="338">
      <c r="A338" s="18"/>
      <c r="W338" s="86"/>
    </row>
    <row r="339">
      <c r="A339" s="18"/>
      <c r="W339" s="86"/>
    </row>
    <row r="340">
      <c r="A340" s="18"/>
      <c r="W340" s="86"/>
    </row>
    <row r="341">
      <c r="A341" s="18"/>
      <c r="W341" s="86"/>
    </row>
    <row r="342">
      <c r="A342" s="18"/>
      <c r="W342" s="86"/>
    </row>
    <row r="343">
      <c r="A343" s="18"/>
      <c r="W343" s="86"/>
    </row>
    <row r="344">
      <c r="A344" s="18"/>
      <c r="W344" s="86"/>
    </row>
    <row r="345">
      <c r="A345" s="18"/>
      <c r="W345" s="86"/>
    </row>
    <row r="346">
      <c r="A346" s="18"/>
      <c r="W346" s="86"/>
    </row>
    <row r="347">
      <c r="A347" s="18"/>
      <c r="W347" s="86"/>
    </row>
    <row r="348">
      <c r="A348" s="18"/>
      <c r="W348" s="86"/>
    </row>
    <row r="349">
      <c r="A349" s="18"/>
      <c r="W349" s="86"/>
    </row>
    <row r="350">
      <c r="A350" s="18"/>
      <c r="W350" s="86"/>
    </row>
    <row r="351">
      <c r="A351" s="18"/>
      <c r="W351" s="86"/>
    </row>
    <row r="352">
      <c r="A352" s="18"/>
      <c r="W352" s="86"/>
    </row>
    <row r="353">
      <c r="A353" s="18"/>
      <c r="W353" s="86"/>
    </row>
    <row r="354">
      <c r="A354" s="18"/>
      <c r="W354" s="86"/>
    </row>
    <row r="355">
      <c r="A355" s="18"/>
      <c r="W355" s="86"/>
    </row>
    <row r="356">
      <c r="A356" s="18"/>
      <c r="W356" s="86"/>
    </row>
    <row r="357">
      <c r="A357" s="18"/>
      <c r="W357" s="86"/>
    </row>
    <row r="358">
      <c r="A358" s="18"/>
      <c r="W358" s="86"/>
    </row>
    <row r="359">
      <c r="A359" s="18"/>
      <c r="W359" s="86"/>
    </row>
    <row r="360">
      <c r="A360" s="18"/>
      <c r="W360" s="86"/>
    </row>
    <row r="361">
      <c r="A361" s="18"/>
      <c r="W361" s="86"/>
    </row>
    <row r="362">
      <c r="A362" s="18"/>
      <c r="W362" s="86"/>
    </row>
    <row r="363">
      <c r="A363" s="18"/>
      <c r="W363" s="86"/>
    </row>
    <row r="364">
      <c r="A364" s="18"/>
      <c r="W364" s="86"/>
    </row>
    <row r="365">
      <c r="A365" s="18"/>
      <c r="W365" s="86"/>
    </row>
    <row r="366">
      <c r="A366" s="18"/>
      <c r="W366" s="86"/>
    </row>
    <row r="367">
      <c r="A367" s="18"/>
      <c r="W367" s="86"/>
    </row>
    <row r="368">
      <c r="A368" s="18"/>
      <c r="W368" s="86"/>
    </row>
    <row r="369">
      <c r="A369" s="18"/>
      <c r="W369" s="86"/>
    </row>
    <row r="370">
      <c r="A370" s="18"/>
      <c r="W370" s="86"/>
    </row>
    <row r="371">
      <c r="A371" s="18"/>
      <c r="W371" s="86"/>
    </row>
    <row r="372">
      <c r="A372" s="18"/>
      <c r="W372" s="86"/>
    </row>
    <row r="373">
      <c r="A373" s="18"/>
      <c r="W373" s="86"/>
    </row>
    <row r="374">
      <c r="A374" s="18"/>
      <c r="W374" s="86"/>
    </row>
    <row r="375">
      <c r="A375" s="18"/>
      <c r="W375" s="86"/>
    </row>
    <row r="376">
      <c r="A376" s="18"/>
      <c r="W376" s="86"/>
    </row>
    <row r="377">
      <c r="A377" s="18"/>
      <c r="W377" s="86"/>
    </row>
    <row r="378">
      <c r="A378" s="18"/>
      <c r="W378" s="86"/>
    </row>
    <row r="379">
      <c r="A379" s="18"/>
      <c r="W379" s="86"/>
    </row>
    <row r="380">
      <c r="A380" s="18"/>
      <c r="W380" s="86"/>
    </row>
    <row r="381">
      <c r="A381" s="18"/>
      <c r="W381" s="86"/>
    </row>
    <row r="382">
      <c r="A382" s="18"/>
      <c r="W382" s="86"/>
    </row>
    <row r="383">
      <c r="A383" s="18"/>
      <c r="W383" s="86"/>
    </row>
    <row r="384">
      <c r="A384" s="18"/>
      <c r="W384" s="86"/>
    </row>
    <row r="385">
      <c r="A385" s="18"/>
      <c r="W385" s="86"/>
    </row>
    <row r="386">
      <c r="A386" s="18"/>
      <c r="W386" s="86"/>
    </row>
    <row r="387">
      <c r="A387" s="18"/>
      <c r="W387" s="86"/>
    </row>
    <row r="388">
      <c r="A388" s="18"/>
      <c r="W388" s="86"/>
    </row>
    <row r="389">
      <c r="A389" s="18"/>
      <c r="W389" s="86"/>
    </row>
    <row r="390">
      <c r="A390" s="18"/>
      <c r="W390" s="86"/>
    </row>
    <row r="391">
      <c r="A391" s="18"/>
      <c r="W391" s="86"/>
    </row>
    <row r="392">
      <c r="A392" s="18"/>
      <c r="W392" s="86"/>
    </row>
    <row r="393">
      <c r="A393" s="18"/>
      <c r="W393" s="86"/>
    </row>
    <row r="394">
      <c r="A394" s="18"/>
      <c r="W394" s="86"/>
    </row>
    <row r="395">
      <c r="A395" s="18"/>
      <c r="W395" s="86"/>
    </row>
    <row r="396">
      <c r="A396" s="18"/>
      <c r="W396" s="86"/>
    </row>
    <row r="397">
      <c r="A397" s="18"/>
      <c r="W397" s="86"/>
    </row>
    <row r="398">
      <c r="A398" s="18"/>
      <c r="W398" s="86"/>
    </row>
    <row r="399">
      <c r="A399" s="18"/>
      <c r="W399" s="86"/>
    </row>
    <row r="400">
      <c r="A400" s="18"/>
      <c r="W400" s="86"/>
    </row>
    <row r="401">
      <c r="A401" s="18"/>
      <c r="W401" s="86"/>
    </row>
    <row r="402">
      <c r="A402" s="18"/>
      <c r="W402" s="86"/>
    </row>
    <row r="403">
      <c r="A403" s="18"/>
      <c r="W403" s="86"/>
    </row>
    <row r="404">
      <c r="A404" s="18"/>
      <c r="W404" s="86"/>
    </row>
    <row r="405">
      <c r="A405" s="18"/>
      <c r="W405" s="86"/>
    </row>
    <row r="406">
      <c r="A406" s="18"/>
      <c r="W406" s="86"/>
    </row>
    <row r="407">
      <c r="A407" s="18"/>
      <c r="W407" s="86"/>
    </row>
    <row r="408">
      <c r="A408" s="18"/>
      <c r="W408" s="86"/>
    </row>
    <row r="409">
      <c r="A409" s="18"/>
      <c r="W409" s="86"/>
    </row>
    <row r="410">
      <c r="A410" s="18"/>
      <c r="W410" s="86"/>
    </row>
    <row r="411">
      <c r="A411" s="18"/>
      <c r="W411" s="86"/>
    </row>
    <row r="412">
      <c r="A412" s="18"/>
      <c r="W412" s="86"/>
    </row>
    <row r="413">
      <c r="A413" s="18"/>
      <c r="W413" s="86"/>
    </row>
    <row r="414">
      <c r="A414" s="18"/>
      <c r="W414" s="86"/>
    </row>
    <row r="415">
      <c r="A415" s="18"/>
      <c r="W415" s="86"/>
    </row>
    <row r="416">
      <c r="A416" s="18"/>
      <c r="W416" s="86"/>
    </row>
    <row r="417">
      <c r="A417" s="18"/>
      <c r="W417" s="86"/>
    </row>
    <row r="418">
      <c r="A418" s="18"/>
      <c r="W418" s="86"/>
    </row>
    <row r="419">
      <c r="A419" s="18"/>
      <c r="W419" s="86"/>
    </row>
    <row r="420">
      <c r="A420" s="18"/>
      <c r="W420" s="86"/>
    </row>
    <row r="421">
      <c r="A421" s="18"/>
      <c r="W421" s="86"/>
    </row>
    <row r="422">
      <c r="A422" s="18"/>
      <c r="W422" s="86"/>
    </row>
    <row r="423">
      <c r="A423" s="18"/>
      <c r="W423" s="86"/>
    </row>
    <row r="424">
      <c r="A424" s="18"/>
      <c r="W424" s="86"/>
    </row>
    <row r="425">
      <c r="A425" s="18"/>
      <c r="W425" s="86"/>
    </row>
    <row r="426">
      <c r="A426" s="18"/>
      <c r="W426" s="86"/>
    </row>
    <row r="427">
      <c r="A427" s="18"/>
      <c r="W427" s="86"/>
    </row>
    <row r="428">
      <c r="A428" s="18"/>
      <c r="W428" s="86"/>
    </row>
    <row r="429">
      <c r="A429" s="18"/>
      <c r="W429" s="86"/>
    </row>
    <row r="430">
      <c r="A430" s="18"/>
      <c r="W430" s="86"/>
    </row>
    <row r="431">
      <c r="A431" s="18"/>
      <c r="W431" s="86"/>
    </row>
    <row r="432">
      <c r="A432" s="18"/>
      <c r="W432" s="86"/>
    </row>
    <row r="433">
      <c r="A433" s="18"/>
      <c r="W433" s="86"/>
    </row>
    <row r="434">
      <c r="A434" s="18"/>
      <c r="W434" s="86"/>
    </row>
    <row r="435">
      <c r="A435" s="18"/>
      <c r="W435" s="86"/>
    </row>
    <row r="436">
      <c r="A436" s="18"/>
      <c r="W436" s="86"/>
    </row>
    <row r="437">
      <c r="A437" s="18"/>
      <c r="W437" s="86"/>
    </row>
    <row r="438">
      <c r="A438" s="18"/>
      <c r="W438" s="86"/>
    </row>
    <row r="439">
      <c r="A439" s="18"/>
      <c r="W439" s="86"/>
    </row>
    <row r="440">
      <c r="A440" s="18"/>
      <c r="W440" s="86"/>
    </row>
    <row r="441">
      <c r="A441" s="18"/>
      <c r="W441" s="86"/>
    </row>
    <row r="442">
      <c r="A442" s="18"/>
      <c r="W442" s="86"/>
    </row>
    <row r="443">
      <c r="A443" s="18"/>
      <c r="W443" s="86"/>
    </row>
    <row r="444">
      <c r="A444" s="18"/>
      <c r="W444" s="86"/>
    </row>
    <row r="445">
      <c r="A445" s="18"/>
      <c r="W445" s="86"/>
    </row>
    <row r="446">
      <c r="A446" s="18"/>
      <c r="W446" s="86"/>
    </row>
    <row r="447">
      <c r="A447" s="18"/>
      <c r="W447" s="86"/>
    </row>
    <row r="448">
      <c r="A448" s="18"/>
      <c r="W448" s="86"/>
    </row>
    <row r="449">
      <c r="A449" s="18"/>
      <c r="W449" s="86"/>
    </row>
    <row r="450">
      <c r="A450" s="18"/>
      <c r="W450" s="86"/>
    </row>
    <row r="451">
      <c r="A451" s="18"/>
      <c r="W451" s="86"/>
    </row>
    <row r="452">
      <c r="A452" s="18"/>
      <c r="W452" s="86"/>
    </row>
    <row r="453">
      <c r="A453" s="18"/>
      <c r="W453" s="86"/>
    </row>
    <row r="454">
      <c r="A454" s="18"/>
      <c r="W454" s="86"/>
    </row>
    <row r="455">
      <c r="A455" s="18"/>
      <c r="W455" s="86"/>
    </row>
    <row r="456">
      <c r="A456" s="18"/>
      <c r="W456" s="86"/>
    </row>
    <row r="457">
      <c r="A457" s="18"/>
      <c r="W457" s="86"/>
    </row>
    <row r="458">
      <c r="A458" s="18"/>
      <c r="W458" s="86"/>
    </row>
    <row r="459">
      <c r="A459" s="18"/>
      <c r="W459" s="86"/>
    </row>
    <row r="460">
      <c r="A460" s="18"/>
      <c r="W460" s="86"/>
    </row>
    <row r="461">
      <c r="A461" s="18"/>
      <c r="W461" s="86"/>
    </row>
    <row r="462">
      <c r="A462" s="18"/>
      <c r="W462" s="86"/>
    </row>
    <row r="463">
      <c r="A463" s="18"/>
      <c r="W463" s="86"/>
    </row>
    <row r="464">
      <c r="A464" s="18"/>
      <c r="W464" s="86"/>
    </row>
    <row r="465">
      <c r="A465" s="18"/>
      <c r="W465" s="86"/>
    </row>
    <row r="466">
      <c r="A466" s="18"/>
      <c r="W466" s="86"/>
    </row>
    <row r="467">
      <c r="A467" s="18"/>
      <c r="W467" s="86"/>
    </row>
    <row r="468">
      <c r="A468" s="18"/>
      <c r="W468" s="86"/>
    </row>
    <row r="469">
      <c r="A469" s="18"/>
      <c r="W469" s="86"/>
    </row>
    <row r="470">
      <c r="A470" s="18"/>
      <c r="W470" s="86"/>
    </row>
    <row r="471">
      <c r="A471" s="18"/>
      <c r="W471" s="86"/>
    </row>
    <row r="472">
      <c r="A472" s="18"/>
      <c r="W472" s="86"/>
    </row>
    <row r="473">
      <c r="A473" s="18"/>
      <c r="W473" s="86"/>
    </row>
    <row r="474">
      <c r="A474" s="18"/>
      <c r="W474" s="86"/>
    </row>
    <row r="475">
      <c r="A475" s="18"/>
      <c r="W475" s="86"/>
    </row>
    <row r="476">
      <c r="A476" s="18"/>
      <c r="W476" s="86"/>
    </row>
    <row r="477">
      <c r="A477" s="18"/>
      <c r="W477" s="86"/>
    </row>
    <row r="478">
      <c r="A478" s="18"/>
      <c r="W478" s="86"/>
    </row>
    <row r="479">
      <c r="A479" s="18"/>
      <c r="W479" s="86"/>
    </row>
    <row r="480">
      <c r="A480" s="18"/>
      <c r="W480" s="86"/>
    </row>
    <row r="481">
      <c r="A481" s="18"/>
      <c r="W481" s="86"/>
    </row>
    <row r="482">
      <c r="A482" s="18"/>
      <c r="W482" s="86"/>
    </row>
    <row r="483">
      <c r="A483" s="18"/>
      <c r="W483" s="86"/>
    </row>
    <row r="484">
      <c r="A484" s="18"/>
      <c r="W484" s="86"/>
    </row>
    <row r="485">
      <c r="A485" s="18"/>
      <c r="W485" s="86"/>
    </row>
    <row r="486">
      <c r="A486" s="18"/>
      <c r="W486" s="86"/>
    </row>
    <row r="487">
      <c r="A487" s="18"/>
      <c r="W487" s="86"/>
    </row>
    <row r="488">
      <c r="A488" s="18"/>
      <c r="W488" s="86"/>
    </row>
    <row r="489">
      <c r="A489" s="18"/>
      <c r="W489" s="86"/>
    </row>
    <row r="490">
      <c r="A490" s="18"/>
      <c r="W490" s="86"/>
    </row>
    <row r="491">
      <c r="A491" s="18"/>
      <c r="W491" s="86"/>
    </row>
    <row r="492">
      <c r="A492" s="18"/>
      <c r="W492" s="86"/>
    </row>
    <row r="493">
      <c r="A493" s="18"/>
      <c r="W493" s="86"/>
    </row>
    <row r="494">
      <c r="A494" s="18"/>
      <c r="W494" s="86"/>
    </row>
    <row r="495">
      <c r="A495" s="18"/>
      <c r="W495" s="86"/>
    </row>
    <row r="496">
      <c r="A496" s="18"/>
      <c r="W496" s="86"/>
    </row>
    <row r="497">
      <c r="A497" s="18"/>
      <c r="W497" s="86"/>
    </row>
    <row r="498">
      <c r="A498" s="18"/>
      <c r="W498" s="86"/>
    </row>
    <row r="499">
      <c r="A499" s="18"/>
      <c r="W499" s="86"/>
    </row>
    <row r="500">
      <c r="A500" s="18"/>
      <c r="W500" s="86"/>
    </row>
    <row r="501">
      <c r="A501" s="18"/>
      <c r="W501" s="86"/>
    </row>
    <row r="502">
      <c r="A502" s="18"/>
      <c r="W502" s="86"/>
    </row>
    <row r="503">
      <c r="A503" s="18"/>
      <c r="W503" s="86"/>
    </row>
    <row r="504">
      <c r="A504" s="18"/>
      <c r="W504" s="86"/>
    </row>
    <row r="505">
      <c r="A505" s="18"/>
      <c r="W505" s="86"/>
    </row>
    <row r="506">
      <c r="A506" s="18"/>
      <c r="W506" s="86"/>
    </row>
    <row r="507">
      <c r="A507" s="18"/>
      <c r="W507" s="86"/>
    </row>
    <row r="508">
      <c r="A508" s="18"/>
      <c r="W508" s="86"/>
    </row>
    <row r="509">
      <c r="A509" s="18"/>
      <c r="W509" s="86"/>
    </row>
    <row r="510">
      <c r="A510" s="18"/>
      <c r="W510" s="86"/>
    </row>
    <row r="511">
      <c r="A511" s="18"/>
      <c r="W511" s="86"/>
    </row>
    <row r="512">
      <c r="A512" s="18"/>
      <c r="W512" s="86"/>
    </row>
    <row r="513">
      <c r="A513" s="18"/>
      <c r="W513" s="86"/>
    </row>
    <row r="514">
      <c r="A514" s="18"/>
      <c r="W514" s="86"/>
    </row>
    <row r="515">
      <c r="A515" s="18"/>
      <c r="W515" s="86"/>
    </row>
    <row r="516">
      <c r="A516" s="18"/>
      <c r="W516" s="86"/>
    </row>
    <row r="517">
      <c r="A517" s="18"/>
      <c r="W517" s="86"/>
    </row>
    <row r="518">
      <c r="A518" s="18"/>
      <c r="W518" s="86"/>
    </row>
    <row r="519">
      <c r="A519" s="18"/>
      <c r="W519" s="86"/>
    </row>
    <row r="520">
      <c r="A520" s="18"/>
      <c r="W520" s="86"/>
    </row>
    <row r="521">
      <c r="A521" s="18"/>
      <c r="W521" s="86"/>
    </row>
    <row r="522">
      <c r="A522" s="18"/>
      <c r="W522" s="86"/>
    </row>
    <row r="523">
      <c r="A523" s="18"/>
      <c r="W523" s="86"/>
    </row>
    <row r="524">
      <c r="A524" s="18"/>
      <c r="W524" s="86"/>
    </row>
    <row r="525">
      <c r="A525" s="18"/>
      <c r="W525" s="86"/>
    </row>
    <row r="526">
      <c r="A526" s="18"/>
      <c r="W526" s="86"/>
    </row>
    <row r="527">
      <c r="A527" s="18"/>
      <c r="W527" s="86"/>
    </row>
    <row r="528">
      <c r="A528" s="18"/>
      <c r="W528" s="86"/>
    </row>
    <row r="529">
      <c r="A529" s="18"/>
      <c r="W529" s="86"/>
    </row>
    <row r="530">
      <c r="A530" s="18"/>
      <c r="W530" s="86"/>
    </row>
    <row r="531">
      <c r="A531" s="18"/>
      <c r="W531" s="86"/>
    </row>
    <row r="532">
      <c r="A532" s="18"/>
      <c r="W532" s="86"/>
    </row>
    <row r="533">
      <c r="A533" s="18"/>
      <c r="W533" s="86"/>
    </row>
    <row r="534">
      <c r="A534" s="18"/>
      <c r="W534" s="86"/>
    </row>
    <row r="535">
      <c r="A535" s="18"/>
      <c r="W535" s="86"/>
    </row>
    <row r="536">
      <c r="A536" s="18"/>
      <c r="W536" s="86"/>
    </row>
    <row r="537">
      <c r="A537" s="18"/>
      <c r="W537" s="86"/>
    </row>
    <row r="538">
      <c r="A538" s="18"/>
      <c r="W538" s="86"/>
    </row>
    <row r="539">
      <c r="A539" s="18"/>
      <c r="W539" s="86"/>
    </row>
    <row r="540">
      <c r="A540" s="18"/>
      <c r="W540" s="86"/>
    </row>
    <row r="541">
      <c r="A541" s="18"/>
      <c r="W541" s="86"/>
    </row>
    <row r="542">
      <c r="A542" s="18"/>
      <c r="W542" s="86"/>
    </row>
    <row r="543">
      <c r="A543" s="18"/>
      <c r="W543" s="86"/>
    </row>
    <row r="544">
      <c r="A544" s="18"/>
      <c r="W544" s="86"/>
    </row>
    <row r="545">
      <c r="A545" s="18"/>
      <c r="W545" s="86"/>
    </row>
    <row r="546">
      <c r="A546" s="18"/>
      <c r="W546" s="86"/>
    </row>
    <row r="547">
      <c r="A547" s="18"/>
      <c r="W547" s="86"/>
    </row>
    <row r="548">
      <c r="A548" s="18"/>
      <c r="W548" s="86"/>
    </row>
    <row r="549">
      <c r="A549" s="18"/>
      <c r="W549" s="86"/>
    </row>
    <row r="550">
      <c r="A550" s="18"/>
      <c r="W550" s="86"/>
    </row>
    <row r="551">
      <c r="A551" s="18"/>
      <c r="W551" s="86"/>
    </row>
    <row r="552">
      <c r="A552" s="18"/>
      <c r="W552" s="86"/>
    </row>
    <row r="553">
      <c r="A553" s="18"/>
      <c r="W553" s="86"/>
    </row>
    <row r="554">
      <c r="A554" s="18"/>
      <c r="W554" s="86"/>
    </row>
    <row r="555">
      <c r="A555" s="18"/>
      <c r="W555" s="86"/>
    </row>
    <row r="556">
      <c r="A556" s="18"/>
      <c r="W556" s="86"/>
    </row>
    <row r="557">
      <c r="A557" s="18"/>
      <c r="W557" s="86"/>
    </row>
    <row r="558">
      <c r="A558" s="18"/>
      <c r="W558" s="86"/>
    </row>
    <row r="559">
      <c r="A559" s="18"/>
      <c r="W559" s="86"/>
    </row>
    <row r="560">
      <c r="A560" s="18"/>
      <c r="W560" s="86"/>
    </row>
    <row r="561">
      <c r="A561" s="18"/>
      <c r="W561" s="86"/>
    </row>
    <row r="562">
      <c r="A562" s="18"/>
      <c r="W562" s="86"/>
    </row>
    <row r="563">
      <c r="A563" s="18"/>
      <c r="W563" s="86"/>
    </row>
    <row r="564">
      <c r="A564" s="18"/>
      <c r="W564" s="86"/>
    </row>
    <row r="565">
      <c r="A565" s="18"/>
      <c r="W565" s="86"/>
    </row>
    <row r="566">
      <c r="A566" s="18"/>
      <c r="W566" s="86"/>
    </row>
    <row r="567">
      <c r="A567" s="18"/>
      <c r="W567" s="86"/>
    </row>
    <row r="568">
      <c r="A568" s="18"/>
      <c r="W568" s="86"/>
    </row>
    <row r="569">
      <c r="A569" s="18"/>
      <c r="W569" s="86"/>
    </row>
    <row r="570">
      <c r="A570" s="18"/>
      <c r="W570" s="86"/>
    </row>
    <row r="571">
      <c r="A571" s="18"/>
      <c r="W571" s="86"/>
    </row>
    <row r="572">
      <c r="A572" s="18"/>
      <c r="W572" s="86"/>
    </row>
    <row r="573">
      <c r="A573" s="18"/>
      <c r="W573" s="86"/>
    </row>
    <row r="574">
      <c r="A574" s="18"/>
      <c r="W574" s="86"/>
    </row>
    <row r="575">
      <c r="A575" s="18"/>
      <c r="W575" s="86"/>
    </row>
    <row r="576">
      <c r="A576" s="18"/>
      <c r="W576" s="86"/>
    </row>
    <row r="577">
      <c r="A577" s="18"/>
      <c r="W577" s="86"/>
    </row>
    <row r="578">
      <c r="A578" s="18"/>
      <c r="W578" s="86"/>
    </row>
    <row r="579">
      <c r="A579" s="18"/>
      <c r="W579" s="86"/>
    </row>
    <row r="580">
      <c r="A580" s="18"/>
      <c r="W580" s="86"/>
    </row>
    <row r="581">
      <c r="A581" s="18"/>
      <c r="W581" s="86"/>
    </row>
    <row r="582">
      <c r="A582" s="18"/>
      <c r="W582" s="86"/>
    </row>
    <row r="583">
      <c r="A583" s="18"/>
      <c r="W583" s="86"/>
    </row>
    <row r="584">
      <c r="A584" s="18"/>
      <c r="W584" s="86"/>
    </row>
    <row r="585">
      <c r="A585" s="18"/>
      <c r="W585" s="86"/>
    </row>
    <row r="586">
      <c r="A586" s="18"/>
      <c r="W586" s="86"/>
    </row>
    <row r="587">
      <c r="A587" s="18"/>
      <c r="W587" s="86"/>
    </row>
    <row r="588">
      <c r="A588" s="18"/>
      <c r="W588" s="86"/>
    </row>
    <row r="589">
      <c r="A589" s="18"/>
      <c r="W589" s="86"/>
    </row>
    <row r="590">
      <c r="A590" s="18"/>
      <c r="W590" s="86"/>
    </row>
    <row r="591">
      <c r="A591" s="18"/>
      <c r="W591" s="86"/>
    </row>
    <row r="592">
      <c r="A592" s="18"/>
      <c r="W592" s="86"/>
    </row>
    <row r="593">
      <c r="A593" s="18"/>
      <c r="W593" s="86"/>
    </row>
    <row r="594">
      <c r="A594" s="18"/>
      <c r="W594" s="86"/>
    </row>
    <row r="595">
      <c r="A595" s="18"/>
      <c r="W595" s="86"/>
    </row>
    <row r="596">
      <c r="A596" s="18"/>
      <c r="W596" s="86"/>
    </row>
    <row r="597">
      <c r="A597" s="18"/>
      <c r="W597" s="86"/>
    </row>
    <row r="598">
      <c r="A598" s="18"/>
      <c r="W598" s="86"/>
    </row>
    <row r="599">
      <c r="A599" s="18"/>
      <c r="W599" s="86"/>
    </row>
    <row r="600">
      <c r="A600" s="18"/>
      <c r="W600" s="86"/>
    </row>
    <row r="601">
      <c r="A601" s="18"/>
      <c r="W601" s="86"/>
    </row>
    <row r="602">
      <c r="A602" s="18"/>
      <c r="W602" s="86"/>
    </row>
    <row r="603">
      <c r="A603" s="18"/>
      <c r="W603" s="86"/>
    </row>
    <row r="604">
      <c r="A604" s="18"/>
      <c r="W604" s="86"/>
    </row>
    <row r="605">
      <c r="A605" s="18"/>
      <c r="W605" s="86"/>
    </row>
    <row r="606">
      <c r="A606" s="18"/>
      <c r="W606" s="86"/>
    </row>
    <row r="607">
      <c r="A607" s="18"/>
      <c r="W607" s="86"/>
    </row>
    <row r="608">
      <c r="A608" s="18"/>
      <c r="W608" s="86"/>
    </row>
    <row r="609">
      <c r="A609" s="18"/>
      <c r="W609" s="86"/>
    </row>
    <row r="610">
      <c r="A610" s="18"/>
      <c r="W610" s="86"/>
    </row>
    <row r="611">
      <c r="A611" s="18"/>
      <c r="W611" s="86"/>
    </row>
    <row r="612">
      <c r="A612" s="18"/>
      <c r="W612" s="86"/>
    </row>
    <row r="613">
      <c r="A613" s="18"/>
      <c r="W613" s="86"/>
    </row>
    <row r="614">
      <c r="A614" s="18"/>
      <c r="W614" s="86"/>
    </row>
    <row r="615">
      <c r="A615" s="18"/>
      <c r="W615" s="86"/>
    </row>
    <row r="616">
      <c r="A616" s="18"/>
      <c r="W616" s="86"/>
    </row>
    <row r="617">
      <c r="A617" s="18"/>
      <c r="W617" s="86"/>
    </row>
    <row r="618">
      <c r="A618" s="18"/>
      <c r="W618" s="86"/>
    </row>
    <row r="619">
      <c r="A619" s="18"/>
      <c r="W619" s="86"/>
    </row>
    <row r="620">
      <c r="A620" s="18"/>
      <c r="W620" s="86"/>
    </row>
    <row r="621">
      <c r="A621" s="18"/>
      <c r="W621" s="86"/>
    </row>
    <row r="622">
      <c r="A622" s="18"/>
      <c r="W622" s="86"/>
    </row>
    <row r="623">
      <c r="A623" s="18"/>
      <c r="W623" s="86"/>
    </row>
    <row r="624">
      <c r="A624" s="18"/>
      <c r="W624" s="86"/>
    </row>
    <row r="625">
      <c r="A625" s="18"/>
      <c r="W625" s="86"/>
    </row>
    <row r="626">
      <c r="A626" s="18"/>
      <c r="W626" s="86"/>
    </row>
    <row r="627">
      <c r="A627" s="18"/>
      <c r="W627" s="86"/>
    </row>
    <row r="628">
      <c r="A628" s="18"/>
      <c r="W628" s="86"/>
    </row>
    <row r="629">
      <c r="A629" s="18"/>
      <c r="W629" s="86"/>
    </row>
    <row r="630">
      <c r="A630" s="18"/>
      <c r="W630" s="86"/>
    </row>
    <row r="631">
      <c r="A631" s="18"/>
      <c r="W631" s="86"/>
    </row>
    <row r="632">
      <c r="A632" s="18"/>
      <c r="W632" s="86"/>
    </row>
    <row r="633">
      <c r="A633" s="18"/>
      <c r="W633" s="86"/>
    </row>
    <row r="634">
      <c r="A634" s="18"/>
      <c r="W634" s="86"/>
    </row>
    <row r="635">
      <c r="A635" s="18"/>
      <c r="W635" s="86"/>
    </row>
    <row r="636">
      <c r="A636" s="18"/>
      <c r="W636" s="86"/>
    </row>
    <row r="637">
      <c r="A637" s="18"/>
      <c r="W637" s="86"/>
    </row>
    <row r="638">
      <c r="A638" s="18"/>
      <c r="W638" s="86"/>
    </row>
    <row r="639">
      <c r="A639" s="18"/>
      <c r="W639" s="86"/>
    </row>
    <row r="640">
      <c r="A640" s="18"/>
      <c r="W640" s="86"/>
    </row>
    <row r="641">
      <c r="A641" s="18"/>
      <c r="W641" s="86"/>
    </row>
    <row r="642">
      <c r="A642" s="18"/>
      <c r="W642" s="86"/>
    </row>
    <row r="643">
      <c r="A643" s="18"/>
      <c r="W643" s="86"/>
    </row>
    <row r="644">
      <c r="A644" s="18"/>
      <c r="W644" s="86"/>
    </row>
    <row r="645">
      <c r="A645" s="18"/>
      <c r="W645" s="86"/>
    </row>
    <row r="646">
      <c r="A646" s="18"/>
      <c r="W646" s="86"/>
    </row>
    <row r="647">
      <c r="A647" s="18"/>
      <c r="W647" s="86"/>
    </row>
    <row r="648">
      <c r="A648" s="18"/>
      <c r="W648" s="86"/>
    </row>
    <row r="649">
      <c r="A649" s="18"/>
      <c r="W649" s="86"/>
    </row>
    <row r="650">
      <c r="A650" s="18"/>
      <c r="W650" s="86"/>
    </row>
    <row r="651">
      <c r="A651" s="18"/>
      <c r="W651" s="86"/>
    </row>
    <row r="652">
      <c r="A652" s="18"/>
      <c r="W652" s="86"/>
    </row>
    <row r="653">
      <c r="A653" s="18"/>
      <c r="W653" s="86"/>
    </row>
    <row r="654">
      <c r="A654" s="18"/>
      <c r="W654" s="86"/>
    </row>
    <row r="655">
      <c r="A655" s="18"/>
      <c r="W655" s="86"/>
    </row>
    <row r="656">
      <c r="A656" s="18"/>
      <c r="W656" s="86"/>
    </row>
    <row r="657">
      <c r="A657" s="18"/>
      <c r="W657" s="86"/>
    </row>
    <row r="658">
      <c r="A658" s="18"/>
      <c r="W658" s="86"/>
    </row>
    <row r="659">
      <c r="A659" s="18"/>
      <c r="W659" s="86"/>
    </row>
    <row r="660">
      <c r="A660" s="18"/>
      <c r="W660" s="86"/>
    </row>
    <row r="661">
      <c r="A661" s="18"/>
      <c r="W661" s="86"/>
    </row>
    <row r="662">
      <c r="A662" s="18"/>
      <c r="W662" s="86"/>
    </row>
    <row r="663">
      <c r="A663" s="18"/>
      <c r="W663" s="86"/>
    </row>
    <row r="664">
      <c r="A664" s="18"/>
      <c r="W664" s="86"/>
    </row>
    <row r="665">
      <c r="A665" s="18"/>
      <c r="W665" s="86"/>
    </row>
    <row r="666">
      <c r="A666" s="18"/>
      <c r="W666" s="86"/>
    </row>
    <row r="667">
      <c r="A667" s="18"/>
      <c r="W667" s="86"/>
    </row>
    <row r="668">
      <c r="A668" s="18"/>
      <c r="W668" s="86"/>
    </row>
    <row r="669">
      <c r="A669" s="18"/>
      <c r="W669" s="86"/>
    </row>
    <row r="670">
      <c r="A670" s="18"/>
      <c r="W670" s="86"/>
    </row>
    <row r="671">
      <c r="A671" s="18"/>
      <c r="W671" s="86"/>
    </row>
    <row r="672">
      <c r="A672" s="18"/>
      <c r="W672" s="86"/>
    </row>
    <row r="673">
      <c r="A673" s="18"/>
      <c r="W673" s="86"/>
    </row>
    <row r="674">
      <c r="A674" s="18"/>
      <c r="W674" s="86"/>
    </row>
    <row r="675">
      <c r="A675" s="18"/>
      <c r="W675" s="86"/>
    </row>
    <row r="676">
      <c r="A676" s="18"/>
      <c r="W676" s="86"/>
    </row>
    <row r="677">
      <c r="A677" s="18"/>
      <c r="W677" s="86"/>
    </row>
    <row r="678">
      <c r="A678" s="18"/>
      <c r="W678" s="86"/>
    </row>
    <row r="679">
      <c r="A679" s="18"/>
      <c r="W679" s="86"/>
    </row>
    <row r="680">
      <c r="A680" s="18"/>
      <c r="W680" s="86"/>
    </row>
    <row r="681">
      <c r="A681" s="18"/>
      <c r="W681" s="86"/>
    </row>
    <row r="682">
      <c r="A682" s="18"/>
      <c r="W682" s="86"/>
    </row>
    <row r="683">
      <c r="A683" s="18"/>
      <c r="W683" s="86"/>
    </row>
    <row r="684">
      <c r="A684" s="18"/>
      <c r="W684" s="86"/>
    </row>
    <row r="685">
      <c r="A685" s="18"/>
      <c r="W685" s="86"/>
    </row>
    <row r="686">
      <c r="A686" s="18"/>
      <c r="W686" s="86"/>
    </row>
    <row r="687">
      <c r="A687" s="18"/>
      <c r="W687" s="86"/>
    </row>
    <row r="688">
      <c r="A688" s="18"/>
      <c r="W688" s="86"/>
    </row>
    <row r="689">
      <c r="A689" s="18"/>
      <c r="W689" s="86"/>
    </row>
    <row r="690">
      <c r="A690" s="18"/>
      <c r="W690" s="86"/>
    </row>
    <row r="691">
      <c r="A691" s="18"/>
      <c r="W691" s="86"/>
    </row>
    <row r="692">
      <c r="A692" s="18"/>
      <c r="W692" s="86"/>
    </row>
    <row r="693">
      <c r="A693" s="18"/>
      <c r="W693" s="86"/>
    </row>
    <row r="694">
      <c r="A694" s="18"/>
      <c r="W694" s="86"/>
    </row>
    <row r="695">
      <c r="A695" s="18"/>
      <c r="W695" s="86"/>
    </row>
    <row r="696">
      <c r="A696" s="18"/>
      <c r="W696" s="86"/>
    </row>
    <row r="697">
      <c r="A697" s="18"/>
      <c r="W697" s="86"/>
    </row>
    <row r="698">
      <c r="A698" s="18"/>
      <c r="W698" s="86"/>
    </row>
    <row r="699">
      <c r="A699" s="18"/>
      <c r="W699" s="86"/>
    </row>
    <row r="700">
      <c r="A700" s="18"/>
      <c r="W700" s="86"/>
    </row>
    <row r="701">
      <c r="A701" s="18"/>
      <c r="W701" s="86"/>
    </row>
    <row r="702">
      <c r="A702" s="18"/>
      <c r="W702" s="86"/>
    </row>
    <row r="703">
      <c r="A703" s="18"/>
      <c r="W703" s="86"/>
    </row>
    <row r="704">
      <c r="A704" s="18"/>
      <c r="W704" s="86"/>
    </row>
    <row r="705">
      <c r="A705" s="18"/>
      <c r="W705" s="86"/>
    </row>
    <row r="706">
      <c r="A706" s="18"/>
      <c r="W706" s="86"/>
    </row>
    <row r="707">
      <c r="A707" s="18"/>
      <c r="W707" s="86"/>
    </row>
    <row r="708">
      <c r="A708" s="18"/>
      <c r="W708" s="86"/>
    </row>
    <row r="709">
      <c r="A709" s="18"/>
      <c r="W709" s="86"/>
    </row>
    <row r="710">
      <c r="A710" s="18"/>
      <c r="W710" s="86"/>
    </row>
    <row r="711">
      <c r="A711" s="18"/>
      <c r="W711" s="86"/>
    </row>
    <row r="712">
      <c r="A712" s="18"/>
      <c r="W712" s="86"/>
    </row>
    <row r="713">
      <c r="A713" s="18"/>
      <c r="W713" s="86"/>
    </row>
    <row r="714">
      <c r="A714" s="18"/>
      <c r="W714" s="86"/>
    </row>
    <row r="715">
      <c r="A715" s="18"/>
      <c r="W715" s="86"/>
    </row>
    <row r="716">
      <c r="A716" s="18"/>
      <c r="W716" s="86"/>
    </row>
    <row r="717">
      <c r="A717" s="18"/>
      <c r="W717" s="86"/>
    </row>
    <row r="718">
      <c r="A718" s="18"/>
      <c r="W718" s="86"/>
    </row>
    <row r="719">
      <c r="A719" s="18"/>
      <c r="W719" s="86"/>
    </row>
    <row r="720">
      <c r="A720" s="18"/>
      <c r="W720" s="86"/>
    </row>
    <row r="721">
      <c r="A721" s="18"/>
      <c r="W721" s="86"/>
    </row>
    <row r="722">
      <c r="A722" s="18"/>
      <c r="W722" s="86"/>
    </row>
    <row r="723">
      <c r="A723" s="18"/>
      <c r="W723" s="86"/>
    </row>
    <row r="724">
      <c r="A724" s="18"/>
      <c r="W724" s="86"/>
    </row>
    <row r="725">
      <c r="A725" s="18"/>
      <c r="W725" s="86"/>
    </row>
    <row r="726">
      <c r="A726" s="18"/>
      <c r="W726" s="86"/>
    </row>
    <row r="727">
      <c r="A727" s="18"/>
      <c r="W727" s="86"/>
    </row>
    <row r="728">
      <c r="A728" s="18"/>
      <c r="W728" s="86"/>
    </row>
    <row r="729">
      <c r="A729" s="18"/>
      <c r="W729" s="86"/>
    </row>
    <row r="730">
      <c r="A730" s="18"/>
      <c r="W730" s="86"/>
    </row>
    <row r="731">
      <c r="A731" s="18"/>
      <c r="W731" s="86"/>
    </row>
    <row r="732">
      <c r="A732" s="18"/>
      <c r="W732" s="86"/>
    </row>
    <row r="733">
      <c r="A733" s="18"/>
      <c r="W733" s="86"/>
    </row>
    <row r="734">
      <c r="A734" s="18"/>
      <c r="W734" s="86"/>
    </row>
    <row r="735">
      <c r="A735" s="18"/>
      <c r="W735" s="86"/>
    </row>
    <row r="736">
      <c r="A736" s="18"/>
      <c r="W736" s="86"/>
    </row>
    <row r="737">
      <c r="A737" s="18"/>
      <c r="W737" s="86"/>
    </row>
    <row r="738">
      <c r="A738" s="18"/>
      <c r="W738" s="86"/>
    </row>
    <row r="739">
      <c r="A739" s="18"/>
      <c r="W739" s="86"/>
    </row>
    <row r="740">
      <c r="A740" s="18"/>
      <c r="W740" s="86"/>
    </row>
    <row r="741">
      <c r="A741" s="18"/>
      <c r="W741" s="86"/>
    </row>
    <row r="742">
      <c r="A742" s="18"/>
      <c r="W742" s="86"/>
    </row>
    <row r="743">
      <c r="A743" s="18"/>
      <c r="W743" s="86"/>
    </row>
    <row r="744">
      <c r="A744" s="18"/>
      <c r="W744" s="86"/>
    </row>
    <row r="745">
      <c r="A745" s="18"/>
      <c r="W745" s="86"/>
    </row>
    <row r="746">
      <c r="A746" s="18"/>
      <c r="W746" s="86"/>
    </row>
    <row r="747">
      <c r="A747" s="18"/>
      <c r="W747" s="86"/>
    </row>
    <row r="748">
      <c r="A748" s="18"/>
      <c r="W748" s="86"/>
    </row>
    <row r="749">
      <c r="A749" s="18"/>
      <c r="W749" s="86"/>
    </row>
    <row r="750">
      <c r="A750" s="18"/>
      <c r="W750" s="86"/>
    </row>
    <row r="751">
      <c r="A751" s="18"/>
      <c r="W751" s="86"/>
    </row>
    <row r="752">
      <c r="A752" s="18"/>
      <c r="W752" s="86"/>
    </row>
    <row r="753">
      <c r="A753" s="18"/>
      <c r="W753" s="86"/>
    </row>
    <row r="754">
      <c r="A754" s="18"/>
      <c r="W754" s="86"/>
    </row>
    <row r="755">
      <c r="A755" s="18"/>
      <c r="W755" s="86"/>
    </row>
    <row r="756">
      <c r="A756" s="18"/>
      <c r="W756" s="86"/>
    </row>
    <row r="757">
      <c r="A757" s="18"/>
      <c r="W757" s="86"/>
    </row>
    <row r="758">
      <c r="A758" s="18"/>
      <c r="W758" s="86"/>
    </row>
    <row r="759">
      <c r="A759" s="18"/>
      <c r="W759" s="86"/>
    </row>
    <row r="760">
      <c r="A760" s="18"/>
      <c r="W760" s="86"/>
    </row>
    <row r="761">
      <c r="A761" s="18"/>
      <c r="W761" s="86"/>
    </row>
    <row r="762">
      <c r="A762" s="18"/>
      <c r="W762" s="86"/>
    </row>
    <row r="763">
      <c r="A763" s="18"/>
      <c r="W763" s="86"/>
    </row>
    <row r="764">
      <c r="A764" s="18"/>
      <c r="W764" s="86"/>
    </row>
    <row r="765">
      <c r="A765" s="18"/>
      <c r="W765" s="86"/>
    </row>
    <row r="766">
      <c r="A766" s="18"/>
      <c r="W766" s="86"/>
    </row>
    <row r="767">
      <c r="A767" s="18"/>
      <c r="W767" s="86"/>
    </row>
    <row r="768">
      <c r="A768" s="18"/>
      <c r="W768" s="86"/>
    </row>
    <row r="769">
      <c r="A769" s="18"/>
      <c r="W769" s="86"/>
    </row>
    <row r="770">
      <c r="A770" s="18"/>
      <c r="W770" s="86"/>
    </row>
    <row r="771">
      <c r="A771" s="18"/>
      <c r="W771" s="86"/>
    </row>
    <row r="772">
      <c r="A772" s="18"/>
      <c r="W772" s="86"/>
    </row>
    <row r="773">
      <c r="A773" s="18"/>
      <c r="W773" s="86"/>
    </row>
    <row r="774">
      <c r="A774" s="18"/>
      <c r="W774" s="86"/>
    </row>
    <row r="775">
      <c r="A775" s="18"/>
      <c r="W775" s="86"/>
    </row>
    <row r="776">
      <c r="A776" s="18"/>
      <c r="W776" s="86"/>
    </row>
    <row r="777">
      <c r="A777" s="18"/>
      <c r="W777" s="86"/>
    </row>
    <row r="778">
      <c r="A778" s="18"/>
      <c r="W778" s="86"/>
    </row>
    <row r="779">
      <c r="A779" s="18"/>
      <c r="W779" s="86"/>
    </row>
    <row r="780">
      <c r="A780" s="18"/>
      <c r="W780" s="86"/>
    </row>
    <row r="781">
      <c r="A781" s="18"/>
      <c r="W781" s="86"/>
    </row>
    <row r="782">
      <c r="A782" s="18"/>
      <c r="W782" s="86"/>
    </row>
    <row r="783">
      <c r="A783" s="18"/>
      <c r="W783" s="86"/>
    </row>
    <row r="784">
      <c r="A784" s="18"/>
      <c r="W784" s="86"/>
    </row>
    <row r="785">
      <c r="A785" s="18"/>
      <c r="W785" s="86"/>
    </row>
    <row r="786">
      <c r="A786" s="18"/>
      <c r="W786" s="86"/>
    </row>
    <row r="787">
      <c r="A787" s="18"/>
      <c r="W787" s="86"/>
    </row>
    <row r="788">
      <c r="A788" s="18"/>
      <c r="W788" s="86"/>
    </row>
    <row r="789">
      <c r="A789" s="18"/>
      <c r="W789" s="86"/>
    </row>
    <row r="790">
      <c r="A790" s="18"/>
      <c r="W790" s="86"/>
    </row>
    <row r="791">
      <c r="A791" s="18"/>
      <c r="W791" s="86"/>
    </row>
    <row r="792">
      <c r="A792" s="18"/>
      <c r="W792" s="86"/>
    </row>
    <row r="793">
      <c r="A793" s="18"/>
      <c r="W793" s="86"/>
    </row>
    <row r="794">
      <c r="A794" s="18"/>
      <c r="W794" s="86"/>
    </row>
    <row r="795">
      <c r="A795" s="18"/>
      <c r="W795" s="86"/>
    </row>
    <row r="796">
      <c r="A796" s="18"/>
      <c r="W796" s="86"/>
    </row>
    <row r="797">
      <c r="A797" s="18"/>
      <c r="W797" s="86"/>
    </row>
    <row r="798">
      <c r="A798" s="18"/>
      <c r="W798" s="86"/>
    </row>
    <row r="799">
      <c r="A799" s="18"/>
      <c r="W799" s="86"/>
    </row>
    <row r="800">
      <c r="A800" s="18"/>
      <c r="W800" s="86"/>
    </row>
    <row r="801">
      <c r="A801" s="18"/>
      <c r="W801" s="86"/>
    </row>
    <row r="802">
      <c r="A802" s="18"/>
      <c r="W802" s="86"/>
    </row>
    <row r="803">
      <c r="A803" s="18"/>
      <c r="W803" s="86"/>
    </row>
    <row r="804">
      <c r="A804" s="18"/>
      <c r="W804" s="86"/>
    </row>
    <row r="805">
      <c r="A805" s="18"/>
      <c r="W805" s="86"/>
    </row>
    <row r="806">
      <c r="A806" s="18"/>
      <c r="W806" s="86"/>
    </row>
    <row r="807">
      <c r="A807" s="18"/>
      <c r="W807" s="86"/>
    </row>
    <row r="808">
      <c r="A808" s="18"/>
      <c r="W808" s="86"/>
    </row>
    <row r="809">
      <c r="A809" s="18"/>
      <c r="W809" s="86"/>
    </row>
    <row r="810">
      <c r="A810" s="18"/>
      <c r="W810" s="86"/>
    </row>
    <row r="811">
      <c r="A811" s="18"/>
      <c r="W811" s="86"/>
    </row>
    <row r="812">
      <c r="A812" s="18"/>
      <c r="W812" s="86"/>
    </row>
    <row r="813">
      <c r="A813" s="18"/>
      <c r="W813" s="86"/>
    </row>
    <row r="814">
      <c r="A814" s="18"/>
      <c r="W814" s="86"/>
    </row>
    <row r="815">
      <c r="A815" s="18"/>
      <c r="W815" s="86"/>
    </row>
    <row r="816">
      <c r="A816" s="18"/>
      <c r="W816" s="86"/>
    </row>
    <row r="817">
      <c r="A817" s="18"/>
      <c r="W817" s="86"/>
    </row>
    <row r="818">
      <c r="A818" s="18"/>
      <c r="W818" s="86"/>
    </row>
    <row r="819">
      <c r="A819" s="18"/>
      <c r="W819" s="86"/>
    </row>
    <row r="820">
      <c r="A820" s="18"/>
      <c r="W820" s="86"/>
    </row>
    <row r="821">
      <c r="A821" s="18"/>
      <c r="W821" s="86"/>
    </row>
    <row r="822">
      <c r="A822" s="18"/>
      <c r="W822" s="86"/>
    </row>
    <row r="823">
      <c r="A823" s="18"/>
      <c r="W823" s="86"/>
    </row>
    <row r="824">
      <c r="A824" s="18"/>
      <c r="W824" s="86"/>
    </row>
    <row r="825">
      <c r="A825" s="18"/>
      <c r="W825" s="86"/>
    </row>
    <row r="826">
      <c r="A826" s="18"/>
      <c r="W826" s="86"/>
    </row>
    <row r="827">
      <c r="A827" s="18"/>
      <c r="W827" s="86"/>
    </row>
    <row r="828">
      <c r="A828" s="18"/>
      <c r="W828" s="86"/>
    </row>
    <row r="829">
      <c r="A829" s="18"/>
      <c r="W829" s="86"/>
    </row>
    <row r="830">
      <c r="A830" s="18"/>
      <c r="W830" s="86"/>
    </row>
    <row r="831">
      <c r="A831" s="18"/>
      <c r="W831" s="86"/>
    </row>
    <row r="832">
      <c r="A832" s="18"/>
      <c r="W832" s="86"/>
    </row>
    <row r="833">
      <c r="A833" s="18"/>
      <c r="W833" s="86"/>
    </row>
    <row r="834">
      <c r="A834" s="18"/>
      <c r="W834" s="86"/>
    </row>
    <row r="835">
      <c r="A835" s="18"/>
      <c r="W835" s="86"/>
    </row>
    <row r="836">
      <c r="A836" s="18"/>
      <c r="W836" s="86"/>
    </row>
    <row r="837">
      <c r="A837" s="18"/>
      <c r="W837" s="86"/>
    </row>
    <row r="838">
      <c r="A838" s="18"/>
      <c r="W838" s="86"/>
    </row>
    <row r="839">
      <c r="A839" s="18"/>
      <c r="W839" s="86"/>
    </row>
    <row r="840">
      <c r="A840" s="18"/>
      <c r="W840" s="86"/>
    </row>
    <row r="841">
      <c r="A841" s="18"/>
      <c r="W841" s="86"/>
    </row>
    <row r="842">
      <c r="A842" s="18"/>
      <c r="W842" s="86"/>
    </row>
    <row r="843">
      <c r="A843" s="18"/>
      <c r="W843" s="86"/>
    </row>
    <row r="844">
      <c r="A844" s="18"/>
      <c r="W844" s="86"/>
    </row>
    <row r="845">
      <c r="A845" s="18"/>
      <c r="W845" s="86"/>
    </row>
    <row r="846">
      <c r="A846" s="18"/>
      <c r="W846" s="86"/>
    </row>
    <row r="847">
      <c r="A847" s="18"/>
      <c r="W847" s="86"/>
    </row>
    <row r="848">
      <c r="A848" s="18"/>
      <c r="W848" s="86"/>
    </row>
    <row r="849">
      <c r="A849" s="18"/>
      <c r="W849" s="86"/>
    </row>
    <row r="850">
      <c r="A850" s="18"/>
      <c r="W850" s="86"/>
    </row>
    <row r="851">
      <c r="A851" s="18"/>
      <c r="W851" s="86"/>
    </row>
    <row r="852">
      <c r="A852" s="18"/>
      <c r="W852" s="86"/>
    </row>
    <row r="853">
      <c r="A853" s="18"/>
      <c r="W853" s="86"/>
    </row>
    <row r="854">
      <c r="A854" s="18"/>
      <c r="W854" s="86"/>
    </row>
    <row r="855">
      <c r="A855" s="18"/>
      <c r="W855" s="86"/>
    </row>
    <row r="856">
      <c r="A856" s="18"/>
      <c r="W856" s="86"/>
    </row>
    <row r="857">
      <c r="A857" s="18"/>
      <c r="W857" s="86"/>
    </row>
    <row r="858">
      <c r="A858" s="18"/>
      <c r="W858" s="86"/>
    </row>
    <row r="859">
      <c r="A859" s="18"/>
      <c r="W859" s="86"/>
    </row>
    <row r="860">
      <c r="A860" s="18"/>
      <c r="W860" s="86"/>
    </row>
    <row r="861">
      <c r="A861" s="18"/>
      <c r="W861" s="86"/>
    </row>
    <row r="862">
      <c r="A862" s="18"/>
      <c r="W862" s="86"/>
    </row>
    <row r="863">
      <c r="A863" s="18"/>
      <c r="W863" s="86"/>
    </row>
    <row r="864">
      <c r="A864" s="18"/>
      <c r="W864" s="86"/>
    </row>
    <row r="865">
      <c r="A865" s="18"/>
      <c r="W865" s="86"/>
    </row>
    <row r="866">
      <c r="A866" s="18"/>
      <c r="W866" s="86"/>
    </row>
    <row r="867">
      <c r="A867" s="18"/>
      <c r="W867" s="86"/>
    </row>
    <row r="868">
      <c r="A868" s="18"/>
      <c r="W868" s="86"/>
    </row>
    <row r="869">
      <c r="A869" s="18"/>
      <c r="W869" s="86"/>
    </row>
    <row r="870">
      <c r="A870" s="18"/>
      <c r="W870" s="86"/>
    </row>
    <row r="871">
      <c r="A871" s="18"/>
      <c r="W871" s="86"/>
    </row>
    <row r="872">
      <c r="A872" s="18"/>
      <c r="W872" s="86"/>
    </row>
    <row r="873">
      <c r="A873" s="18"/>
      <c r="W873" s="86"/>
    </row>
    <row r="874">
      <c r="A874" s="18"/>
      <c r="W874" s="86"/>
    </row>
    <row r="875">
      <c r="A875" s="18"/>
      <c r="W875" s="86"/>
    </row>
    <row r="876">
      <c r="A876" s="18"/>
      <c r="W876" s="86"/>
    </row>
    <row r="877">
      <c r="A877" s="18"/>
      <c r="W877" s="86"/>
    </row>
    <row r="878">
      <c r="A878" s="18"/>
      <c r="W878" s="86"/>
    </row>
    <row r="879">
      <c r="A879" s="18"/>
      <c r="W879" s="86"/>
    </row>
    <row r="880">
      <c r="A880" s="18"/>
      <c r="W880" s="86"/>
    </row>
    <row r="881">
      <c r="A881" s="18"/>
      <c r="W881" s="86"/>
    </row>
    <row r="882">
      <c r="A882" s="18"/>
      <c r="W882" s="86"/>
    </row>
    <row r="883">
      <c r="A883" s="18"/>
      <c r="W883" s="86"/>
    </row>
    <row r="884">
      <c r="A884" s="18"/>
      <c r="W884" s="86"/>
    </row>
    <row r="885">
      <c r="A885" s="18"/>
      <c r="W885" s="86"/>
    </row>
    <row r="886">
      <c r="A886" s="18"/>
      <c r="W886" s="86"/>
    </row>
    <row r="887">
      <c r="A887" s="18"/>
      <c r="W887" s="86"/>
    </row>
    <row r="888">
      <c r="A888" s="18"/>
      <c r="W888" s="86"/>
    </row>
    <row r="889">
      <c r="A889" s="18"/>
      <c r="W889" s="86"/>
    </row>
    <row r="890">
      <c r="A890" s="18"/>
      <c r="W890" s="86"/>
    </row>
    <row r="891">
      <c r="A891" s="18"/>
      <c r="W891" s="86"/>
    </row>
    <row r="892">
      <c r="A892" s="18"/>
      <c r="W892" s="86"/>
    </row>
    <row r="893">
      <c r="A893" s="18"/>
      <c r="W893" s="86"/>
    </row>
    <row r="894">
      <c r="A894" s="18"/>
      <c r="W894" s="86"/>
    </row>
    <row r="895">
      <c r="A895" s="18"/>
      <c r="W895" s="86"/>
    </row>
    <row r="896">
      <c r="A896" s="18"/>
      <c r="W896" s="86"/>
    </row>
    <row r="897">
      <c r="A897" s="18"/>
      <c r="W897" s="86"/>
    </row>
    <row r="898">
      <c r="A898" s="18"/>
      <c r="W898" s="86"/>
    </row>
    <row r="899">
      <c r="A899" s="18"/>
      <c r="W899" s="86"/>
    </row>
    <row r="900">
      <c r="A900" s="18"/>
      <c r="W900" s="86"/>
    </row>
    <row r="901">
      <c r="A901" s="18"/>
      <c r="W901" s="86"/>
    </row>
    <row r="902">
      <c r="A902" s="18"/>
      <c r="W902" s="86"/>
    </row>
    <row r="903">
      <c r="A903" s="18"/>
      <c r="W903" s="86"/>
    </row>
    <row r="904">
      <c r="A904" s="18"/>
      <c r="W904" s="86"/>
    </row>
    <row r="905">
      <c r="A905" s="18"/>
      <c r="W905" s="86"/>
    </row>
    <row r="906">
      <c r="A906" s="18"/>
      <c r="W906" s="86"/>
    </row>
    <row r="907">
      <c r="A907" s="18"/>
      <c r="W907" s="86"/>
    </row>
    <row r="908">
      <c r="A908" s="18"/>
      <c r="W908" s="86"/>
    </row>
    <row r="909">
      <c r="A909" s="18"/>
      <c r="W909" s="86"/>
    </row>
    <row r="910">
      <c r="A910" s="18"/>
      <c r="W910" s="86"/>
    </row>
    <row r="911">
      <c r="A911" s="18"/>
      <c r="W911" s="86"/>
    </row>
    <row r="912">
      <c r="A912" s="18"/>
      <c r="W912" s="86"/>
    </row>
    <row r="913">
      <c r="A913" s="18"/>
      <c r="W913" s="86"/>
    </row>
    <row r="914">
      <c r="A914" s="18"/>
      <c r="W914" s="86"/>
    </row>
    <row r="915">
      <c r="A915" s="18"/>
      <c r="W915" s="86"/>
    </row>
    <row r="916">
      <c r="A916" s="18"/>
      <c r="W916" s="86"/>
    </row>
    <row r="917">
      <c r="A917" s="18"/>
      <c r="W917" s="86"/>
    </row>
    <row r="918">
      <c r="A918" s="18"/>
      <c r="W918" s="86"/>
    </row>
    <row r="919">
      <c r="A919" s="18"/>
      <c r="W919" s="86"/>
    </row>
    <row r="920">
      <c r="A920" s="18"/>
      <c r="W920" s="86"/>
    </row>
    <row r="921">
      <c r="A921" s="18"/>
      <c r="W921" s="86"/>
    </row>
    <row r="922">
      <c r="A922" s="18"/>
      <c r="W922" s="86"/>
    </row>
    <row r="923">
      <c r="A923" s="18"/>
      <c r="W923" s="86"/>
    </row>
    <row r="924">
      <c r="A924" s="18"/>
      <c r="W924" s="86"/>
    </row>
    <row r="925">
      <c r="A925" s="18"/>
      <c r="W925" s="86"/>
    </row>
    <row r="926">
      <c r="A926" s="18"/>
      <c r="W926" s="86"/>
    </row>
    <row r="927">
      <c r="A927" s="18"/>
      <c r="W927" s="86"/>
    </row>
    <row r="928">
      <c r="A928" s="18"/>
      <c r="W928" s="86"/>
    </row>
    <row r="929">
      <c r="A929" s="18"/>
      <c r="W929" s="86"/>
    </row>
    <row r="930">
      <c r="A930" s="18"/>
      <c r="W930" s="86"/>
    </row>
    <row r="931">
      <c r="A931" s="18"/>
      <c r="W931" s="86"/>
    </row>
    <row r="932">
      <c r="A932" s="18"/>
      <c r="W932" s="86"/>
    </row>
    <row r="933">
      <c r="A933" s="18"/>
      <c r="W933" s="86"/>
    </row>
    <row r="934">
      <c r="A934" s="18"/>
      <c r="W934" s="86"/>
    </row>
    <row r="935">
      <c r="A935" s="18"/>
      <c r="W935" s="86"/>
    </row>
    <row r="936">
      <c r="A936" s="18"/>
      <c r="W936" s="86"/>
    </row>
    <row r="937">
      <c r="A937" s="18"/>
      <c r="W937" s="86"/>
    </row>
    <row r="938">
      <c r="A938" s="18"/>
      <c r="W938" s="86"/>
    </row>
    <row r="939">
      <c r="A939" s="18"/>
      <c r="W939" s="86"/>
    </row>
    <row r="940">
      <c r="A940" s="18"/>
      <c r="W940" s="86"/>
    </row>
    <row r="941">
      <c r="A941" s="18"/>
      <c r="W941" s="86"/>
    </row>
    <row r="942">
      <c r="A942" s="18"/>
      <c r="W942" s="86"/>
    </row>
    <row r="943">
      <c r="A943" s="18"/>
      <c r="W943" s="86"/>
    </row>
    <row r="944">
      <c r="A944" s="18"/>
      <c r="W944" s="86"/>
    </row>
    <row r="945">
      <c r="A945" s="18"/>
      <c r="W945" s="86"/>
    </row>
    <row r="946">
      <c r="A946" s="18"/>
      <c r="W946" s="86"/>
    </row>
    <row r="947">
      <c r="A947" s="18"/>
      <c r="W947" s="86"/>
    </row>
    <row r="948">
      <c r="A948" s="18"/>
      <c r="W948" s="86"/>
    </row>
    <row r="949">
      <c r="A949" s="18"/>
      <c r="W949" s="86"/>
    </row>
    <row r="950">
      <c r="A950" s="18"/>
      <c r="W950" s="86"/>
    </row>
    <row r="951">
      <c r="A951" s="18"/>
      <c r="W951" s="86"/>
    </row>
    <row r="952">
      <c r="A952" s="18"/>
      <c r="W952" s="86"/>
    </row>
    <row r="953">
      <c r="A953" s="18"/>
      <c r="W953" s="86"/>
    </row>
    <row r="954">
      <c r="A954" s="18"/>
      <c r="W954" s="86"/>
    </row>
    <row r="955">
      <c r="A955" s="18"/>
      <c r="W955" s="86"/>
    </row>
    <row r="956">
      <c r="A956" s="18"/>
      <c r="W956" s="86"/>
    </row>
    <row r="957">
      <c r="A957" s="18"/>
      <c r="W957" s="86"/>
    </row>
    <row r="958">
      <c r="A958" s="18"/>
      <c r="W958" s="86"/>
    </row>
    <row r="959">
      <c r="A959" s="18"/>
      <c r="W959" s="86"/>
    </row>
    <row r="960">
      <c r="A960" s="18"/>
      <c r="W960" s="86"/>
    </row>
    <row r="961">
      <c r="A961" s="18"/>
      <c r="W961" s="86"/>
    </row>
    <row r="962">
      <c r="A962" s="18"/>
      <c r="W962" s="86"/>
    </row>
    <row r="963">
      <c r="A963" s="18"/>
      <c r="W963" s="86"/>
    </row>
    <row r="964">
      <c r="A964" s="18"/>
      <c r="W964" s="86"/>
    </row>
    <row r="965">
      <c r="A965" s="18"/>
      <c r="W965" s="86"/>
    </row>
    <row r="966">
      <c r="A966" s="18"/>
      <c r="W966" s="86"/>
    </row>
    <row r="967">
      <c r="A967" s="18"/>
      <c r="W967" s="86"/>
    </row>
    <row r="968">
      <c r="A968" s="18"/>
      <c r="W968" s="86"/>
    </row>
    <row r="969">
      <c r="A969" s="18"/>
      <c r="W969" s="86"/>
    </row>
    <row r="970">
      <c r="A970" s="18"/>
      <c r="W970" s="86"/>
    </row>
    <row r="971">
      <c r="A971" s="18"/>
      <c r="W971" s="86"/>
    </row>
    <row r="972">
      <c r="A972" s="18"/>
      <c r="W972" s="86"/>
    </row>
    <row r="973">
      <c r="A973" s="18"/>
      <c r="W973" s="86"/>
    </row>
    <row r="974">
      <c r="A974" s="18"/>
      <c r="W974" s="86"/>
    </row>
    <row r="975">
      <c r="A975" s="18"/>
      <c r="W975" s="86"/>
    </row>
    <row r="976">
      <c r="W976" s="86"/>
    </row>
    <row r="977">
      <c r="W977" s="86"/>
    </row>
    <row r="978">
      <c r="W978" s="86"/>
    </row>
    <row r="979">
      <c r="W979" s="86"/>
    </row>
    <row r="980">
      <c r="W980" s="86"/>
    </row>
    <row r="981">
      <c r="W981" s="86"/>
    </row>
    <row r="982">
      <c r="W982" s="86"/>
    </row>
    <row r="983">
      <c r="W983" s="86"/>
    </row>
  </sheetData>
  <mergeCells count="1">
    <mergeCell ref="B1:W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75"/>
    <col customWidth="1" min="3" max="3" width="3.0"/>
    <col customWidth="1" min="4" max="11" width="1.88"/>
    <col customWidth="1" min="12" max="12" width="2.88"/>
    <col customWidth="1" min="13" max="13" width="2.75"/>
    <col customWidth="1" min="14" max="18" width="2.88"/>
    <col customWidth="1" min="19" max="19" width="3.0"/>
  </cols>
  <sheetData>
    <row r="1">
      <c r="A1" s="18"/>
      <c r="B1" s="76"/>
      <c r="C1" s="79" t="s">
        <v>8</v>
      </c>
      <c r="S1" s="78"/>
    </row>
    <row r="2">
      <c r="A2" s="81" t="s">
        <v>167</v>
      </c>
      <c r="B2" s="82" t="s">
        <v>168</v>
      </c>
      <c r="C2" s="83">
        <v>1.0</v>
      </c>
      <c r="D2" s="83">
        <v>2.0</v>
      </c>
      <c r="E2" s="83">
        <v>3.0</v>
      </c>
      <c r="F2" s="83">
        <v>4.0</v>
      </c>
      <c r="G2" s="83">
        <v>5.0</v>
      </c>
      <c r="H2" s="83">
        <v>6.0</v>
      </c>
      <c r="I2" s="83">
        <v>7.0</v>
      </c>
      <c r="J2" s="83">
        <v>8.0</v>
      </c>
      <c r="K2" s="83">
        <v>9.0</v>
      </c>
      <c r="L2" s="83">
        <v>10.0</v>
      </c>
      <c r="M2" s="83">
        <v>11.0</v>
      </c>
      <c r="N2" s="83">
        <v>13.0</v>
      </c>
      <c r="O2" s="83">
        <v>14.0</v>
      </c>
      <c r="P2" s="83">
        <v>15.0</v>
      </c>
      <c r="Q2" s="83">
        <v>16.0</v>
      </c>
      <c r="R2" s="83">
        <v>17.0</v>
      </c>
      <c r="S2" s="84">
        <v>18.0</v>
      </c>
    </row>
    <row r="3">
      <c r="A3" s="20" t="s">
        <v>67</v>
      </c>
      <c r="B3" s="85">
        <f t="shared" ref="B3:B13" si="1">sum(C3:S3)</f>
        <v>1</v>
      </c>
      <c r="F3" s="42">
        <v>1.0</v>
      </c>
      <c r="S3" s="86"/>
    </row>
    <row r="4">
      <c r="A4" s="20" t="s">
        <v>70</v>
      </c>
      <c r="B4" s="85">
        <f t="shared" si="1"/>
        <v>3</v>
      </c>
      <c r="C4" s="42">
        <v>1.0</v>
      </c>
      <c r="D4" s="42">
        <v>1.0</v>
      </c>
      <c r="G4" s="42">
        <v>1.0</v>
      </c>
      <c r="S4" s="86"/>
    </row>
    <row r="5">
      <c r="A5" s="20" t="s">
        <v>73</v>
      </c>
      <c r="B5" s="85">
        <f t="shared" si="1"/>
        <v>1</v>
      </c>
      <c r="E5" s="42">
        <v>1.0</v>
      </c>
      <c r="S5" s="86"/>
    </row>
    <row r="6">
      <c r="A6" s="20" t="s">
        <v>79</v>
      </c>
      <c r="B6" s="88">
        <f t="shared" si="1"/>
        <v>2</v>
      </c>
      <c r="H6" s="89">
        <v>1.0</v>
      </c>
      <c r="I6" s="42">
        <v>1.0</v>
      </c>
    </row>
    <row r="7">
      <c r="A7" s="27" t="s">
        <v>88</v>
      </c>
      <c r="B7" s="85">
        <f t="shared" si="1"/>
        <v>4</v>
      </c>
      <c r="J7" s="42">
        <v>1.0</v>
      </c>
      <c r="K7" s="42">
        <v>1.0</v>
      </c>
      <c r="L7" s="42">
        <v>1.0</v>
      </c>
      <c r="M7" s="42">
        <v>1.0</v>
      </c>
      <c r="S7" s="86"/>
    </row>
    <row r="8">
      <c r="A8" s="30" t="s">
        <v>98</v>
      </c>
      <c r="B8" s="85">
        <f t="shared" si="1"/>
        <v>2</v>
      </c>
      <c r="N8" s="42">
        <v>1.0</v>
      </c>
      <c r="P8" s="42">
        <v>1.0</v>
      </c>
      <c r="S8" s="86"/>
    </row>
    <row r="9">
      <c r="A9" s="30" t="s">
        <v>101</v>
      </c>
      <c r="B9" s="85">
        <f t="shared" si="1"/>
        <v>1</v>
      </c>
      <c r="Q9" s="42">
        <v>1.0</v>
      </c>
      <c r="S9" s="86"/>
    </row>
    <row r="10">
      <c r="A10" s="34" t="s">
        <v>126</v>
      </c>
      <c r="B10" s="85">
        <f t="shared" si="1"/>
        <v>1</v>
      </c>
      <c r="O10" s="42">
        <v>1.0</v>
      </c>
      <c r="S10" s="86"/>
    </row>
    <row r="11">
      <c r="A11" s="34" t="s">
        <v>132</v>
      </c>
      <c r="B11" s="85">
        <f t="shared" si="1"/>
        <v>1</v>
      </c>
      <c r="H11" s="42">
        <v>1.0</v>
      </c>
      <c r="S11" s="86"/>
    </row>
    <row r="12">
      <c r="A12" s="38" t="s">
        <v>142</v>
      </c>
      <c r="B12" s="85">
        <f t="shared" si="1"/>
        <v>1</v>
      </c>
      <c r="S12" s="87">
        <v>1.0</v>
      </c>
    </row>
    <row r="13">
      <c r="A13" s="38" t="s">
        <v>148</v>
      </c>
      <c r="B13" s="85">
        <f t="shared" si="1"/>
        <v>1</v>
      </c>
      <c r="R13" s="42">
        <v>1.0</v>
      </c>
      <c r="S13" s="86"/>
    </row>
    <row r="14">
      <c r="C14" s="88">
        <f t="shared" ref="C14:S14" si="2">sum(C3:C13)</f>
        <v>1</v>
      </c>
      <c r="D14" s="88">
        <f t="shared" si="2"/>
        <v>1</v>
      </c>
      <c r="E14" s="88">
        <f t="shared" si="2"/>
        <v>1</v>
      </c>
      <c r="F14" s="88">
        <f t="shared" si="2"/>
        <v>1</v>
      </c>
      <c r="G14" s="88">
        <f t="shared" si="2"/>
        <v>1</v>
      </c>
      <c r="H14" s="88">
        <f t="shared" si="2"/>
        <v>2</v>
      </c>
      <c r="I14" s="88">
        <f t="shared" si="2"/>
        <v>1</v>
      </c>
      <c r="J14" s="88">
        <f t="shared" si="2"/>
        <v>1</v>
      </c>
      <c r="K14" s="88">
        <f t="shared" si="2"/>
        <v>1</v>
      </c>
      <c r="L14" s="88">
        <f t="shared" si="2"/>
        <v>1</v>
      </c>
      <c r="M14" s="88">
        <f t="shared" si="2"/>
        <v>1</v>
      </c>
      <c r="N14" s="88">
        <f t="shared" si="2"/>
        <v>1</v>
      </c>
      <c r="O14" s="88">
        <f t="shared" si="2"/>
        <v>1</v>
      </c>
      <c r="P14" s="88">
        <f t="shared" si="2"/>
        <v>1</v>
      </c>
      <c r="Q14" s="88">
        <f t="shared" si="2"/>
        <v>1</v>
      </c>
      <c r="R14" s="88">
        <f t="shared" si="2"/>
        <v>1</v>
      </c>
      <c r="S14" s="88">
        <f t="shared" si="2"/>
        <v>1</v>
      </c>
    </row>
    <row r="50">
      <c r="A50" s="18"/>
      <c r="S50" s="86"/>
    </row>
    <row r="51">
      <c r="A51" s="18"/>
      <c r="S51" s="86"/>
    </row>
    <row r="52">
      <c r="A52" s="18"/>
      <c r="S52" s="86"/>
    </row>
    <row r="53">
      <c r="A53" s="18"/>
      <c r="S53" s="86"/>
    </row>
    <row r="54">
      <c r="A54" s="18"/>
      <c r="S54" s="86"/>
    </row>
    <row r="55">
      <c r="A55" s="18"/>
      <c r="S55" s="86"/>
    </row>
    <row r="56">
      <c r="A56" s="18"/>
      <c r="S56" s="86"/>
    </row>
    <row r="57">
      <c r="A57" s="18"/>
      <c r="S57" s="86"/>
    </row>
    <row r="58">
      <c r="A58" s="18"/>
      <c r="S58" s="86"/>
    </row>
    <row r="59">
      <c r="A59" s="18"/>
      <c r="S59" s="86"/>
    </row>
    <row r="60">
      <c r="A60" s="18"/>
      <c r="S60" s="86"/>
    </row>
    <row r="61">
      <c r="A61" s="18"/>
      <c r="S61" s="86"/>
    </row>
    <row r="62">
      <c r="A62" s="18"/>
      <c r="S62" s="86"/>
    </row>
    <row r="63">
      <c r="A63" s="18"/>
      <c r="S63" s="86"/>
    </row>
    <row r="64">
      <c r="A64" s="18"/>
      <c r="S64" s="86"/>
    </row>
    <row r="65">
      <c r="A65" s="18"/>
      <c r="S65" s="86"/>
    </row>
    <row r="66">
      <c r="A66" s="18"/>
      <c r="S66" s="86"/>
    </row>
    <row r="67">
      <c r="A67" s="18"/>
      <c r="S67" s="86"/>
    </row>
    <row r="68">
      <c r="A68" s="18"/>
      <c r="S68" s="86"/>
    </row>
    <row r="69">
      <c r="A69" s="18"/>
      <c r="S69" s="86"/>
    </row>
    <row r="70">
      <c r="A70" s="18"/>
      <c r="S70" s="86"/>
    </row>
    <row r="71">
      <c r="A71" s="18"/>
      <c r="S71" s="86"/>
    </row>
    <row r="72">
      <c r="A72" s="18"/>
      <c r="S72" s="86"/>
    </row>
    <row r="73">
      <c r="A73" s="18"/>
      <c r="S73" s="86"/>
    </row>
    <row r="74">
      <c r="A74" s="18"/>
      <c r="S74" s="86"/>
    </row>
    <row r="75">
      <c r="A75" s="18"/>
      <c r="S75" s="86"/>
    </row>
    <row r="76">
      <c r="A76" s="18"/>
      <c r="S76" s="86"/>
    </row>
    <row r="77">
      <c r="A77" s="18"/>
      <c r="S77" s="86"/>
    </row>
    <row r="78">
      <c r="A78" s="18"/>
      <c r="S78" s="86"/>
    </row>
    <row r="79">
      <c r="A79" s="18"/>
      <c r="S79" s="86"/>
    </row>
    <row r="80">
      <c r="A80" s="18"/>
      <c r="S80" s="86"/>
    </row>
    <row r="81">
      <c r="A81" s="18"/>
      <c r="S81" s="86"/>
    </row>
    <row r="82">
      <c r="A82" s="18"/>
      <c r="S82" s="86"/>
    </row>
    <row r="83">
      <c r="A83" s="18"/>
      <c r="S83" s="86"/>
    </row>
    <row r="84">
      <c r="A84" s="18"/>
      <c r="S84" s="86"/>
    </row>
    <row r="85">
      <c r="A85" s="18"/>
      <c r="S85" s="86"/>
    </row>
    <row r="86">
      <c r="A86" s="18"/>
      <c r="S86" s="86"/>
    </row>
    <row r="87">
      <c r="A87" s="18"/>
      <c r="S87" s="86"/>
    </row>
    <row r="88">
      <c r="A88" s="18"/>
      <c r="S88" s="86"/>
    </row>
    <row r="89">
      <c r="A89" s="18"/>
      <c r="S89" s="86"/>
    </row>
    <row r="90">
      <c r="A90" s="18"/>
      <c r="S90" s="86"/>
    </row>
    <row r="91">
      <c r="A91" s="18"/>
      <c r="S91" s="86"/>
    </row>
    <row r="92">
      <c r="A92" s="18"/>
      <c r="S92" s="86"/>
    </row>
    <row r="93">
      <c r="A93" s="18"/>
      <c r="S93" s="86"/>
    </row>
    <row r="94">
      <c r="A94" s="18"/>
      <c r="S94" s="86"/>
    </row>
    <row r="95">
      <c r="A95" s="18"/>
      <c r="S95" s="86"/>
    </row>
    <row r="96">
      <c r="A96" s="18"/>
      <c r="S96" s="86"/>
    </row>
    <row r="97">
      <c r="A97" s="18"/>
      <c r="S97" s="86"/>
    </row>
    <row r="98">
      <c r="A98" s="18"/>
      <c r="S98" s="86"/>
    </row>
    <row r="99">
      <c r="A99" s="18"/>
      <c r="S99" s="86"/>
    </row>
    <row r="100">
      <c r="A100" s="18"/>
      <c r="S100" s="86"/>
    </row>
    <row r="101">
      <c r="A101" s="18"/>
      <c r="S101" s="86"/>
    </row>
    <row r="102">
      <c r="A102" s="18"/>
      <c r="S102" s="86"/>
    </row>
    <row r="103">
      <c r="A103" s="18"/>
      <c r="S103" s="86"/>
    </row>
    <row r="104">
      <c r="A104" s="18"/>
      <c r="S104" s="86"/>
    </row>
    <row r="105">
      <c r="A105" s="18"/>
      <c r="S105" s="86"/>
    </row>
    <row r="106">
      <c r="A106" s="18"/>
      <c r="S106" s="86"/>
    </row>
    <row r="107">
      <c r="A107" s="18"/>
      <c r="S107" s="86"/>
    </row>
    <row r="108">
      <c r="A108" s="18"/>
      <c r="S108" s="86"/>
    </row>
    <row r="109">
      <c r="A109" s="18"/>
      <c r="S109" s="86"/>
    </row>
    <row r="110">
      <c r="A110" s="18"/>
      <c r="S110" s="86"/>
    </row>
    <row r="111">
      <c r="A111" s="18"/>
      <c r="S111" s="86"/>
    </row>
    <row r="112">
      <c r="A112" s="18"/>
      <c r="S112" s="86"/>
    </row>
    <row r="113">
      <c r="A113" s="18"/>
      <c r="S113" s="86"/>
    </row>
    <row r="114">
      <c r="A114" s="18"/>
      <c r="S114" s="86"/>
    </row>
    <row r="115">
      <c r="A115" s="18"/>
      <c r="S115" s="86"/>
    </row>
    <row r="116">
      <c r="A116" s="18"/>
      <c r="S116" s="86"/>
    </row>
    <row r="117">
      <c r="A117" s="18"/>
      <c r="S117" s="86"/>
    </row>
    <row r="118">
      <c r="A118" s="18"/>
      <c r="S118" s="86"/>
    </row>
    <row r="119">
      <c r="A119" s="18"/>
      <c r="S119" s="86"/>
    </row>
    <row r="120">
      <c r="A120" s="18"/>
      <c r="S120" s="86"/>
    </row>
    <row r="121">
      <c r="A121" s="18"/>
      <c r="S121" s="86"/>
    </row>
    <row r="122">
      <c r="A122" s="18"/>
      <c r="S122" s="86"/>
    </row>
    <row r="123">
      <c r="A123" s="18"/>
      <c r="S123" s="86"/>
    </row>
    <row r="124">
      <c r="A124" s="18"/>
      <c r="S124" s="86"/>
    </row>
    <row r="125">
      <c r="A125" s="18"/>
      <c r="S125" s="86"/>
    </row>
    <row r="126">
      <c r="A126" s="18"/>
      <c r="S126" s="86"/>
    </row>
    <row r="127">
      <c r="A127" s="18"/>
      <c r="S127" s="86"/>
    </row>
    <row r="128">
      <c r="A128" s="18"/>
      <c r="S128" s="86"/>
    </row>
    <row r="129">
      <c r="A129" s="18"/>
      <c r="S129" s="86"/>
    </row>
    <row r="130">
      <c r="A130" s="18"/>
      <c r="S130" s="86"/>
    </row>
    <row r="131">
      <c r="A131" s="18"/>
      <c r="S131" s="86"/>
    </row>
    <row r="132">
      <c r="A132" s="18"/>
      <c r="S132" s="86"/>
    </row>
    <row r="133">
      <c r="A133" s="18"/>
      <c r="S133" s="86"/>
    </row>
    <row r="134">
      <c r="A134" s="18"/>
      <c r="S134" s="86"/>
    </row>
    <row r="135">
      <c r="A135" s="18"/>
      <c r="S135" s="86"/>
    </row>
    <row r="136">
      <c r="A136" s="18"/>
      <c r="S136" s="86"/>
    </row>
    <row r="137">
      <c r="A137" s="18"/>
      <c r="S137" s="86"/>
    </row>
    <row r="138">
      <c r="A138" s="18"/>
      <c r="S138" s="86"/>
    </row>
    <row r="139">
      <c r="A139" s="18"/>
      <c r="S139" s="86"/>
    </row>
    <row r="140">
      <c r="A140" s="18"/>
      <c r="S140" s="86"/>
    </row>
    <row r="141">
      <c r="A141" s="18"/>
      <c r="S141" s="86"/>
    </row>
    <row r="142">
      <c r="A142" s="18"/>
      <c r="S142" s="86"/>
    </row>
    <row r="143">
      <c r="A143" s="18"/>
      <c r="S143" s="86"/>
    </row>
    <row r="144">
      <c r="A144" s="18"/>
      <c r="S144" s="86"/>
    </row>
    <row r="145">
      <c r="A145" s="18"/>
      <c r="S145" s="86"/>
    </row>
    <row r="146">
      <c r="A146" s="18"/>
      <c r="S146" s="86"/>
    </row>
    <row r="147">
      <c r="A147" s="18"/>
      <c r="S147" s="86"/>
    </row>
    <row r="148">
      <c r="A148" s="18"/>
      <c r="S148" s="86"/>
    </row>
    <row r="149">
      <c r="A149" s="18"/>
      <c r="S149" s="86"/>
    </row>
    <row r="150">
      <c r="A150" s="18"/>
      <c r="S150" s="86"/>
    </row>
    <row r="151">
      <c r="A151" s="18"/>
      <c r="S151" s="86"/>
    </row>
    <row r="152">
      <c r="A152" s="18"/>
      <c r="S152" s="86"/>
    </row>
    <row r="153">
      <c r="A153" s="18"/>
      <c r="S153" s="86"/>
    </row>
    <row r="154">
      <c r="A154" s="18"/>
      <c r="S154" s="86"/>
    </row>
    <row r="155">
      <c r="A155" s="18"/>
      <c r="S155" s="86"/>
    </row>
    <row r="156">
      <c r="A156" s="18"/>
      <c r="S156" s="86"/>
    </row>
    <row r="157">
      <c r="A157" s="18"/>
      <c r="S157" s="86"/>
    </row>
    <row r="158">
      <c r="A158" s="18"/>
      <c r="S158" s="86"/>
    </row>
    <row r="159">
      <c r="A159" s="18"/>
      <c r="S159" s="86"/>
    </row>
    <row r="160">
      <c r="A160" s="18"/>
      <c r="S160" s="86"/>
    </row>
    <row r="161">
      <c r="A161" s="18"/>
      <c r="S161" s="86"/>
    </row>
    <row r="162">
      <c r="A162" s="18"/>
      <c r="S162" s="86"/>
    </row>
    <row r="163">
      <c r="A163" s="18"/>
      <c r="S163" s="86"/>
    </row>
    <row r="164">
      <c r="A164" s="18"/>
      <c r="S164" s="86"/>
    </row>
    <row r="165">
      <c r="A165" s="18"/>
      <c r="S165" s="86"/>
    </row>
    <row r="166">
      <c r="A166" s="18"/>
      <c r="S166" s="86"/>
    </row>
    <row r="167">
      <c r="A167" s="18"/>
      <c r="S167" s="86"/>
    </row>
    <row r="168">
      <c r="A168" s="18"/>
      <c r="S168" s="86"/>
    </row>
    <row r="169">
      <c r="A169" s="18"/>
      <c r="S169" s="86"/>
    </row>
    <row r="170">
      <c r="A170" s="18"/>
      <c r="S170" s="86"/>
    </row>
    <row r="171">
      <c r="A171" s="18"/>
      <c r="S171" s="86"/>
    </row>
    <row r="172">
      <c r="A172" s="18"/>
      <c r="S172" s="86"/>
    </row>
    <row r="173">
      <c r="A173" s="18"/>
      <c r="S173" s="86"/>
    </row>
    <row r="174">
      <c r="A174" s="18"/>
      <c r="S174" s="86"/>
    </row>
    <row r="175">
      <c r="A175" s="18"/>
      <c r="S175" s="86"/>
    </row>
    <row r="176">
      <c r="A176" s="18"/>
      <c r="S176" s="86"/>
    </row>
    <row r="177">
      <c r="A177" s="18"/>
      <c r="S177" s="86"/>
    </row>
    <row r="178">
      <c r="A178" s="18"/>
      <c r="S178" s="86"/>
    </row>
    <row r="179">
      <c r="A179" s="18"/>
      <c r="S179" s="86"/>
    </row>
    <row r="180">
      <c r="A180" s="18"/>
      <c r="S180" s="86"/>
    </row>
    <row r="181">
      <c r="A181" s="18"/>
      <c r="S181" s="86"/>
    </row>
    <row r="182">
      <c r="A182" s="18"/>
      <c r="S182" s="86"/>
    </row>
    <row r="183">
      <c r="A183" s="18"/>
      <c r="S183" s="86"/>
    </row>
    <row r="184">
      <c r="A184" s="18"/>
      <c r="S184" s="86"/>
    </row>
    <row r="185">
      <c r="A185" s="18"/>
      <c r="S185" s="86"/>
    </row>
    <row r="186">
      <c r="A186" s="18"/>
      <c r="S186" s="86"/>
    </row>
    <row r="187">
      <c r="A187" s="18"/>
      <c r="S187" s="86"/>
    </row>
    <row r="188">
      <c r="A188" s="18"/>
      <c r="S188" s="86"/>
    </row>
    <row r="189">
      <c r="A189" s="18"/>
      <c r="S189" s="86"/>
    </row>
    <row r="190">
      <c r="A190" s="18"/>
      <c r="S190" s="86"/>
    </row>
    <row r="191">
      <c r="A191" s="18"/>
      <c r="S191" s="86"/>
    </row>
    <row r="192">
      <c r="A192" s="18"/>
      <c r="S192" s="86"/>
    </row>
    <row r="193">
      <c r="A193" s="18"/>
      <c r="S193" s="86"/>
    </row>
    <row r="194">
      <c r="A194" s="18"/>
      <c r="S194" s="86"/>
    </row>
    <row r="195">
      <c r="A195" s="18"/>
      <c r="S195" s="86"/>
    </row>
    <row r="196">
      <c r="A196" s="18"/>
      <c r="S196" s="86"/>
    </row>
    <row r="197">
      <c r="A197" s="18"/>
      <c r="S197" s="86"/>
    </row>
    <row r="198">
      <c r="A198" s="18"/>
      <c r="S198" s="86"/>
    </row>
    <row r="199">
      <c r="A199" s="18"/>
      <c r="S199" s="86"/>
    </row>
    <row r="200">
      <c r="A200" s="18"/>
      <c r="S200" s="86"/>
    </row>
    <row r="201">
      <c r="A201" s="18"/>
      <c r="S201" s="86"/>
    </row>
    <row r="202">
      <c r="A202" s="18"/>
      <c r="S202" s="86"/>
    </row>
    <row r="203">
      <c r="A203" s="18"/>
      <c r="S203" s="86"/>
    </row>
    <row r="204">
      <c r="A204" s="18"/>
      <c r="S204" s="86"/>
    </row>
    <row r="205">
      <c r="A205" s="18"/>
      <c r="S205" s="86"/>
    </row>
    <row r="206">
      <c r="A206" s="18"/>
      <c r="S206" s="86"/>
    </row>
    <row r="207">
      <c r="A207" s="18"/>
      <c r="S207" s="86"/>
    </row>
    <row r="208">
      <c r="A208" s="18"/>
      <c r="S208" s="86"/>
    </row>
    <row r="209">
      <c r="A209" s="18"/>
      <c r="S209" s="86"/>
    </row>
    <row r="210">
      <c r="A210" s="18"/>
      <c r="S210" s="86"/>
    </row>
    <row r="211">
      <c r="A211" s="18"/>
      <c r="S211" s="86"/>
    </row>
    <row r="212">
      <c r="A212" s="18"/>
      <c r="S212" s="86"/>
    </row>
    <row r="213">
      <c r="A213" s="18"/>
      <c r="S213" s="86"/>
    </row>
    <row r="214">
      <c r="A214" s="18"/>
      <c r="S214" s="86"/>
    </row>
    <row r="215">
      <c r="A215" s="18"/>
      <c r="S215" s="86"/>
    </row>
    <row r="216">
      <c r="A216" s="18"/>
      <c r="S216" s="86"/>
    </row>
    <row r="217">
      <c r="A217" s="18"/>
      <c r="S217" s="86"/>
    </row>
    <row r="218">
      <c r="A218" s="18"/>
      <c r="S218" s="86"/>
    </row>
    <row r="219">
      <c r="A219" s="18"/>
      <c r="S219" s="86"/>
    </row>
    <row r="220">
      <c r="A220" s="18"/>
      <c r="S220" s="86"/>
    </row>
    <row r="221">
      <c r="A221" s="18"/>
      <c r="S221" s="86"/>
    </row>
    <row r="222">
      <c r="A222" s="18"/>
      <c r="S222" s="86"/>
    </row>
    <row r="223">
      <c r="A223" s="18"/>
      <c r="S223" s="86"/>
    </row>
    <row r="224">
      <c r="A224" s="18"/>
      <c r="S224" s="86"/>
    </row>
    <row r="225">
      <c r="A225" s="18"/>
      <c r="S225" s="86"/>
    </row>
    <row r="226">
      <c r="A226" s="18"/>
      <c r="S226" s="86"/>
    </row>
    <row r="227">
      <c r="A227" s="18"/>
      <c r="S227" s="86"/>
    </row>
    <row r="228">
      <c r="A228" s="18"/>
      <c r="S228" s="86"/>
    </row>
    <row r="229">
      <c r="A229" s="18"/>
      <c r="S229" s="86"/>
    </row>
    <row r="230">
      <c r="A230" s="18"/>
      <c r="S230" s="86"/>
    </row>
    <row r="231">
      <c r="A231" s="18"/>
      <c r="S231" s="86"/>
    </row>
    <row r="232">
      <c r="A232" s="18"/>
      <c r="S232" s="86"/>
    </row>
    <row r="233">
      <c r="A233" s="18"/>
      <c r="S233" s="86"/>
    </row>
    <row r="234">
      <c r="A234" s="18"/>
      <c r="S234" s="86"/>
    </row>
    <row r="235">
      <c r="A235" s="18"/>
      <c r="S235" s="86"/>
    </row>
    <row r="236">
      <c r="A236" s="18"/>
      <c r="S236" s="86"/>
    </row>
    <row r="237">
      <c r="A237" s="18"/>
      <c r="S237" s="86"/>
    </row>
    <row r="238">
      <c r="A238" s="18"/>
      <c r="S238" s="86"/>
    </row>
    <row r="239">
      <c r="A239" s="18"/>
      <c r="S239" s="86"/>
    </row>
    <row r="240">
      <c r="A240" s="18"/>
      <c r="S240" s="86"/>
    </row>
    <row r="241">
      <c r="A241" s="18"/>
      <c r="S241" s="86"/>
    </row>
    <row r="242">
      <c r="A242" s="18"/>
      <c r="S242" s="86"/>
    </row>
    <row r="243">
      <c r="A243" s="18"/>
      <c r="S243" s="86"/>
    </row>
    <row r="244">
      <c r="A244" s="18"/>
      <c r="S244" s="86"/>
    </row>
    <row r="245">
      <c r="A245" s="18"/>
      <c r="S245" s="86"/>
    </row>
    <row r="246">
      <c r="A246" s="18"/>
      <c r="S246" s="86"/>
    </row>
    <row r="247">
      <c r="A247" s="18"/>
      <c r="S247" s="86"/>
    </row>
    <row r="248">
      <c r="A248" s="18"/>
      <c r="S248" s="86"/>
    </row>
    <row r="249">
      <c r="A249" s="18"/>
      <c r="S249" s="86"/>
    </row>
    <row r="250">
      <c r="A250" s="18"/>
      <c r="S250" s="86"/>
    </row>
    <row r="251">
      <c r="A251" s="18"/>
      <c r="S251" s="86"/>
    </row>
    <row r="252">
      <c r="A252" s="18"/>
      <c r="S252" s="86"/>
    </row>
    <row r="253">
      <c r="A253" s="18"/>
      <c r="S253" s="86"/>
    </row>
    <row r="254">
      <c r="A254" s="18"/>
      <c r="S254" s="86"/>
    </row>
    <row r="255">
      <c r="A255" s="18"/>
      <c r="S255" s="86"/>
    </row>
    <row r="256">
      <c r="A256" s="18"/>
      <c r="S256" s="86"/>
    </row>
    <row r="257">
      <c r="A257" s="18"/>
      <c r="S257" s="86"/>
    </row>
    <row r="258">
      <c r="A258" s="18"/>
      <c r="S258" s="86"/>
    </row>
    <row r="259">
      <c r="A259" s="18"/>
      <c r="S259" s="86"/>
    </row>
    <row r="260">
      <c r="A260" s="18"/>
      <c r="S260" s="86"/>
    </row>
    <row r="261">
      <c r="A261" s="18"/>
      <c r="S261" s="86"/>
    </row>
    <row r="262">
      <c r="A262" s="18"/>
      <c r="S262" s="86"/>
    </row>
    <row r="263">
      <c r="A263" s="18"/>
      <c r="S263" s="86"/>
    </row>
    <row r="264">
      <c r="A264" s="18"/>
      <c r="S264" s="86"/>
    </row>
    <row r="265">
      <c r="A265" s="18"/>
      <c r="S265" s="86"/>
    </row>
    <row r="266">
      <c r="A266" s="18"/>
      <c r="S266" s="86"/>
    </row>
    <row r="267">
      <c r="A267" s="18"/>
      <c r="S267" s="86"/>
    </row>
    <row r="268">
      <c r="A268" s="18"/>
      <c r="S268" s="86"/>
    </row>
    <row r="269">
      <c r="A269" s="18"/>
      <c r="S269" s="86"/>
    </row>
    <row r="270">
      <c r="A270" s="18"/>
      <c r="S270" s="86"/>
    </row>
    <row r="271">
      <c r="A271" s="18"/>
      <c r="S271" s="86"/>
    </row>
    <row r="272">
      <c r="A272" s="18"/>
      <c r="S272" s="86"/>
    </row>
    <row r="273">
      <c r="A273" s="18"/>
      <c r="S273" s="86"/>
    </row>
    <row r="274">
      <c r="A274" s="18"/>
      <c r="S274" s="86"/>
    </row>
    <row r="275">
      <c r="A275" s="18"/>
      <c r="S275" s="86"/>
    </row>
    <row r="276">
      <c r="A276" s="18"/>
      <c r="S276" s="86"/>
    </row>
    <row r="277">
      <c r="A277" s="18"/>
      <c r="S277" s="86"/>
    </row>
    <row r="278">
      <c r="A278" s="18"/>
      <c r="S278" s="86"/>
    </row>
    <row r="279">
      <c r="A279" s="18"/>
      <c r="S279" s="86"/>
    </row>
    <row r="280">
      <c r="A280" s="18"/>
      <c r="S280" s="86"/>
    </row>
    <row r="281">
      <c r="A281" s="18"/>
      <c r="S281" s="86"/>
    </row>
    <row r="282">
      <c r="A282" s="18"/>
      <c r="S282" s="86"/>
    </row>
    <row r="283">
      <c r="A283" s="18"/>
      <c r="S283" s="86"/>
    </row>
    <row r="284">
      <c r="A284" s="18"/>
      <c r="S284" s="86"/>
    </row>
    <row r="285">
      <c r="A285" s="18"/>
      <c r="S285" s="86"/>
    </row>
    <row r="286">
      <c r="A286" s="18"/>
      <c r="S286" s="86"/>
    </row>
    <row r="287">
      <c r="A287" s="18"/>
      <c r="S287" s="86"/>
    </row>
    <row r="288">
      <c r="A288" s="18"/>
      <c r="S288" s="86"/>
    </row>
    <row r="289">
      <c r="A289" s="18"/>
      <c r="S289" s="86"/>
    </row>
    <row r="290">
      <c r="A290" s="18"/>
      <c r="S290" s="86"/>
    </row>
    <row r="291">
      <c r="A291" s="18"/>
      <c r="S291" s="86"/>
    </row>
    <row r="292">
      <c r="A292" s="18"/>
      <c r="S292" s="86"/>
    </row>
    <row r="293">
      <c r="A293" s="18"/>
      <c r="S293" s="86"/>
    </row>
    <row r="294">
      <c r="A294" s="18"/>
      <c r="S294" s="86"/>
    </row>
    <row r="295">
      <c r="A295" s="18"/>
      <c r="S295" s="86"/>
    </row>
    <row r="296">
      <c r="A296" s="18"/>
      <c r="S296" s="86"/>
    </row>
    <row r="297">
      <c r="A297" s="18"/>
      <c r="S297" s="86"/>
    </row>
    <row r="298">
      <c r="A298" s="18"/>
      <c r="S298" s="86"/>
    </row>
    <row r="299">
      <c r="A299" s="18"/>
      <c r="S299" s="86"/>
    </row>
    <row r="300">
      <c r="A300" s="18"/>
      <c r="S300" s="86"/>
    </row>
    <row r="301">
      <c r="A301" s="18"/>
      <c r="S301" s="86"/>
    </row>
    <row r="302">
      <c r="A302" s="18"/>
      <c r="S302" s="86"/>
    </row>
    <row r="303">
      <c r="A303" s="18"/>
      <c r="S303" s="86"/>
    </row>
    <row r="304">
      <c r="A304" s="18"/>
      <c r="S304" s="86"/>
    </row>
    <row r="305">
      <c r="A305" s="18"/>
      <c r="S305" s="86"/>
    </row>
    <row r="306">
      <c r="A306" s="18"/>
      <c r="S306" s="86"/>
    </row>
    <row r="307">
      <c r="A307" s="18"/>
      <c r="S307" s="86"/>
    </row>
    <row r="308">
      <c r="A308" s="18"/>
      <c r="S308" s="86"/>
    </row>
    <row r="309">
      <c r="A309" s="18"/>
      <c r="S309" s="86"/>
    </row>
    <row r="310">
      <c r="A310" s="18"/>
      <c r="S310" s="86"/>
    </row>
    <row r="311">
      <c r="A311" s="18"/>
      <c r="S311" s="86"/>
    </row>
    <row r="312">
      <c r="A312" s="18"/>
      <c r="S312" s="86"/>
    </row>
    <row r="313">
      <c r="A313" s="18"/>
      <c r="S313" s="86"/>
    </row>
    <row r="314">
      <c r="A314" s="18"/>
      <c r="S314" s="86"/>
    </row>
    <row r="315">
      <c r="A315" s="18"/>
      <c r="S315" s="86"/>
    </row>
    <row r="316">
      <c r="A316" s="18"/>
      <c r="S316" s="86"/>
    </row>
    <row r="317">
      <c r="A317" s="18"/>
      <c r="S317" s="86"/>
    </row>
    <row r="318">
      <c r="A318" s="18"/>
      <c r="S318" s="86"/>
    </row>
    <row r="319">
      <c r="A319" s="18"/>
      <c r="S319" s="86"/>
    </row>
    <row r="320">
      <c r="A320" s="18"/>
      <c r="S320" s="86"/>
    </row>
    <row r="321">
      <c r="A321" s="18"/>
      <c r="S321" s="86"/>
    </row>
    <row r="322">
      <c r="A322" s="18"/>
      <c r="S322" s="86"/>
    </row>
    <row r="323">
      <c r="A323" s="18"/>
      <c r="S323" s="86"/>
    </row>
    <row r="324">
      <c r="A324" s="18"/>
      <c r="S324" s="86"/>
    </row>
    <row r="325">
      <c r="A325" s="18"/>
      <c r="S325" s="86"/>
    </row>
    <row r="326">
      <c r="A326" s="18"/>
      <c r="S326" s="86"/>
    </row>
    <row r="327">
      <c r="A327" s="18"/>
      <c r="S327" s="86"/>
    </row>
    <row r="328">
      <c r="A328" s="18"/>
      <c r="S328" s="86"/>
    </row>
    <row r="329">
      <c r="A329" s="18"/>
      <c r="S329" s="86"/>
    </row>
    <row r="330">
      <c r="A330" s="18"/>
      <c r="S330" s="86"/>
    </row>
    <row r="331">
      <c r="A331" s="18"/>
      <c r="S331" s="86"/>
    </row>
    <row r="332">
      <c r="A332" s="18"/>
      <c r="S332" s="86"/>
    </row>
    <row r="333">
      <c r="A333" s="18"/>
      <c r="S333" s="86"/>
    </row>
    <row r="334">
      <c r="A334" s="18"/>
      <c r="S334" s="86"/>
    </row>
    <row r="335">
      <c r="A335" s="18"/>
      <c r="S335" s="86"/>
    </row>
    <row r="336">
      <c r="A336" s="18"/>
      <c r="S336" s="86"/>
    </row>
    <row r="337">
      <c r="A337" s="18"/>
      <c r="S337" s="86"/>
    </row>
    <row r="338">
      <c r="A338" s="18"/>
      <c r="S338" s="86"/>
    </row>
    <row r="339">
      <c r="A339" s="18"/>
      <c r="S339" s="86"/>
    </row>
    <row r="340">
      <c r="A340" s="18"/>
      <c r="S340" s="86"/>
    </row>
    <row r="341">
      <c r="A341" s="18"/>
      <c r="S341" s="86"/>
    </row>
    <row r="342">
      <c r="A342" s="18"/>
      <c r="S342" s="86"/>
    </row>
    <row r="343">
      <c r="A343" s="18"/>
      <c r="S343" s="86"/>
    </row>
    <row r="344">
      <c r="A344" s="18"/>
      <c r="S344" s="86"/>
    </row>
    <row r="345">
      <c r="A345" s="18"/>
      <c r="S345" s="86"/>
    </row>
    <row r="346">
      <c r="A346" s="18"/>
      <c r="S346" s="86"/>
    </row>
    <row r="347">
      <c r="A347" s="18"/>
      <c r="S347" s="86"/>
    </row>
    <row r="348">
      <c r="A348" s="18"/>
      <c r="S348" s="86"/>
    </row>
    <row r="349">
      <c r="A349" s="18"/>
      <c r="S349" s="86"/>
    </row>
    <row r="350">
      <c r="A350" s="18"/>
      <c r="S350" s="86"/>
    </row>
    <row r="351">
      <c r="A351" s="18"/>
      <c r="S351" s="86"/>
    </row>
    <row r="352">
      <c r="A352" s="18"/>
      <c r="S352" s="86"/>
    </row>
    <row r="353">
      <c r="A353" s="18"/>
      <c r="S353" s="86"/>
    </row>
    <row r="354">
      <c r="A354" s="18"/>
      <c r="S354" s="86"/>
    </row>
    <row r="355">
      <c r="A355" s="18"/>
      <c r="S355" s="86"/>
    </row>
    <row r="356">
      <c r="A356" s="18"/>
      <c r="S356" s="86"/>
    </row>
    <row r="357">
      <c r="A357" s="18"/>
      <c r="S357" s="86"/>
    </row>
    <row r="358">
      <c r="A358" s="18"/>
      <c r="S358" s="86"/>
    </row>
    <row r="359">
      <c r="A359" s="18"/>
      <c r="S359" s="86"/>
    </row>
    <row r="360">
      <c r="A360" s="18"/>
      <c r="S360" s="86"/>
    </row>
    <row r="361">
      <c r="A361" s="18"/>
      <c r="S361" s="86"/>
    </row>
    <row r="362">
      <c r="A362" s="18"/>
      <c r="S362" s="86"/>
    </row>
    <row r="363">
      <c r="A363" s="18"/>
      <c r="S363" s="86"/>
    </row>
    <row r="364">
      <c r="A364" s="18"/>
      <c r="S364" s="86"/>
    </row>
    <row r="365">
      <c r="A365" s="18"/>
      <c r="S365" s="86"/>
    </row>
    <row r="366">
      <c r="A366" s="18"/>
      <c r="S366" s="86"/>
    </row>
    <row r="367">
      <c r="A367" s="18"/>
      <c r="S367" s="86"/>
    </row>
    <row r="368">
      <c r="A368" s="18"/>
      <c r="S368" s="86"/>
    </row>
    <row r="369">
      <c r="A369" s="18"/>
      <c r="S369" s="86"/>
    </row>
    <row r="370">
      <c r="A370" s="18"/>
      <c r="S370" s="86"/>
    </row>
    <row r="371">
      <c r="A371" s="18"/>
      <c r="S371" s="86"/>
    </row>
    <row r="372">
      <c r="A372" s="18"/>
      <c r="S372" s="86"/>
    </row>
    <row r="373">
      <c r="A373" s="18"/>
      <c r="S373" s="86"/>
    </row>
    <row r="374">
      <c r="A374" s="18"/>
      <c r="S374" s="86"/>
    </row>
    <row r="375">
      <c r="A375" s="18"/>
      <c r="S375" s="86"/>
    </row>
    <row r="376">
      <c r="A376" s="18"/>
      <c r="S376" s="86"/>
    </row>
    <row r="377">
      <c r="A377" s="18"/>
      <c r="S377" s="86"/>
    </row>
    <row r="378">
      <c r="A378" s="18"/>
      <c r="S378" s="86"/>
    </row>
    <row r="379">
      <c r="A379" s="18"/>
      <c r="S379" s="86"/>
    </row>
    <row r="380">
      <c r="A380" s="18"/>
      <c r="S380" s="86"/>
    </row>
    <row r="381">
      <c r="A381" s="18"/>
      <c r="S381" s="86"/>
    </row>
    <row r="382">
      <c r="A382" s="18"/>
      <c r="S382" s="86"/>
    </row>
    <row r="383">
      <c r="A383" s="18"/>
      <c r="S383" s="86"/>
    </row>
    <row r="384">
      <c r="A384" s="18"/>
      <c r="S384" s="86"/>
    </row>
    <row r="385">
      <c r="A385" s="18"/>
      <c r="S385" s="86"/>
    </row>
    <row r="386">
      <c r="A386" s="18"/>
      <c r="S386" s="86"/>
    </row>
    <row r="387">
      <c r="A387" s="18"/>
      <c r="S387" s="86"/>
    </row>
    <row r="388">
      <c r="A388" s="18"/>
      <c r="S388" s="86"/>
    </row>
    <row r="389">
      <c r="A389" s="18"/>
      <c r="S389" s="86"/>
    </row>
    <row r="390">
      <c r="A390" s="18"/>
      <c r="S390" s="86"/>
    </row>
    <row r="391">
      <c r="A391" s="18"/>
      <c r="S391" s="86"/>
    </row>
    <row r="392">
      <c r="A392" s="18"/>
      <c r="S392" s="86"/>
    </row>
    <row r="393">
      <c r="A393" s="18"/>
      <c r="S393" s="86"/>
    </row>
    <row r="394">
      <c r="A394" s="18"/>
      <c r="S394" s="86"/>
    </row>
    <row r="395">
      <c r="A395" s="18"/>
      <c r="S395" s="86"/>
    </row>
    <row r="396">
      <c r="A396" s="18"/>
      <c r="S396" s="86"/>
    </row>
    <row r="397">
      <c r="A397" s="18"/>
      <c r="S397" s="86"/>
    </row>
    <row r="398">
      <c r="A398" s="18"/>
      <c r="S398" s="86"/>
    </row>
    <row r="399">
      <c r="A399" s="18"/>
      <c r="S399" s="86"/>
    </row>
    <row r="400">
      <c r="A400" s="18"/>
      <c r="S400" s="86"/>
    </row>
    <row r="401">
      <c r="A401" s="18"/>
      <c r="S401" s="86"/>
    </row>
    <row r="402">
      <c r="A402" s="18"/>
      <c r="S402" s="86"/>
    </row>
    <row r="403">
      <c r="A403" s="18"/>
      <c r="S403" s="86"/>
    </row>
    <row r="404">
      <c r="A404" s="18"/>
      <c r="S404" s="86"/>
    </row>
    <row r="405">
      <c r="A405" s="18"/>
      <c r="S405" s="86"/>
    </row>
    <row r="406">
      <c r="A406" s="18"/>
      <c r="S406" s="86"/>
    </row>
    <row r="407">
      <c r="A407" s="18"/>
      <c r="S407" s="86"/>
    </row>
    <row r="408">
      <c r="A408" s="18"/>
      <c r="S408" s="86"/>
    </row>
    <row r="409">
      <c r="A409" s="18"/>
      <c r="S409" s="86"/>
    </row>
    <row r="410">
      <c r="A410" s="18"/>
      <c r="S410" s="86"/>
    </row>
    <row r="411">
      <c r="A411" s="18"/>
      <c r="S411" s="86"/>
    </row>
    <row r="412">
      <c r="A412" s="18"/>
      <c r="S412" s="86"/>
    </row>
    <row r="413">
      <c r="A413" s="18"/>
      <c r="S413" s="86"/>
    </row>
    <row r="414">
      <c r="A414" s="18"/>
      <c r="S414" s="86"/>
    </row>
    <row r="415">
      <c r="A415" s="18"/>
      <c r="S415" s="86"/>
    </row>
    <row r="416">
      <c r="A416" s="18"/>
      <c r="S416" s="86"/>
    </row>
    <row r="417">
      <c r="A417" s="18"/>
      <c r="S417" s="86"/>
    </row>
    <row r="418">
      <c r="A418" s="18"/>
      <c r="S418" s="86"/>
    </row>
    <row r="419">
      <c r="A419" s="18"/>
      <c r="S419" s="86"/>
    </row>
    <row r="420">
      <c r="A420" s="18"/>
      <c r="S420" s="86"/>
    </row>
    <row r="421">
      <c r="A421" s="18"/>
      <c r="S421" s="86"/>
    </row>
    <row r="422">
      <c r="A422" s="18"/>
      <c r="S422" s="86"/>
    </row>
    <row r="423">
      <c r="A423" s="18"/>
      <c r="S423" s="86"/>
    </row>
    <row r="424">
      <c r="A424" s="18"/>
      <c r="S424" s="86"/>
    </row>
    <row r="425">
      <c r="A425" s="18"/>
      <c r="S425" s="86"/>
    </row>
    <row r="426">
      <c r="A426" s="18"/>
      <c r="S426" s="86"/>
    </row>
    <row r="427">
      <c r="A427" s="18"/>
      <c r="S427" s="86"/>
    </row>
    <row r="428">
      <c r="A428" s="18"/>
      <c r="S428" s="86"/>
    </row>
    <row r="429">
      <c r="A429" s="18"/>
      <c r="S429" s="86"/>
    </row>
    <row r="430">
      <c r="A430" s="18"/>
      <c r="S430" s="86"/>
    </row>
    <row r="431">
      <c r="A431" s="18"/>
      <c r="S431" s="86"/>
    </row>
    <row r="432">
      <c r="A432" s="18"/>
      <c r="S432" s="86"/>
    </row>
    <row r="433">
      <c r="A433" s="18"/>
      <c r="S433" s="86"/>
    </row>
    <row r="434">
      <c r="A434" s="18"/>
      <c r="S434" s="86"/>
    </row>
    <row r="435">
      <c r="A435" s="18"/>
      <c r="S435" s="86"/>
    </row>
    <row r="436">
      <c r="A436" s="18"/>
      <c r="S436" s="86"/>
    </row>
    <row r="437">
      <c r="A437" s="18"/>
      <c r="S437" s="86"/>
    </row>
    <row r="438">
      <c r="A438" s="18"/>
      <c r="S438" s="86"/>
    </row>
    <row r="439">
      <c r="A439" s="18"/>
      <c r="S439" s="86"/>
    </row>
    <row r="440">
      <c r="A440" s="18"/>
      <c r="S440" s="86"/>
    </row>
    <row r="441">
      <c r="A441" s="18"/>
      <c r="S441" s="86"/>
    </row>
    <row r="442">
      <c r="A442" s="18"/>
      <c r="S442" s="86"/>
    </row>
    <row r="443">
      <c r="A443" s="18"/>
      <c r="S443" s="86"/>
    </row>
    <row r="444">
      <c r="A444" s="18"/>
      <c r="S444" s="86"/>
    </row>
    <row r="445">
      <c r="A445" s="18"/>
      <c r="S445" s="86"/>
    </row>
    <row r="446">
      <c r="A446" s="18"/>
      <c r="S446" s="86"/>
    </row>
    <row r="447">
      <c r="A447" s="18"/>
      <c r="S447" s="86"/>
    </row>
    <row r="448">
      <c r="A448" s="18"/>
      <c r="S448" s="86"/>
    </row>
    <row r="449">
      <c r="A449" s="18"/>
      <c r="S449" s="86"/>
    </row>
    <row r="450">
      <c r="A450" s="18"/>
      <c r="S450" s="86"/>
    </row>
    <row r="451">
      <c r="A451" s="18"/>
      <c r="S451" s="86"/>
    </row>
    <row r="452">
      <c r="A452" s="18"/>
      <c r="S452" s="86"/>
    </row>
    <row r="453">
      <c r="A453" s="18"/>
      <c r="S453" s="86"/>
    </row>
    <row r="454">
      <c r="A454" s="18"/>
      <c r="S454" s="86"/>
    </row>
    <row r="455">
      <c r="A455" s="18"/>
      <c r="S455" s="86"/>
    </row>
    <row r="456">
      <c r="A456" s="18"/>
      <c r="S456" s="86"/>
    </row>
    <row r="457">
      <c r="A457" s="18"/>
      <c r="S457" s="86"/>
    </row>
    <row r="458">
      <c r="A458" s="18"/>
      <c r="S458" s="86"/>
    </row>
    <row r="459">
      <c r="A459" s="18"/>
      <c r="S459" s="86"/>
    </row>
    <row r="460">
      <c r="A460" s="18"/>
      <c r="S460" s="86"/>
    </row>
    <row r="461">
      <c r="A461" s="18"/>
      <c r="S461" s="86"/>
    </row>
    <row r="462">
      <c r="A462" s="18"/>
      <c r="S462" s="86"/>
    </row>
    <row r="463">
      <c r="A463" s="18"/>
      <c r="S463" s="86"/>
    </row>
    <row r="464">
      <c r="A464" s="18"/>
      <c r="S464" s="86"/>
    </row>
    <row r="465">
      <c r="A465" s="18"/>
      <c r="S465" s="86"/>
    </row>
    <row r="466">
      <c r="A466" s="18"/>
      <c r="S466" s="86"/>
    </row>
    <row r="467">
      <c r="A467" s="18"/>
      <c r="S467" s="86"/>
    </row>
    <row r="468">
      <c r="A468" s="18"/>
      <c r="S468" s="86"/>
    </row>
    <row r="469">
      <c r="A469" s="18"/>
      <c r="S469" s="86"/>
    </row>
    <row r="470">
      <c r="A470" s="18"/>
      <c r="S470" s="86"/>
    </row>
    <row r="471">
      <c r="A471" s="18"/>
      <c r="S471" s="86"/>
    </row>
    <row r="472">
      <c r="A472" s="18"/>
      <c r="S472" s="86"/>
    </row>
    <row r="473">
      <c r="A473" s="18"/>
      <c r="S473" s="86"/>
    </row>
    <row r="474">
      <c r="A474" s="18"/>
      <c r="S474" s="86"/>
    </row>
    <row r="475">
      <c r="A475" s="18"/>
      <c r="S475" s="86"/>
    </row>
    <row r="476">
      <c r="A476" s="18"/>
      <c r="S476" s="86"/>
    </row>
    <row r="477">
      <c r="A477" s="18"/>
      <c r="S477" s="86"/>
    </row>
    <row r="478">
      <c r="A478" s="18"/>
      <c r="S478" s="86"/>
    </row>
    <row r="479">
      <c r="A479" s="18"/>
      <c r="S479" s="86"/>
    </row>
    <row r="480">
      <c r="A480" s="18"/>
      <c r="S480" s="86"/>
    </row>
    <row r="481">
      <c r="A481" s="18"/>
      <c r="S481" s="86"/>
    </row>
    <row r="482">
      <c r="A482" s="18"/>
      <c r="S482" s="86"/>
    </row>
    <row r="483">
      <c r="A483" s="18"/>
      <c r="S483" s="86"/>
    </row>
    <row r="484">
      <c r="A484" s="18"/>
      <c r="S484" s="86"/>
    </row>
    <row r="485">
      <c r="A485" s="18"/>
      <c r="S485" s="86"/>
    </row>
    <row r="486">
      <c r="A486" s="18"/>
      <c r="S486" s="86"/>
    </row>
    <row r="487">
      <c r="A487" s="18"/>
      <c r="S487" s="86"/>
    </row>
    <row r="488">
      <c r="A488" s="18"/>
      <c r="S488" s="86"/>
    </row>
    <row r="489">
      <c r="A489" s="18"/>
      <c r="S489" s="86"/>
    </row>
    <row r="490">
      <c r="A490" s="18"/>
      <c r="S490" s="86"/>
    </row>
    <row r="491">
      <c r="A491" s="18"/>
      <c r="S491" s="86"/>
    </row>
    <row r="492">
      <c r="A492" s="18"/>
      <c r="S492" s="86"/>
    </row>
    <row r="493">
      <c r="A493" s="18"/>
      <c r="S493" s="86"/>
    </row>
    <row r="494">
      <c r="A494" s="18"/>
      <c r="S494" s="86"/>
    </row>
    <row r="495">
      <c r="A495" s="18"/>
      <c r="S495" s="86"/>
    </row>
    <row r="496">
      <c r="A496" s="18"/>
      <c r="S496" s="86"/>
    </row>
    <row r="497">
      <c r="A497" s="18"/>
      <c r="S497" s="86"/>
    </row>
    <row r="498">
      <c r="A498" s="18"/>
      <c r="S498" s="86"/>
    </row>
    <row r="499">
      <c r="A499" s="18"/>
      <c r="S499" s="86"/>
    </row>
    <row r="500">
      <c r="A500" s="18"/>
      <c r="S500" s="86"/>
    </row>
    <row r="501">
      <c r="A501" s="18"/>
      <c r="S501" s="86"/>
    </row>
    <row r="502">
      <c r="A502" s="18"/>
      <c r="S502" s="86"/>
    </row>
    <row r="503">
      <c r="A503" s="18"/>
      <c r="S503" s="86"/>
    </row>
    <row r="504">
      <c r="A504" s="18"/>
      <c r="S504" s="86"/>
    </row>
    <row r="505">
      <c r="A505" s="18"/>
      <c r="S505" s="86"/>
    </row>
    <row r="506">
      <c r="A506" s="18"/>
      <c r="S506" s="86"/>
    </row>
    <row r="507">
      <c r="A507" s="18"/>
      <c r="S507" s="86"/>
    </row>
    <row r="508">
      <c r="A508" s="18"/>
      <c r="S508" s="86"/>
    </row>
    <row r="509">
      <c r="A509" s="18"/>
      <c r="S509" s="86"/>
    </row>
    <row r="510">
      <c r="A510" s="18"/>
      <c r="S510" s="86"/>
    </row>
    <row r="511">
      <c r="A511" s="18"/>
      <c r="S511" s="86"/>
    </row>
    <row r="512">
      <c r="A512" s="18"/>
      <c r="S512" s="86"/>
    </row>
    <row r="513">
      <c r="A513" s="18"/>
      <c r="S513" s="86"/>
    </row>
    <row r="514">
      <c r="A514" s="18"/>
      <c r="S514" s="86"/>
    </row>
    <row r="515">
      <c r="A515" s="18"/>
      <c r="S515" s="86"/>
    </row>
    <row r="516">
      <c r="A516" s="18"/>
      <c r="S516" s="86"/>
    </row>
    <row r="517">
      <c r="A517" s="18"/>
      <c r="S517" s="86"/>
    </row>
    <row r="518">
      <c r="A518" s="18"/>
      <c r="S518" s="86"/>
    </row>
    <row r="519">
      <c r="A519" s="18"/>
      <c r="S519" s="86"/>
    </row>
    <row r="520">
      <c r="A520" s="18"/>
      <c r="S520" s="86"/>
    </row>
    <row r="521">
      <c r="A521" s="18"/>
      <c r="S521" s="86"/>
    </row>
    <row r="522">
      <c r="A522" s="18"/>
      <c r="S522" s="86"/>
    </row>
    <row r="523">
      <c r="A523" s="18"/>
      <c r="S523" s="86"/>
    </row>
    <row r="524">
      <c r="A524" s="18"/>
      <c r="S524" s="86"/>
    </row>
    <row r="525">
      <c r="A525" s="18"/>
      <c r="S525" s="86"/>
    </row>
    <row r="526">
      <c r="A526" s="18"/>
      <c r="S526" s="86"/>
    </row>
    <row r="527">
      <c r="A527" s="18"/>
      <c r="S527" s="86"/>
    </row>
    <row r="528">
      <c r="A528" s="18"/>
      <c r="S528" s="86"/>
    </row>
    <row r="529">
      <c r="A529" s="18"/>
      <c r="S529" s="86"/>
    </row>
    <row r="530">
      <c r="A530" s="18"/>
      <c r="S530" s="86"/>
    </row>
    <row r="531">
      <c r="A531" s="18"/>
      <c r="S531" s="86"/>
    </row>
    <row r="532">
      <c r="A532" s="18"/>
      <c r="S532" s="86"/>
    </row>
    <row r="533">
      <c r="A533" s="18"/>
      <c r="S533" s="86"/>
    </row>
    <row r="534">
      <c r="A534" s="18"/>
      <c r="S534" s="86"/>
    </row>
    <row r="535">
      <c r="A535" s="18"/>
      <c r="S535" s="86"/>
    </row>
    <row r="536">
      <c r="A536" s="18"/>
      <c r="S536" s="86"/>
    </row>
    <row r="537">
      <c r="A537" s="18"/>
      <c r="S537" s="86"/>
    </row>
    <row r="538">
      <c r="A538" s="18"/>
      <c r="S538" s="86"/>
    </row>
    <row r="539">
      <c r="A539" s="18"/>
      <c r="S539" s="86"/>
    </row>
    <row r="540">
      <c r="A540" s="18"/>
      <c r="S540" s="86"/>
    </row>
    <row r="541">
      <c r="A541" s="18"/>
      <c r="S541" s="86"/>
    </row>
    <row r="542">
      <c r="A542" s="18"/>
      <c r="S542" s="86"/>
    </row>
    <row r="543">
      <c r="A543" s="18"/>
      <c r="S543" s="86"/>
    </row>
    <row r="544">
      <c r="A544" s="18"/>
      <c r="S544" s="86"/>
    </row>
    <row r="545">
      <c r="A545" s="18"/>
      <c r="S545" s="86"/>
    </row>
    <row r="546">
      <c r="A546" s="18"/>
      <c r="S546" s="86"/>
    </row>
    <row r="547">
      <c r="A547" s="18"/>
      <c r="S547" s="86"/>
    </row>
    <row r="548">
      <c r="A548" s="18"/>
      <c r="S548" s="86"/>
    </row>
    <row r="549">
      <c r="A549" s="18"/>
      <c r="S549" s="86"/>
    </row>
    <row r="550">
      <c r="A550" s="18"/>
      <c r="S550" s="86"/>
    </row>
    <row r="551">
      <c r="A551" s="18"/>
      <c r="S551" s="86"/>
    </row>
    <row r="552">
      <c r="A552" s="18"/>
      <c r="S552" s="86"/>
    </row>
    <row r="553">
      <c r="A553" s="18"/>
      <c r="S553" s="86"/>
    </row>
    <row r="554">
      <c r="A554" s="18"/>
      <c r="S554" s="86"/>
    </row>
    <row r="555">
      <c r="A555" s="18"/>
      <c r="S555" s="86"/>
    </row>
    <row r="556">
      <c r="A556" s="18"/>
      <c r="S556" s="86"/>
    </row>
    <row r="557">
      <c r="A557" s="18"/>
      <c r="S557" s="86"/>
    </row>
    <row r="558">
      <c r="A558" s="18"/>
      <c r="S558" s="86"/>
    </row>
    <row r="559">
      <c r="A559" s="18"/>
      <c r="S559" s="86"/>
    </row>
    <row r="560">
      <c r="A560" s="18"/>
      <c r="S560" s="86"/>
    </row>
    <row r="561">
      <c r="A561" s="18"/>
      <c r="S561" s="86"/>
    </row>
    <row r="562">
      <c r="A562" s="18"/>
      <c r="S562" s="86"/>
    </row>
    <row r="563">
      <c r="A563" s="18"/>
      <c r="S563" s="86"/>
    </row>
    <row r="564">
      <c r="A564" s="18"/>
      <c r="S564" s="86"/>
    </row>
    <row r="565">
      <c r="A565" s="18"/>
      <c r="S565" s="86"/>
    </row>
    <row r="566">
      <c r="A566" s="18"/>
      <c r="S566" s="86"/>
    </row>
    <row r="567">
      <c r="A567" s="18"/>
      <c r="S567" s="86"/>
    </row>
    <row r="568">
      <c r="A568" s="18"/>
      <c r="S568" s="86"/>
    </row>
    <row r="569">
      <c r="A569" s="18"/>
      <c r="S569" s="86"/>
    </row>
    <row r="570">
      <c r="A570" s="18"/>
      <c r="S570" s="86"/>
    </row>
    <row r="571">
      <c r="A571" s="18"/>
      <c r="S571" s="86"/>
    </row>
    <row r="572">
      <c r="A572" s="18"/>
      <c r="S572" s="86"/>
    </row>
    <row r="573">
      <c r="A573" s="18"/>
      <c r="S573" s="86"/>
    </row>
    <row r="574">
      <c r="A574" s="18"/>
      <c r="S574" s="86"/>
    </row>
    <row r="575">
      <c r="A575" s="18"/>
      <c r="S575" s="86"/>
    </row>
    <row r="576">
      <c r="A576" s="18"/>
      <c r="S576" s="86"/>
    </row>
    <row r="577">
      <c r="A577" s="18"/>
      <c r="S577" s="86"/>
    </row>
    <row r="578">
      <c r="A578" s="18"/>
      <c r="S578" s="86"/>
    </row>
    <row r="579">
      <c r="A579" s="18"/>
      <c r="S579" s="86"/>
    </row>
    <row r="580">
      <c r="A580" s="18"/>
      <c r="S580" s="86"/>
    </row>
    <row r="581">
      <c r="A581" s="18"/>
      <c r="S581" s="86"/>
    </row>
    <row r="582">
      <c r="A582" s="18"/>
      <c r="S582" s="86"/>
    </row>
    <row r="583">
      <c r="A583" s="18"/>
      <c r="S583" s="86"/>
    </row>
    <row r="584">
      <c r="A584" s="18"/>
      <c r="S584" s="86"/>
    </row>
    <row r="585">
      <c r="A585" s="18"/>
      <c r="S585" s="86"/>
    </row>
    <row r="586">
      <c r="A586" s="18"/>
      <c r="S586" s="86"/>
    </row>
    <row r="587">
      <c r="A587" s="18"/>
      <c r="S587" s="86"/>
    </row>
    <row r="588">
      <c r="A588" s="18"/>
      <c r="S588" s="86"/>
    </row>
    <row r="589">
      <c r="A589" s="18"/>
      <c r="S589" s="86"/>
    </row>
    <row r="590">
      <c r="A590" s="18"/>
      <c r="S590" s="86"/>
    </row>
    <row r="591">
      <c r="A591" s="18"/>
      <c r="S591" s="86"/>
    </row>
    <row r="592">
      <c r="A592" s="18"/>
      <c r="S592" s="86"/>
    </row>
    <row r="593">
      <c r="A593" s="18"/>
      <c r="S593" s="86"/>
    </row>
    <row r="594">
      <c r="A594" s="18"/>
      <c r="S594" s="86"/>
    </row>
    <row r="595">
      <c r="A595" s="18"/>
      <c r="S595" s="86"/>
    </row>
    <row r="596">
      <c r="A596" s="18"/>
      <c r="S596" s="86"/>
    </row>
    <row r="597">
      <c r="A597" s="18"/>
      <c r="S597" s="86"/>
    </row>
    <row r="598">
      <c r="A598" s="18"/>
      <c r="S598" s="86"/>
    </row>
    <row r="599">
      <c r="A599" s="18"/>
      <c r="S599" s="86"/>
    </row>
    <row r="600">
      <c r="A600" s="18"/>
      <c r="S600" s="86"/>
    </row>
    <row r="601">
      <c r="A601" s="18"/>
      <c r="S601" s="86"/>
    </row>
    <row r="602">
      <c r="A602" s="18"/>
      <c r="S602" s="86"/>
    </row>
    <row r="603">
      <c r="A603" s="18"/>
      <c r="S603" s="86"/>
    </row>
    <row r="604">
      <c r="A604" s="18"/>
      <c r="S604" s="86"/>
    </row>
    <row r="605">
      <c r="A605" s="18"/>
      <c r="S605" s="86"/>
    </row>
    <row r="606">
      <c r="A606" s="18"/>
      <c r="S606" s="86"/>
    </row>
    <row r="607">
      <c r="A607" s="18"/>
      <c r="S607" s="86"/>
    </row>
    <row r="608">
      <c r="A608" s="18"/>
      <c r="S608" s="86"/>
    </row>
    <row r="609">
      <c r="A609" s="18"/>
      <c r="S609" s="86"/>
    </row>
    <row r="610">
      <c r="A610" s="18"/>
      <c r="S610" s="86"/>
    </row>
    <row r="611">
      <c r="A611" s="18"/>
      <c r="S611" s="86"/>
    </row>
    <row r="612">
      <c r="A612" s="18"/>
      <c r="S612" s="86"/>
    </row>
    <row r="613">
      <c r="A613" s="18"/>
      <c r="S613" s="86"/>
    </row>
    <row r="614">
      <c r="A614" s="18"/>
      <c r="S614" s="86"/>
    </row>
    <row r="615">
      <c r="A615" s="18"/>
      <c r="S615" s="86"/>
    </row>
    <row r="616">
      <c r="A616" s="18"/>
      <c r="S616" s="86"/>
    </row>
    <row r="617">
      <c r="A617" s="18"/>
      <c r="S617" s="86"/>
    </row>
    <row r="618">
      <c r="A618" s="18"/>
      <c r="S618" s="86"/>
    </row>
    <row r="619">
      <c r="A619" s="18"/>
      <c r="S619" s="86"/>
    </row>
    <row r="620">
      <c r="A620" s="18"/>
      <c r="S620" s="86"/>
    </row>
    <row r="621">
      <c r="A621" s="18"/>
      <c r="S621" s="86"/>
    </row>
    <row r="622">
      <c r="A622" s="18"/>
      <c r="S622" s="86"/>
    </row>
    <row r="623">
      <c r="A623" s="18"/>
      <c r="S623" s="86"/>
    </row>
    <row r="624">
      <c r="A624" s="18"/>
      <c r="S624" s="86"/>
    </row>
    <row r="625">
      <c r="A625" s="18"/>
      <c r="S625" s="86"/>
    </row>
    <row r="626">
      <c r="A626" s="18"/>
      <c r="S626" s="86"/>
    </row>
    <row r="627">
      <c r="A627" s="18"/>
      <c r="S627" s="86"/>
    </row>
    <row r="628">
      <c r="A628" s="18"/>
      <c r="S628" s="86"/>
    </row>
    <row r="629">
      <c r="A629" s="18"/>
      <c r="S629" s="86"/>
    </row>
    <row r="630">
      <c r="A630" s="18"/>
      <c r="S630" s="86"/>
    </row>
    <row r="631">
      <c r="A631" s="18"/>
      <c r="S631" s="86"/>
    </row>
    <row r="632">
      <c r="A632" s="18"/>
      <c r="S632" s="86"/>
    </row>
    <row r="633">
      <c r="A633" s="18"/>
      <c r="S633" s="86"/>
    </row>
    <row r="634">
      <c r="A634" s="18"/>
      <c r="S634" s="86"/>
    </row>
    <row r="635">
      <c r="A635" s="18"/>
      <c r="S635" s="86"/>
    </row>
    <row r="636">
      <c r="A636" s="18"/>
      <c r="S636" s="86"/>
    </row>
    <row r="637">
      <c r="A637" s="18"/>
      <c r="S637" s="86"/>
    </row>
    <row r="638">
      <c r="A638" s="18"/>
      <c r="S638" s="86"/>
    </row>
    <row r="639">
      <c r="A639" s="18"/>
      <c r="S639" s="86"/>
    </row>
    <row r="640">
      <c r="A640" s="18"/>
      <c r="S640" s="86"/>
    </row>
    <row r="641">
      <c r="A641" s="18"/>
      <c r="S641" s="86"/>
    </row>
    <row r="642">
      <c r="A642" s="18"/>
      <c r="S642" s="86"/>
    </row>
    <row r="643">
      <c r="A643" s="18"/>
      <c r="S643" s="86"/>
    </row>
    <row r="644">
      <c r="A644" s="18"/>
      <c r="S644" s="86"/>
    </row>
    <row r="645">
      <c r="A645" s="18"/>
      <c r="S645" s="86"/>
    </row>
    <row r="646">
      <c r="A646" s="18"/>
      <c r="S646" s="86"/>
    </row>
    <row r="647">
      <c r="A647" s="18"/>
      <c r="S647" s="86"/>
    </row>
    <row r="648">
      <c r="A648" s="18"/>
      <c r="S648" s="86"/>
    </row>
    <row r="649">
      <c r="A649" s="18"/>
      <c r="S649" s="86"/>
    </row>
    <row r="650">
      <c r="A650" s="18"/>
      <c r="S650" s="86"/>
    </row>
    <row r="651">
      <c r="A651" s="18"/>
      <c r="S651" s="86"/>
    </row>
    <row r="652">
      <c r="A652" s="18"/>
      <c r="S652" s="86"/>
    </row>
    <row r="653">
      <c r="A653" s="18"/>
      <c r="S653" s="86"/>
    </row>
    <row r="654">
      <c r="A654" s="18"/>
      <c r="S654" s="86"/>
    </row>
    <row r="655">
      <c r="A655" s="18"/>
      <c r="S655" s="86"/>
    </row>
    <row r="656">
      <c r="A656" s="18"/>
      <c r="S656" s="86"/>
    </row>
    <row r="657">
      <c r="A657" s="18"/>
      <c r="S657" s="86"/>
    </row>
    <row r="658">
      <c r="A658" s="18"/>
      <c r="S658" s="86"/>
    </row>
    <row r="659">
      <c r="A659" s="18"/>
      <c r="S659" s="86"/>
    </row>
    <row r="660">
      <c r="A660" s="18"/>
      <c r="S660" s="86"/>
    </row>
    <row r="661">
      <c r="A661" s="18"/>
      <c r="S661" s="86"/>
    </row>
    <row r="662">
      <c r="A662" s="18"/>
      <c r="S662" s="86"/>
    </row>
    <row r="663">
      <c r="A663" s="18"/>
      <c r="S663" s="86"/>
    </row>
    <row r="664">
      <c r="A664" s="18"/>
      <c r="S664" s="86"/>
    </row>
    <row r="665">
      <c r="A665" s="18"/>
      <c r="S665" s="86"/>
    </row>
    <row r="666">
      <c r="A666" s="18"/>
      <c r="S666" s="86"/>
    </row>
    <row r="667">
      <c r="A667" s="18"/>
      <c r="S667" s="86"/>
    </row>
    <row r="668">
      <c r="A668" s="18"/>
      <c r="S668" s="86"/>
    </row>
    <row r="669">
      <c r="A669" s="18"/>
      <c r="S669" s="86"/>
    </row>
    <row r="670">
      <c r="A670" s="18"/>
      <c r="S670" s="86"/>
    </row>
    <row r="671">
      <c r="A671" s="18"/>
      <c r="S671" s="86"/>
    </row>
    <row r="672">
      <c r="A672" s="18"/>
      <c r="S672" s="86"/>
    </row>
    <row r="673">
      <c r="A673" s="18"/>
      <c r="S673" s="86"/>
    </row>
    <row r="674">
      <c r="A674" s="18"/>
      <c r="S674" s="86"/>
    </row>
    <row r="675">
      <c r="A675" s="18"/>
      <c r="S675" s="86"/>
    </row>
    <row r="676">
      <c r="A676" s="18"/>
      <c r="S676" s="86"/>
    </row>
    <row r="677">
      <c r="A677" s="18"/>
      <c r="S677" s="86"/>
    </row>
    <row r="678">
      <c r="A678" s="18"/>
      <c r="S678" s="86"/>
    </row>
    <row r="679">
      <c r="A679" s="18"/>
      <c r="S679" s="86"/>
    </row>
    <row r="680">
      <c r="A680" s="18"/>
      <c r="S680" s="86"/>
    </row>
    <row r="681">
      <c r="A681" s="18"/>
      <c r="S681" s="86"/>
    </row>
    <row r="682">
      <c r="A682" s="18"/>
      <c r="S682" s="86"/>
    </row>
    <row r="683">
      <c r="A683" s="18"/>
      <c r="S683" s="86"/>
    </row>
    <row r="684">
      <c r="A684" s="18"/>
      <c r="S684" s="86"/>
    </row>
    <row r="685">
      <c r="A685" s="18"/>
      <c r="S685" s="86"/>
    </row>
    <row r="686">
      <c r="A686" s="18"/>
      <c r="S686" s="86"/>
    </row>
    <row r="687">
      <c r="A687" s="18"/>
      <c r="S687" s="86"/>
    </row>
    <row r="688">
      <c r="A688" s="18"/>
      <c r="S688" s="86"/>
    </row>
    <row r="689">
      <c r="A689" s="18"/>
      <c r="S689" s="86"/>
    </row>
    <row r="690">
      <c r="A690" s="18"/>
      <c r="S690" s="86"/>
    </row>
    <row r="691">
      <c r="A691" s="18"/>
      <c r="S691" s="86"/>
    </row>
    <row r="692">
      <c r="A692" s="18"/>
      <c r="S692" s="86"/>
    </row>
    <row r="693">
      <c r="A693" s="18"/>
      <c r="S693" s="86"/>
    </row>
    <row r="694">
      <c r="A694" s="18"/>
      <c r="S694" s="86"/>
    </row>
    <row r="695">
      <c r="A695" s="18"/>
      <c r="S695" s="86"/>
    </row>
    <row r="696">
      <c r="A696" s="18"/>
      <c r="S696" s="86"/>
    </row>
    <row r="697">
      <c r="A697" s="18"/>
      <c r="S697" s="86"/>
    </row>
    <row r="698">
      <c r="A698" s="18"/>
      <c r="S698" s="86"/>
    </row>
    <row r="699">
      <c r="A699" s="18"/>
      <c r="S699" s="86"/>
    </row>
    <row r="700">
      <c r="A700" s="18"/>
      <c r="S700" s="86"/>
    </row>
    <row r="701">
      <c r="A701" s="18"/>
      <c r="S701" s="86"/>
    </row>
    <row r="702">
      <c r="A702" s="18"/>
      <c r="S702" s="86"/>
    </row>
    <row r="703">
      <c r="A703" s="18"/>
      <c r="S703" s="86"/>
    </row>
    <row r="704">
      <c r="A704" s="18"/>
      <c r="S704" s="86"/>
    </row>
    <row r="705">
      <c r="A705" s="18"/>
      <c r="S705" s="86"/>
    </row>
    <row r="706">
      <c r="A706" s="18"/>
      <c r="S706" s="86"/>
    </row>
    <row r="707">
      <c r="A707" s="18"/>
      <c r="S707" s="86"/>
    </row>
    <row r="708">
      <c r="A708" s="18"/>
      <c r="S708" s="86"/>
    </row>
    <row r="709">
      <c r="A709" s="18"/>
      <c r="S709" s="86"/>
    </row>
    <row r="710">
      <c r="A710" s="18"/>
      <c r="S710" s="86"/>
    </row>
    <row r="711">
      <c r="A711" s="18"/>
      <c r="S711" s="86"/>
    </row>
    <row r="712">
      <c r="A712" s="18"/>
      <c r="S712" s="86"/>
    </row>
    <row r="713">
      <c r="A713" s="18"/>
      <c r="S713" s="86"/>
    </row>
    <row r="714">
      <c r="A714" s="18"/>
      <c r="S714" s="86"/>
    </row>
    <row r="715">
      <c r="A715" s="18"/>
      <c r="S715" s="86"/>
    </row>
    <row r="716">
      <c r="A716" s="18"/>
      <c r="S716" s="86"/>
    </row>
    <row r="717">
      <c r="A717" s="18"/>
      <c r="S717" s="86"/>
    </row>
    <row r="718">
      <c r="A718" s="18"/>
      <c r="S718" s="86"/>
    </row>
    <row r="719">
      <c r="A719" s="18"/>
      <c r="S719" s="86"/>
    </row>
    <row r="720">
      <c r="A720" s="18"/>
      <c r="S720" s="86"/>
    </row>
    <row r="721">
      <c r="A721" s="18"/>
      <c r="S721" s="86"/>
    </row>
    <row r="722">
      <c r="A722" s="18"/>
      <c r="S722" s="86"/>
    </row>
    <row r="723">
      <c r="A723" s="18"/>
      <c r="S723" s="86"/>
    </row>
    <row r="724">
      <c r="A724" s="18"/>
      <c r="S724" s="86"/>
    </row>
    <row r="725">
      <c r="A725" s="18"/>
      <c r="S725" s="86"/>
    </row>
    <row r="726">
      <c r="A726" s="18"/>
      <c r="S726" s="86"/>
    </row>
    <row r="727">
      <c r="A727" s="18"/>
      <c r="S727" s="86"/>
    </row>
    <row r="728">
      <c r="A728" s="18"/>
      <c r="S728" s="86"/>
    </row>
    <row r="729">
      <c r="A729" s="18"/>
      <c r="S729" s="86"/>
    </row>
    <row r="730">
      <c r="A730" s="18"/>
      <c r="S730" s="86"/>
    </row>
    <row r="731">
      <c r="A731" s="18"/>
      <c r="S731" s="86"/>
    </row>
    <row r="732">
      <c r="A732" s="18"/>
      <c r="S732" s="86"/>
    </row>
    <row r="733">
      <c r="A733" s="18"/>
      <c r="S733" s="86"/>
    </row>
    <row r="734">
      <c r="A734" s="18"/>
      <c r="S734" s="86"/>
    </row>
    <row r="735">
      <c r="A735" s="18"/>
      <c r="S735" s="86"/>
    </row>
    <row r="736">
      <c r="A736" s="18"/>
      <c r="S736" s="86"/>
    </row>
    <row r="737">
      <c r="A737" s="18"/>
      <c r="S737" s="86"/>
    </row>
    <row r="738">
      <c r="A738" s="18"/>
      <c r="S738" s="86"/>
    </row>
    <row r="739">
      <c r="A739" s="18"/>
      <c r="S739" s="86"/>
    </row>
    <row r="740">
      <c r="A740" s="18"/>
      <c r="S740" s="86"/>
    </row>
    <row r="741">
      <c r="A741" s="18"/>
      <c r="S741" s="86"/>
    </row>
    <row r="742">
      <c r="A742" s="18"/>
      <c r="S742" s="86"/>
    </row>
    <row r="743">
      <c r="A743" s="18"/>
      <c r="S743" s="86"/>
    </row>
    <row r="744">
      <c r="A744" s="18"/>
      <c r="S744" s="86"/>
    </row>
    <row r="745">
      <c r="A745" s="18"/>
      <c r="S745" s="86"/>
    </row>
    <row r="746">
      <c r="A746" s="18"/>
      <c r="S746" s="86"/>
    </row>
    <row r="747">
      <c r="A747" s="18"/>
      <c r="S747" s="86"/>
    </row>
    <row r="748">
      <c r="A748" s="18"/>
      <c r="S748" s="86"/>
    </row>
    <row r="749">
      <c r="A749" s="18"/>
      <c r="S749" s="86"/>
    </row>
    <row r="750">
      <c r="A750" s="18"/>
      <c r="S750" s="86"/>
    </row>
    <row r="751">
      <c r="A751" s="18"/>
      <c r="S751" s="86"/>
    </row>
    <row r="752">
      <c r="A752" s="18"/>
      <c r="S752" s="86"/>
    </row>
    <row r="753">
      <c r="A753" s="18"/>
      <c r="S753" s="86"/>
    </row>
    <row r="754">
      <c r="A754" s="18"/>
      <c r="S754" s="86"/>
    </row>
    <row r="755">
      <c r="A755" s="18"/>
      <c r="S755" s="86"/>
    </row>
    <row r="756">
      <c r="A756" s="18"/>
      <c r="S756" s="86"/>
    </row>
    <row r="757">
      <c r="A757" s="18"/>
      <c r="S757" s="86"/>
    </row>
    <row r="758">
      <c r="A758" s="18"/>
      <c r="S758" s="86"/>
    </row>
    <row r="759">
      <c r="A759" s="18"/>
      <c r="S759" s="86"/>
    </row>
    <row r="760">
      <c r="A760" s="18"/>
      <c r="S760" s="86"/>
    </row>
    <row r="761">
      <c r="A761" s="18"/>
      <c r="S761" s="86"/>
    </row>
    <row r="762">
      <c r="A762" s="18"/>
      <c r="S762" s="86"/>
    </row>
    <row r="763">
      <c r="A763" s="18"/>
      <c r="S763" s="86"/>
    </row>
    <row r="764">
      <c r="A764" s="18"/>
      <c r="S764" s="86"/>
    </row>
    <row r="765">
      <c r="A765" s="18"/>
      <c r="S765" s="86"/>
    </row>
    <row r="766">
      <c r="A766" s="18"/>
      <c r="S766" s="86"/>
    </row>
    <row r="767">
      <c r="A767" s="18"/>
      <c r="S767" s="86"/>
    </row>
    <row r="768">
      <c r="A768" s="18"/>
      <c r="S768" s="86"/>
    </row>
    <row r="769">
      <c r="A769" s="18"/>
      <c r="S769" s="86"/>
    </row>
    <row r="770">
      <c r="A770" s="18"/>
      <c r="S770" s="86"/>
    </row>
    <row r="771">
      <c r="A771" s="18"/>
      <c r="S771" s="86"/>
    </row>
    <row r="772">
      <c r="A772" s="18"/>
      <c r="S772" s="86"/>
    </row>
    <row r="773">
      <c r="A773" s="18"/>
      <c r="S773" s="86"/>
    </row>
    <row r="774">
      <c r="A774" s="18"/>
      <c r="S774" s="86"/>
    </row>
    <row r="775">
      <c r="A775" s="18"/>
      <c r="S775" s="86"/>
    </row>
    <row r="776">
      <c r="A776" s="18"/>
      <c r="S776" s="86"/>
    </row>
    <row r="777">
      <c r="A777" s="18"/>
      <c r="S777" s="86"/>
    </row>
    <row r="778">
      <c r="A778" s="18"/>
      <c r="S778" s="86"/>
    </row>
    <row r="779">
      <c r="A779" s="18"/>
      <c r="S779" s="86"/>
    </row>
    <row r="780">
      <c r="A780" s="18"/>
      <c r="S780" s="86"/>
    </row>
    <row r="781">
      <c r="A781" s="18"/>
      <c r="S781" s="86"/>
    </row>
    <row r="782">
      <c r="A782" s="18"/>
      <c r="S782" s="86"/>
    </row>
    <row r="783">
      <c r="A783" s="18"/>
      <c r="S783" s="86"/>
    </row>
    <row r="784">
      <c r="A784" s="18"/>
      <c r="S784" s="86"/>
    </row>
    <row r="785">
      <c r="A785" s="18"/>
      <c r="S785" s="86"/>
    </row>
    <row r="786">
      <c r="A786" s="18"/>
      <c r="S786" s="86"/>
    </row>
    <row r="787">
      <c r="A787" s="18"/>
      <c r="S787" s="86"/>
    </row>
    <row r="788">
      <c r="A788" s="18"/>
      <c r="S788" s="86"/>
    </row>
    <row r="789">
      <c r="A789" s="18"/>
      <c r="S789" s="86"/>
    </row>
    <row r="790">
      <c r="A790" s="18"/>
      <c r="S790" s="86"/>
    </row>
    <row r="791">
      <c r="A791" s="18"/>
      <c r="S791" s="86"/>
    </row>
    <row r="792">
      <c r="A792" s="18"/>
      <c r="S792" s="86"/>
    </row>
    <row r="793">
      <c r="A793" s="18"/>
      <c r="S793" s="86"/>
    </row>
    <row r="794">
      <c r="A794" s="18"/>
      <c r="S794" s="86"/>
    </row>
    <row r="795">
      <c r="A795" s="18"/>
      <c r="S795" s="86"/>
    </row>
    <row r="796">
      <c r="A796" s="18"/>
      <c r="S796" s="86"/>
    </row>
    <row r="797">
      <c r="A797" s="18"/>
      <c r="S797" s="86"/>
    </row>
    <row r="798">
      <c r="A798" s="18"/>
      <c r="S798" s="86"/>
    </row>
    <row r="799">
      <c r="A799" s="18"/>
      <c r="S799" s="86"/>
    </row>
    <row r="800">
      <c r="A800" s="18"/>
      <c r="S800" s="86"/>
    </row>
    <row r="801">
      <c r="A801" s="18"/>
      <c r="S801" s="86"/>
    </row>
    <row r="802">
      <c r="A802" s="18"/>
      <c r="S802" s="86"/>
    </row>
    <row r="803">
      <c r="A803" s="18"/>
      <c r="S803" s="86"/>
    </row>
    <row r="804">
      <c r="A804" s="18"/>
      <c r="S804" s="86"/>
    </row>
    <row r="805">
      <c r="A805" s="18"/>
      <c r="S805" s="86"/>
    </row>
    <row r="806">
      <c r="A806" s="18"/>
      <c r="S806" s="86"/>
    </row>
    <row r="807">
      <c r="A807" s="18"/>
      <c r="S807" s="86"/>
    </row>
    <row r="808">
      <c r="A808" s="18"/>
      <c r="S808" s="86"/>
    </row>
    <row r="809">
      <c r="A809" s="18"/>
      <c r="S809" s="86"/>
    </row>
    <row r="810">
      <c r="A810" s="18"/>
      <c r="S810" s="86"/>
    </row>
    <row r="811">
      <c r="A811" s="18"/>
      <c r="S811" s="86"/>
    </row>
    <row r="812">
      <c r="A812" s="18"/>
      <c r="S812" s="86"/>
    </row>
    <row r="813">
      <c r="A813" s="18"/>
      <c r="S813" s="86"/>
    </row>
    <row r="814">
      <c r="A814" s="18"/>
      <c r="S814" s="86"/>
    </row>
    <row r="815">
      <c r="A815" s="18"/>
      <c r="S815" s="86"/>
    </row>
    <row r="816">
      <c r="A816" s="18"/>
      <c r="S816" s="86"/>
    </row>
    <row r="817">
      <c r="A817" s="18"/>
      <c r="S817" s="86"/>
    </row>
    <row r="818">
      <c r="A818" s="18"/>
      <c r="S818" s="86"/>
    </row>
    <row r="819">
      <c r="A819" s="18"/>
      <c r="S819" s="86"/>
    </row>
    <row r="820">
      <c r="A820" s="18"/>
      <c r="S820" s="86"/>
    </row>
    <row r="821">
      <c r="A821" s="18"/>
      <c r="S821" s="86"/>
    </row>
    <row r="822">
      <c r="A822" s="18"/>
      <c r="S822" s="86"/>
    </row>
    <row r="823">
      <c r="A823" s="18"/>
      <c r="S823" s="86"/>
    </row>
    <row r="824">
      <c r="A824" s="18"/>
      <c r="S824" s="86"/>
    </row>
    <row r="825">
      <c r="A825" s="18"/>
      <c r="S825" s="86"/>
    </row>
    <row r="826">
      <c r="A826" s="18"/>
      <c r="S826" s="86"/>
    </row>
    <row r="827">
      <c r="A827" s="18"/>
      <c r="S827" s="86"/>
    </row>
    <row r="828">
      <c r="A828" s="18"/>
      <c r="S828" s="86"/>
    </row>
    <row r="829">
      <c r="A829" s="18"/>
      <c r="S829" s="86"/>
    </row>
    <row r="830">
      <c r="A830" s="18"/>
      <c r="S830" s="86"/>
    </row>
    <row r="831">
      <c r="A831" s="18"/>
      <c r="S831" s="86"/>
    </row>
    <row r="832">
      <c r="A832" s="18"/>
      <c r="S832" s="86"/>
    </row>
    <row r="833">
      <c r="A833" s="18"/>
      <c r="S833" s="86"/>
    </row>
    <row r="834">
      <c r="A834" s="18"/>
      <c r="S834" s="86"/>
    </row>
    <row r="835">
      <c r="A835" s="18"/>
      <c r="S835" s="86"/>
    </row>
    <row r="836">
      <c r="A836" s="18"/>
      <c r="S836" s="86"/>
    </row>
    <row r="837">
      <c r="A837" s="18"/>
      <c r="S837" s="86"/>
    </row>
    <row r="838">
      <c r="A838" s="18"/>
      <c r="S838" s="86"/>
    </row>
    <row r="839">
      <c r="A839" s="18"/>
      <c r="S839" s="86"/>
    </row>
    <row r="840">
      <c r="A840" s="18"/>
      <c r="S840" s="86"/>
    </row>
    <row r="841">
      <c r="A841" s="18"/>
      <c r="S841" s="86"/>
    </row>
    <row r="842">
      <c r="A842" s="18"/>
      <c r="S842" s="86"/>
    </row>
    <row r="843">
      <c r="A843" s="18"/>
      <c r="S843" s="86"/>
    </row>
    <row r="844">
      <c r="A844" s="18"/>
      <c r="S844" s="86"/>
    </row>
    <row r="845">
      <c r="A845" s="18"/>
      <c r="S845" s="86"/>
    </row>
    <row r="846">
      <c r="A846" s="18"/>
      <c r="S846" s="86"/>
    </row>
    <row r="847">
      <c r="A847" s="18"/>
      <c r="S847" s="86"/>
    </row>
    <row r="848">
      <c r="A848" s="18"/>
      <c r="S848" s="86"/>
    </row>
    <row r="849">
      <c r="A849" s="18"/>
      <c r="S849" s="86"/>
    </row>
    <row r="850">
      <c r="A850" s="18"/>
      <c r="S850" s="86"/>
    </row>
    <row r="851">
      <c r="A851" s="18"/>
      <c r="S851" s="86"/>
    </row>
    <row r="852">
      <c r="A852" s="18"/>
      <c r="S852" s="86"/>
    </row>
    <row r="853">
      <c r="A853" s="18"/>
      <c r="S853" s="86"/>
    </row>
    <row r="854">
      <c r="A854" s="18"/>
      <c r="S854" s="86"/>
    </row>
    <row r="855">
      <c r="A855" s="18"/>
      <c r="S855" s="86"/>
    </row>
    <row r="856">
      <c r="A856" s="18"/>
      <c r="S856" s="86"/>
    </row>
    <row r="857">
      <c r="A857" s="18"/>
      <c r="S857" s="86"/>
    </row>
    <row r="858">
      <c r="A858" s="18"/>
      <c r="S858" s="86"/>
    </row>
    <row r="859">
      <c r="A859" s="18"/>
      <c r="S859" s="86"/>
    </row>
    <row r="860">
      <c r="A860" s="18"/>
      <c r="S860" s="86"/>
    </row>
    <row r="861">
      <c r="A861" s="18"/>
      <c r="S861" s="86"/>
    </row>
    <row r="862">
      <c r="A862" s="18"/>
      <c r="S862" s="86"/>
    </row>
    <row r="863">
      <c r="A863" s="18"/>
      <c r="S863" s="86"/>
    </row>
    <row r="864">
      <c r="A864" s="18"/>
      <c r="S864" s="86"/>
    </row>
    <row r="865">
      <c r="A865" s="18"/>
      <c r="S865" s="86"/>
    </row>
    <row r="866">
      <c r="A866" s="18"/>
      <c r="S866" s="86"/>
    </row>
    <row r="867">
      <c r="A867" s="18"/>
      <c r="S867" s="86"/>
    </row>
    <row r="868">
      <c r="A868" s="18"/>
      <c r="S868" s="86"/>
    </row>
    <row r="869">
      <c r="A869" s="18"/>
      <c r="S869" s="86"/>
    </row>
    <row r="870">
      <c r="A870" s="18"/>
      <c r="S870" s="86"/>
    </row>
    <row r="871">
      <c r="A871" s="18"/>
      <c r="S871" s="86"/>
    </row>
    <row r="872">
      <c r="A872" s="18"/>
      <c r="S872" s="86"/>
    </row>
    <row r="873">
      <c r="A873" s="18"/>
      <c r="S873" s="86"/>
    </row>
    <row r="874">
      <c r="A874" s="18"/>
      <c r="S874" s="86"/>
    </row>
    <row r="875">
      <c r="A875" s="18"/>
      <c r="S875" s="86"/>
    </row>
    <row r="876">
      <c r="A876" s="18"/>
      <c r="S876" s="86"/>
    </row>
    <row r="877">
      <c r="A877" s="18"/>
      <c r="S877" s="86"/>
    </row>
    <row r="878">
      <c r="A878" s="18"/>
      <c r="S878" s="86"/>
    </row>
    <row r="879">
      <c r="A879" s="18"/>
      <c r="S879" s="86"/>
    </row>
    <row r="880">
      <c r="A880" s="18"/>
      <c r="S880" s="86"/>
    </row>
    <row r="881">
      <c r="A881" s="18"/>
      <c r="S881" s="86"/>
    </row>
    <row r="882">
      <c r="A882" s="18"/>
      <c r="S882" s="86"/>
    </row>
    <row r="883">
      <c r="A883" s="18"/>
      <c r="S883" s="86"/>
    </row>
    <row r="884">
      <c r="A884" s="18"/>
      <c r="S884" s="86"/>
    </row>
    <row r="885">
      <c r="A885" s="18"/>
      <c r="S885" s="86"/>
    </row>
    <row r="886">
      <c r="A886" s="18"/>
      <c r="S886" s="86"/>
    </row>
    <row r="887">
      <c r="A887" s="18"/>
      <c r="S887" s="86"/>
    </row>
    <row r="888">
      <c r="A888" s="18"/>
      <c r="S888" s="86"/>
    </row>
    <row r="889">
      <c r="A889" s="18"/>
      <c r="S889" s="86"/>
    </row>
    <row r="890">
      <c r="A890" s="18"/>
      <c r="S890" s="86"/>
    </row>
    <row r="891">
      <c r="A891" s="18"/>
      <c r="S891" s="86"/>
    </row>
    <row r="892">
      <c r="A892" s="18"/>
      <c r="S892" s="86"/>
    </row>
    <row r="893">
      <c r="A893" s="18"/>
      <c r="S893" s="86"/>
    </row>
    <row r="894">
      <c r="A894" s="18"/>
      <c r="S894" s="86"/>
    </row>
    <row r="895">
      <c r="A895" s="18"/>
      <c r="S895" s="86"/>
    </row>
    <row r="896">
      <c r="A896" s="18"/>
      <c r="S896" s="86"/>
    </row>
    <row r="897">
      <c r="A897" s="18"/>
      <c r="S897" s="86"/>
    </row>
    <row r="898">
      <c r="A898" s="18"/>
      <c r="S898" s="86"/>
    </row>
    <row r="899">
      <c r="A899" s="18"/>
      <c r="S899" s="86"/>
    </row>
    <row r="900">
      <c r="A900" s="18"/>
      <c r="S900" s="86"/>
    </row>
    <row r="901">
      <c r="A901" s="18"/>
      <c r="S901" s="86"/>
    </row>
    <row r="902">
      <c r="A902" s="18"/>
      <c r="S902" s="86"/>
    </row>
    <row r="903">
      <c r="A903" s="18"/>
      <c r="S903" s="86"/>
    </row>
    <row r="904">
      <c r="A904" s="18"/>
      <c r="S904" s="86"/>
    </row>
    <row r="905">
      <c r="A905" s="18"/>
      <c r="S905" s="86"/>
    </row>
    <row r="906">
      <c r="A906" s="18"/>
      <c r="S906" s="86"/>
    </row>
    <row r="907">
      <c r="A907" s="18"/>
      <c r="S907" s="86"/>
    </row>
    <row r="908">
      <c r="A908" s="18"/>
      <c r="S908" s="86"/>
    </row>
    <row r="909">
      <c r="A909" s="18"/>
      <c r="S909" s="86"/>
    </row>
    <row r="910">
      <c r="A910" s="18"/>
      <c r="S910" s="86"/>
    </row>
    <row r="911">
      <c r="A911" s="18"/>
      <c r="S911" s="86"/>
    </row>
    <row r="912">
      <c r="A912" s="18"/>
      <c r="S912" s="86"/>
    </row>
    <row r="913">
      <c r="A913" s="18"/>
      <c r="S913" s="86"/>
    </row>
    <row r="914">
      <c r="A914" s="18"/>
      <c r="S914" s="86"/>
    </row>
    <row r="915">
      <c r="A915" s="18"/>
      <c r="S915" s="86"/>
    </row>
    <row r="916">
      <c r="A916" s="18"/>
      <c r="S916" s="86"/>
    </row>
    <row r="917">
      <c r="A917" s="18"/>
      <c r="S917" s="86"/>
    </row>
    <row r="918">
      <c r="A918" s="18"/>
      <c r="S918" s="86"/>
    </row>
    <row r="919">
      <c r="A919" s="18"/>
      <c r="S919" s="86"/>
    </row>
    <row r="920">
      <c r="A920" s="18"/>
      <c r="S920" s="86"/>
    </row>
    <row r="921">
      <c r="A921" s="18"/>
      <c r="S921" s="86"/>
    </row>
    <row r="922">
      <c r="A922" s="18"/>
      <c r="S922" s="86"/>
    </row>
    <row r="923">
      <c r="A923" s="18"/>
      <c r="S923" s="86"/>
    </row>
    <row r="924">
      <c r="A924" s="18"/>
      <c r="S924" s="86"/>
    </row>
    <row r="925">
      <c r="A925" s="18"/>
      <c r="S925" s="86"/>
    </row>
    <row r="926">
      <c r="A926" s="18"/>
      <c r="S926" s="86"/>
    </row>
    <row r="927">
      <c r="A927" s="18"/>
      <c r="S927" s="86"/>
    </row>
    <row r="928">
      <c r="A928" s="18"/>
      <c r="S928" s="86"/>
    </row>
    <row r="929">
      <c r="A929" s="18"/>
      <c r="S929" s="86"/>
    </row>
    <row r="930">
      <c r="A930" s="18"/>
      <c r="S930" s="86"/>
    </row>
    <row r="931">
      <c r="A931" s="18"/>
      <c r="S931" s="86"/>
    </row>
    <row r="932">
      <c r="A932" s="18"/>
      <c r="S932" s="86"/>
    </row>
    <row r="933">
      <c r="A933" s="18"/>
      <c r="S933" s="86"/>
    </row>
    <row r="934">
      <c r="A934" s="18"/>
      <c r="S934" s="86"/>
    </row>
    <row r="935">
      <c r="A935" s="18"/>
      <c r="S935" s="86"/>
    </row>
    <row r="936">
      <c r="A936" s="18"/>
      <c r="S936" s="86"/>
    </row>
    <row r="937">
      <c r="A937" s="18"/>
      <c r="S937" s="86"/>
    </row>
    <row r="938">
      <c r="A938" s="18"/>
      <c r="S938" s="86"/>
    </row>
    <row r="939">
      <c r="A939" s="18"/>
      <c r="S939" s="86"/>
    </row>
    <row r="940">
      <c r="A940" s="18"/>
      <c r="S940" s="86"/>
    </row>
    <row r="941">
      <c r="A941" s="18"/>
      <c r="S941" s="86"/>
    </row>
    <row r="942">
      <c r="A942" s="18"/>
      <c r="S942" s="86"/>
    </row>
    <row r="943">
      <c r="A943" s="18"/>
      <c r="S943" s="86"/>
    </row>
    <row r="944">
      <c r="A944" s="18"/>
      <c r="S944" s="86"/>
    </row>
    <row r="945">
      <c r="A945" s="18"/>
      <c r="S945" s="86"/>
    </row>
    <row r="946">
      <c r="A946" s="18"/>
      <c r="S946" s="86"/>
    </row>
    <row r="947">
      <c r="A947" s="18"/>
      <c r="S947" s="86"/>
    </row>
    <row r="948">
      <c r="A948" s="18"/>
      <c r="S948" s="86"/>
    </row>
    <row r="949">
      <c r="A949" s="18"/>
      <c r="S949" s="86"/>
    </row>
    <row r="950">
      <c r="A950" s="18"/>
      <c r="S950" s="86"/>
    </row>
    <row r="951">
      <c r="A951" s="18"/>
      <c r="S951" s="86"/>
    </row>
    <row r="952">
      <c r="A952" s="18"/>
      <c r="S952" s="86"/>
    </row>
    <row r="953">
      <c r="A953" s="18"/>
      <c r="S953" s="86"/>
    </row>
    <row r="954">
      <c r="A954" s="18"/>
      <c r="S954" s="86"/>
    </row>
    <row r="955">
      <c r="A955" s="18"/>
      <c r="S955" s="86"/>
    </row>
    <row r="956">
      <c r="A956" s="18"/>
      <c r="S956" s="86"/>
    </row>
    <row r="957">
      <c r="A957" s="18"/>
      <c r="S957" s="86"/>
    </row>
    <row r="958">
      <c r="A958" s="18"/>
      <c r="S958" s="86"/>
    </row>
    <row r="959">
      <c r="A959" s="18"/>
      <c r="S959" s="86"/>
    </row>
    <row r="960">
      <c r="A960" s="18"/>
      <c r="S960" s="86"/>
    </row>
    <row r="961">
      <c r="A961" s="18"/>
      <c r="S961" s="86"/>
    </row>
    <row r="962">
      <c r="A962" s="18"/>
      <c r="S962" s="86"/>
    </row>
    <row r="963">
      <c r="A963" s="18"/>
      <c r="S963" s="86"/>
    </row>
    <row r="964">
      <c r="A964" s="18"/>
      <c r="S964" s="86"/>
    </row>
    <row r="965">
      <c r="A965" s="18"/>
      <c r="S965" s="86"/>
    </row>
    <row r="966">
      <c r="A966" s="18"/>
      <c r="S966" s="86"/>
    </row>
    <row r="967">
      <c r="A967" s="18"/>
      <c r="S967" s="86"/>
    </row>
    <row r="968">
      <c r="A968" s="18"/>
      <c r="S968" s="86"/>
    </row>
    <row r="969">
      <c r="A969" s="18"/>
      <c r="S969" s="86"/>
    </row>
    <row r="970">
      <c r="A970" s="18"/>
      <c r="S970" s="86"/>
    </row>
    <row r="971">
      <c r="A971" s="18"/>
      <c r="S971" s="86"/>
    </row>
    <row r="972">
      <c r="A972" s="18"/>
      <c r="S972" s="86"/>
    </row>
    <row r="973">
      <c r="A973" s="18"/>
      <c r="S973" s="86"/>
    </row>
    <row r="974">
      <c r="A974" s="18"/>
      <c r="S974" s="86"/>
    </row>
    <row r="975">
      <c r="A975" s="18"/>
      <c r="S975" s="86"/>
    </row>
    <row r="976">
      <c r="S976" s="86"/>
    </row>
    <row r="977">
      <c r="S977" s="86"/>
    </row>
    <row r="978">
      <c r="S978" s="86"/>
    </row>
    <row r="979">
      <c r="S979" s="86"/>
    </row>
    <row r="980">
      <c r="S980" s="86"/>
    </row>
    <row r="981">
      <c r="S981" s="86"/>
    </row>
    <row r="982">
      <c r="S982" s="86"/>
    </row>
    <row r="983">
      <c r="S983" s="86"/>
    </row>
  </sheetData>
  <mergeCells count="1">
    <mergeCell ref="C1:S1"/>
  </mergeCells>
  <conditionalFormatting sqref="B3:B13">
    <cfRule type="cellIs" dxfId="2" priority="1" operator="greaterThanOrEqual">
      <formula>10</formula>
    </cfRule>
  </conditionalFormatting>
  <conditionalFormatting sqref="B3:B13">
    <cfRule type="cellIs" dxfId="3" priority="2" operator="between">
      <formula>10</formula>
      <formula>5</formula>
    </cfRule>
  </conditionalFormatting>
  <conditionalFormatting sqref="B3:B13">
    <cfRule type="cellIs" dxfId="4" priority="3" operator="lessThan">
      <formula>5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75"/>
    <col customWidth="1" min="3" max="3" width="3.0"/>
    <col customWidth="1" min="4" max="11" width="1.88"/>
    <col customWidth="1" min="12" max="12" width="2.88"/>
    <col customWidth="1" min="13" max="13" width="2.75"/>
    <col customWidth="1" min="14" max="26" width="2.88"/>
    <col customWidth="1" min="27" max="27" width="3.0"/>
  </cols>
  <sheetData>
    <row r="1">
      <c r="A1" s="18"/>
      <c r="B1" s="76"/>
      <c r="C1" s="80" t="s">
        <v>166</v>
      </c>
      <c r="AA1" s="78"/>
    </row>
    <row r="2">
      <c r="A2" s="81" t="s">
        <v>167</v>
      </c>
      <c r="B2" s="82" t="s">
        <v>168</v>
      </c>
      <c r="C2" s="83">
        <v>1.0</v>
      </c>
      <c r="D2" s="83">
        <v>2.0</v>
      </c>
      <c r="E2" s="83">
        <v>3.0</v>
      </c>
      <c r="F2" s="83">
        <v>4.0</v>
      </c>
      <c r="G2" s="83">
        <v>5.0</v>
      </c>
      <c r="H2" s="83">
        <v>6.0</v>
      </c>
      <c r="I2" s="83">
        <v>7.0</v>
      </c>
      <c r="J2" s="83">
        <v>8.0</v>
      </c>
      <c r="K2" s="83">
        <v>9.0</v>
      </c>
      <c r="L2" s="83">
        <v>10.0</v>
      </c>
      <c r="M2" s="83">
        <v>11.0</v>
      </c>
      <c r="N2" s="83">
        <v>12.0</v>
      </c>
      <c r="O2" s="83">
        <v>13.0</v>
      </c>
      <c r="P2" s="83">
        <v>14.0</v>
      </c>
      <c r="Q2" s="83">
        <v>15.0</v>
      </c>
      <c r="R2" s="83">
        <v>16.0</v>
      </c>
      <c r="S2" s="83">
        <v>17.0</v>
      </c>
      <c r="T2" s="83">
        <v>18.0</v>
      </c>
      <c r="U2" s="83">
        <v>19.0</v>
      </c>
      <c r="V2" s="83">
        <v>20.0</v>
      </c>
      <c r="W2" s="83">
        <v>21.0</v>
      </c>
      <c r="X2" s="83">
        <v>22.0</v>
      </c>
      <c r="Y2" s="83">
        <v>23.0</v>
      </c>
      <c r="Z2" s="83">
        <v>24.0</v>
      </c>
      <c r="AA2" s="84">
        <v>25.0</v>
      </c>
    </row>
    <row r="3">
      <c r="A3" s="20" t="s">
        <v>67</v>
      </c>
      <c r="B3" s="85">
        <f t="shared" ref="B3:B11" si="1">sum(C3:AA3)</f>
        <v>9</v>
      </c>
      <c r="C3" s="42">
        <v>1.0</v>
      </c>
      <c r="D3" s="42">
        <v>1.0</v>
      </c>
      <c r="G3" s="42">
        <v>1.0</v>
      </c>
      <c r="H3" s="42">
        <v>1.0</v>
      </c>
      <c r="K3" s="42">
        <v>1.0</v>
      </c>
      <c r="N3" s="42">
        <v>1.0</v>
      </c>
      <c r="R3" s="42">
        <v>1.0</v>
      </c>
      <c r="V3" s="42">
        <v>1.0</v>
      </c>
      <c r="W3" s="42">
        <v>1.0</v>
      </c>
      <c r="AA3" s="86"/>
    </row>
    <row r="4">
      <c r="A4" s="20" t="s">
        <v>70</v>
      </c>
      <c r="B4" s="85">
        <f t="shared" si="1"/>
        <v>10</v>
      </c>
      <c r="C4" s="42">
        <v>1.0</v>
      </c>
      <c r="E4" s="42">
        <v>1.0</v>
      </c>
      <c r="F4" s="42">
        <v>1.0</v>
      </c>
      <c r="L4" s="42">
        <v>1.0</v>
      </c>
      <c r="M4" s="42">
        <v>1.0</v>
      </c>
      <c r="R4" s="42">
        <v>1.0</v>
      </c>
      <c r="S4" s="42">
        <v>1.0</v>
      </c>
      <c r="T4" s="42">
        <v>1.0</v>
      </c>
      <c r="W4" s="42">
        <v>1.0</v>
      </c>
      <c r="X4" s="42">
        <v>1.0</v>
      </c>
      <c r="AA4" s="86"/>
    </row>
    <row r="5">
      <c r="A5" s="20" t="s">
        <v>76</v>
      </c>
      <c r="B5" s="85">
        <f t="shared" si="1"/>
        <v>4</v>
      </c>
      <c r="L5" s="42">
        <v>1.0</v>
      </c>
      <c r="O5" s="42">
        <v>1.0</v>
      </c>
      <c r="P5" s="42">
        <v>1.0</v>
      </c>
      <c r="Y5" s="42">
        <v>1.0</v>
      </c>
      <c r="AA5" s="86"/>
    </row>
    <row r="6">
      <c r="A6" s="20" t="s">
        <v>79</v>
      </c>
      <c r="B6" s="88">
        <f t="shared" si="1"/>
        <v>2</v>
      </c>
      <c r="I6" s="42">
        <v>1.0</v>
      </c>
      <c r="P6" s="42">
        <v>1.0</v>
      </c>
      <c r="AA6" s="86"/>
    </row>
    <row r="7">
      <c r="A7" s="27" t="s">
        <v>88</v>
      </c>
      <c r="B7" s="85">
        <f t="shared" si="1"/>
        <v>2</v>
      </c>
      <c r="M7" s="42">
        <v>1.0</v>
      </c>
      <c r="Z7" s="42">
        <v>1.0</v>
      </c>
      <c r="AA7" s="86"/>
    </row>
    <row r="8">
      <c r="A8" s="27" t="s">
        <v>91</v>
      </c>
      <c r="B8" s="85">
        <f t="shared" si="1"/>
        <v>1</v>
      </c>
      <c r="AA8" s="87">
        <v>1.0</v>
      </c>
    </row>
    <row r="9">
      <c r="A9" s="34" t="s">
        <v>126</v>
      </c>
      <c r="B9" s="85">
        <f t="shared" si="1"/>
        <v>2</v>
      </c>
      <c r="Q9" s="42">
        <v>1.0</v>
      </c>
      <c r="U9" s="42">
        <v>1.0</v>
      </c>
      <c r="AA9" s="86"/>
    </row>
    <row r="10">
      <c r="A10" s="34" t="s">
        <v>129</v>
      </c>
      <c r="B10" s="85">
        <f t="shared" si="1"/>
        <v>3</v>
      </c>
      <c r="T10" s="42">
        <v>1.0</v>
      </c>
      <c r="Z10" s="42">
        <v>1.0</v>
      </c>
      <c r="AA10" s="87">
        <v>1.0</v>
      </c>
    </row>
    <row r="11">
      <c r="A11" s="38" t="s">
        <v>142</v>
      </c>
      <c r="B11" s="85">
        <f t="shared" si="1"/>
        <v>1</v>
      </c>
      <c r="J11" s="42">
        <v>1.0</v>
      </c>
      <c r="AA11" s="86"/>
    </row>
    <row r="12">
      <c r="C12" s="88">
        <f t="shared" ref="C12:AA12" si="2">sum(C3:C11)</f>
        <v>2</v>
      </c>
      <c r="D12" s="88">
        <f t="shared" si="2"/>
        <v>1</v>
      </c>
      <c r="E12" s="88">
        <f t="shared" si="2"/>
        <v>1</v>
      </c>
      <c r="F12" s="88">
        <f t="shared" si="2"/>
        <v>1</v>
      </c>
      <c r="G12" s="88">
        <f t="shared" si="2"/>
        <v>1</v>
      </c>
      <c r="H12" s="88">
        <f t="shared" si="2"/>
        <v>1</v>
      </c>
      <c r="I12" s="88">
        <f t="shared" si="2"/>
        <v>1</v>
      </c>
      <c r="J12" s="88">
        <f t="shared" si="2"/>
        <v>1</v>
      </c>
      <c r="K12" s="88">
        <f t="shared" si="2"/>
        <v>1</v>
      </c>
      <c r="L12" s="88">
        <f t="shared" si="2"/>
        <v>2</v>
      </c>
      <c r="M12" s="88">
        <f t="shared" si="2"/>
        <v>2</v>
      </c>
      <c r="N12" s="88">
        <f t="shared" si="2"/>
        <v>1</v>
      </c>
      <c r="O12" s="88">
        <f t="shared" si="2"/>
        <v>1</v>
      </c>
      <c r="P12" s="88">
        <f t="shared" si="2"/>
        <v>2</v>
      </c>
      <c r="Q12" s="88">
        <f t="shared" si="2"/>
        <v>1</v>
      </c>
      <c r="R12" s="88">
        <f t="shared" si="2"/>
        <v>2</v>
      </c>
      <c r="S12" s="88">
        <f t="shared" si="2"/>
        <v>1</v>
      </c>
      <c r="T12" s="88">
        <f t="shared" si="2"/>
        <v>2</v>
      </c>
      <c r="U12" s="88">
        <f t="shared" si="2"/>
        <v>1</v>
      </c>
      <c r="V12" s="88">
        <f t="shared" si="2"/>
        <v>1</v>
      </c>
      <c r="W12" s="88">
        <f t="shared" si="2"/>
        <v>2</v>
      </c>
      <c r="X12" s="88">
        <f t="shared" si="2"/>
        <v>1</v>
      </c>
      <c r="Y12" s="88">
        <f t="shared" si="2"/>
        <v>1</v>
      </c>
      <c r="Z12" s="88">
        <f t="shared" si="2"/>
        <v>2</v>
      </c>
      <c r="AA12" s="88">
        <f t="shared" si="2"/>
        <v>2</v>
      </c>
    </row>
    <row r="13">
      <c r="AA13" s="85"/>
    </row>
    <row r="14">
      <c r="AA14" s="85"/>
    </row>
    <row r="15">
      <c r="AA15" s="85"/>
    </row>
    <row r="16">
      <c r="AA16" s="85"/>
    </row>
    <row r="17">
      <c r="AA17" s="85"/>
    </row>
    <row r="18">
      <c r="AA18" s="85"/>
    </row>
    <row r="19">
      <c r="AA19" s="85"/>
    </row>
    <row r="20">
      <c r="AA20" s="85"/>
    </row>
    <row r="21">
      <c r="AA21" s="85"/>
    </row>
    <row r="22">
      <c r="AA22" s="85"/>
    </row>
    <row r="23">
      <c r="AA23" s="85"/>
    </row>
    <row r="24">
      <c r="AA24" s="85"/>
    </row>
    <row r="25">
      <c r="AA25" s="85"/>
    </row>
    <row r="26">
      <c r="AA26" s="85"/>
    </row>
    <row r="27">
      <c r="AA27" s="85"/>
    </row>
    <row r="28">
      <c r="AA28" s="85"/>
    </row>
    <row r="29">
      <c r="AA29" s="85"/>
    </row>
    <row r="30">
      <c r="AA30" s="85"/>
    </row>
    <row r="31">
      <c r="AA31" s="85"/>
    </row>
    <row r="32">
      <c r="AA32" s="85"/>
    </row>
    <row r="33">
      <c r="AA33" s="85"/>
    </row>
    <row r="34">
      <c r="AA34" s="85"/>
    </row>
    <row r="35">
      <c r="AA35" s="85"/>
    </row>
    <row r="36">
      <c r="AA36" s="85"/>
    </row>
    <row r="37">
      <c r="AA37" s="85"/>
    </row>
    <row r="38">
      <c r="AA38" s="85"/>
    </row>
    <row r="39">
      <c r="AA39" s="85"/>
    </row>
    <row r="40">
      <c r="AA40" s="85"/>
    </row>
    <row r="41">
      <c r="AA41" s="85"/>
    </row>
    <row r="42">
      <c r="AA42" s="85"/>
    </row>
    <row r="43">
      <c r="AA43" s="85"/>
    </row>
    <row r="44">
      <c r="AA44" s="85"/>
    </row>
    <row r="45">
      <c r="AA45" s="85"/>
    </row>
    <row r="46">
      <c r="AA46" s="85"/>
    </row>
    <row r="47">
      <c r="AA47" s="85"/>
    </row>
    <row r="48">
      <c r="A48" s="18"/>
      <c r="AA48" s="85"/>
    </row>
    <row r="49">
      <c r="A49" s="18"/>
      <c r="AA49" s="85"/>
    </row>
    <row r="50">
      <c r="A50" s="18"/>
      <c r="AA50" s="85"/>
    </row>
    <row r="51">
      <c r="A51" s="18"/>
      <c r="AA51" s="85"/>
    </row>
    <row r="52">
      <c r="A52" s="18"/>
      <c r="AA52" s="85"/>
    </row>
    <row r="53">
      <c r="A53" s="18"/>
      <c r="AA53" s="85"/>
    </row>
    <row r="54">
      <c r="A54" s="18"/>
      <c r="AA54" s="85"/>
    </row>
    <row r="55">
      <c r="A55" s="18"/>
      <c r="AA55" s="85"/>
    </row>
    <row r="56">
      <c r="A56" s="18"/>
      <c r="AA56" s="85"/>
    </row>
    <row r="57">
      <c r="A57" s="18"/>
      <c r="AA57" s="85"/>
    </row>
    <row r="58">
      <c r="A58" s="18"/>
      <c r="AA58" s="85"/>
    </row>
    <row r="59">
      <c r="A59" s="18"/>
      <c r="AA59" s="85"/>
    </row>
    <row r="60">
      <c r="A60" s="18"/>
      <c r="AA60" s="85"/>
    </row>
    <row r="61">
      <c r="A61" s="18"/>
      <c r="AA61" s="85"/>
    </row>
    <row r="62">
      <c r="A62" s="18"/>
      <c r="AA62" s="85"/>
    </row>
    <row r="63">
      <c r="A63" s="18"/>
      <c r="AA63" s="85"/>
    </row>
    <row r="64">
      <c r="A64" s="18"/>
      <c r="AA64" s="85"/>
    </row>
    <row r="65">
      <c r="A65" s="18"/>
      <c r="AA65" s="85"/>
    </row>
    <row r="66">
      <c r="A66" s="18"/>
      <c r="AA66" s="85"/>
    </row>
    <row r="67">
      <c r="A67" s="18"/>
      <c r="AA67" s="85"/>
    </row>
    <row r="68">
      <c r="A68" s="18"/>
      <c r="AA68" s="85"/>
    </row>
    <row r="69">
      <c r="A69" s="18"/>
      <c r="AA69" s="85"/>
    </row>
    <row r="70">
      <c r="A70" s="18"/>
      <c r="AA70" s="85"/>
    </row>
    <row r="71">
      <c r="A71" s="18"/>
      <c r="AA71" s="85"/>
    </row>
    <row r="72">
      <c r="A72" s="18"/>
      <c r="AA72" s="85"/>
    </row>
    <row r="73">
      <c r="A73" s="18"/>
      <c r="AA73" s="85"/>
    </row>
    <row r="74">
      <c r="A74" s="18"/>
      <c r="AA74" s="85"/>
    </row>
    <row r="75">
      <c r="A75" s="18"/>
      <c r="AA75" s="85"/>
    </row>
    <row r="76">
      <c r="A76" s="18"/>
      <c r="AA76" s="85"/>
    </row>
    <row r="77">
      <c r="A77" s="18"/>
      <c r="AA77" s="85"/>
    </row>
    <row r="78">
      <c r="A78" s="18"/>
      <c r="AA78" s="85"/>
    </row>
    <row r="79">
      <c r="A79" s="18"/>
      <c r="AA79" s="85"/>
    </row>
    <row r="80">
      <c r="A80" s="18"/>
      <c r="AA80" s="85"/>
    </row>
    <row r="81">
      <c r="A81" s="18"/>
      <c r="AA81" s="85"/>
    </row>
    <row r="82">
      <c r="A82" s="18"/>
      <c r="AA82" s="85"/>
    </row>
    <row r="83">
      <c r="A83" s="18"/>
      <c r="AA83" s="85"/>
    </row>
    <row r="84">
      <c r="A84" s="18"/>
      <c r="AA84" s="85"/>
    </row>
    <row r="85">
      <c r="A85" s="18"/>
      <c r="AA85" s="85"/>
    </row>
    <row r="86">
      <c r="A86" s="18"/>
      <c r="AA86" s="85"/>
    </row>
    <row r="87">
      <c r="A87" s="18"/>
      <c r="AA87" s="85"/>
    </row>
    <row r="88">
      <c r="A88" s="18"/>
      <c r="AA88" s="85"/>
    </row>
    <row r="89">
      <c r="A89" s="18"/>
      <c r="AA89" s="85"/>
    </row>
    <row r="90">
      <c r="A90" s="18"/>
      <c r="AA90" s="85"/>
    </row>
    <row r="91">
      <c r="A91" s="18"/>
      <c r="AA91" s="85"/>
    </row>
    <row r="92">
      <c r="A92" s="18"/>
      <c r="AA92" s="85"/>
    </row>
    <row r="93">
      <c r="A93" s="18"/>
      <c r="AA93" s="85"/>
    </row>
    <row r="94">
      <c r="A94" s="18"/>
      <c r="AA94" s="85"/>
    </row>
    <row r="95">
      <c r="A95" s="18"/>
      <c r="AA95" s="85"/>
    </row>
    <row r="96">
      <c r="A96" s="18"/>
      <c r="AA96" s="85"/>
    </row>
    <row r="97">
      <c r="A97" s="18"/>
      <c r="AA97" s="85"/>
    </row>
    <row r="98">
      <c r="A98" s="18"/>
      <c r="AA98" s="85"/>
    </row>
    <row r="99">
      <c r="A99" s="18"/>
      <c r="AA99" s="85"/>
    </row>
    <row r="100">
      <c r="A100" s="18"/>
      <c r="AA100" s="85"/>
    </row>
    <row r="101">
      <c r="A101" s="18"/>
      <c r="AA101" s="85"/>
    </row>
    <row r="102">
      <c r="A102" s="18"/>
      <c r="AA102" s="85"/>
    </row>
    <row r="103">
      <c r="A103" s="18"/>
      <c r="AA103" s="85"/>
    </row>
    <row r="104">
      <c r="A104" s="18"/>
      <c r="AA104" s="85"/>
    </row>
    <row r="105">
      <c r="A105" s="18"/>
      <c r="AA105" s="85"/>
    </row>
    <row r="106">
      <c r="A106" s="18"/>
      <c r="AA106" s="85"/>
    </row>
    <row r="107">
      <c r="A107" s="18"/>
      <c r="AA107" s="85"/>
    </row>
    <row r="108">
      <c r="A108" s="18"/>
      <c r="AA108" s="85"/>
    </row>
    <row r="109">
      <c r="A109" s="18"/>
      <c r="AA109" s="85"/>
    </row>
    <row r="110">
      <c r="A110" s="18"/>
      <c r="AA110" s="85"/>
    </row>
    <row r="111">
      <c r="A111" s="18"/>
      <c r="AA111" s="85"/>
    </row>
    <row r="112">
      <c r="A112" s="18"/>
      <c r="AA112" s="85"/>
    </row>
    <row r="113">
      <c r="A113" s="18"/>
      <c r="AA113" s="85"/>
    </row>
    <row r="114">
      <c r="A114" s="18"/>
      <c r="AA114" s="85"/>
    </row>
    <row r="115">
      <c r="A115" s="18"/>
      <c r="AA115" s="85"/>
    </row>
    <row r="116">
      <c r="A116" s="18"/>
      <c r="AA116" s="85"/>
    </row>
    <row r="117">
      <c r="A117" s="18"/>
      <c r="AA117" s="85"/>
    </row>
    <row r="118">
      <c r="A118" s="18"/>
      <c r="AA118" s="85"/>
    </row>
    <row r="119">
      <c r="A119" s="18"/>
      <c r="AA119" s="85"/>
    </row>
    <row r="120">
      <c r="A120" s="18"/>
      <c r="AA120" s="85"/>
    </row>
    <row r="121">
      <c r="A121" s="18"/>
      <c r="AA121" s="85"/>
    </row>
    <row r="122">
      <c r="A122" s="18"/>
      <c r="AA122" s="85"/>
    </row>
    <row r="123">
      <c r="A123" s="18"/>
      <c r="AA123" s="85"/>
    </row>
    <row r="124">
      <c r="A124" s="18"/>
      <c r="AA124" s="85"/>
    </row>
    <row r="125">
      <c r="A125" s="18"/>
      <c r="AA125" s="85"/>
    </row>
    <row r="126">
      <c r="A126" s="18"/>
      <c r="AA126" s="85"/>
    </row>
    <row r="127">
      <c r="A127" s="18"/>
      <c r="AA127" s="85"/>
    </row>
    <row r="128">
      <c r="A128" s="18"/>
      <c r="AA128" s="85"/>
    </row>
    <row r="129">
      <c r="A129" s="18"/>
      <c r="AA129" s="85"/>
    </row>
    <row r="130">
      <c r="A130" s="18"/>
      <c r="AA130" s="85"/>
    </row>
    <row r="131">
      <c r="A131" s="18"/>
      <c r="AA131" s="85"/>
    </row>
    <row r="132">
      <c r="A132" s="18"/>
      <c r="AA132" s="85"/>
    </row>
    <row r="133">
      <c r="A133" s="18"/>
      <c r="AA133" s="85"/>
    </row>
    <row r="134">
      <c r="A134" s="18"/>
      <c r="AA134" s="85"/>
    </row>
    <row r="135">
      <c r="A135" s="18"/>
      <c r="AA135" s="85"/>
    </row>
    <row r="136">
      <c r="A136" s="18"/>
      <c r="AA136" s="85"/>
    </row>
    <row r="137">
      <c r="A137" s="18"/>
      <c r="AA137" s="85"/>
    </row>
    <row r="138">
      <c r="A138" s="18"/>
      <c r="AA138" s="85"/>
    </row>
    <row r="139">
      <c r="A139" s="18"/>
      <c r="AA139" s="85"/>
    </row>
    <row r="140">
      <c r="A140" s="18"/>
      <c r="AA140" s="85"/>
    </row>
    <row r="141">
      <c r="A141" s="18"/>
      <c r="AA141" s="85"/>
    </row>
    <row r="142">
      <c r="A142" s="18"/>
      <c r="AA142" s="85"/>
    </row>
    <row r="143">
      <c r="A143" s="18"/>
      <c r="AA143" s="85"/>
    </row>
    <row r="144">
      <c r="A144" s="18"/>
      <c r="AA144" s="85"/>
    </row>
    <row r="145">
      <c r="A145" s="18"/>
      <c r="AA145" s="85"/>
    </row>
    <row r="146">
      <c r="A146" s="18"/>
      <c r="AA146" s="85"/>
    </row>
    <row r="147">
      <c r="A147" s="18"/>
      <c r="AA147" s="85"/>
    </row>
    <row r="148">
      <c r="A148" s="18"/>
      <c r="AA148" s="85"/>
    </row>
    <row r="149">
      <c r="A149" s="18"/>
      <c r="AA149" s="85"/>
    </row>
    <row r="150">
      <c r="A150" s="18"/>
      <c r="AA150" s="85"/>
    </row>
    <row r="151">
      <c r="A151" s="18"/>
      <c r="AA151" s="85"/>
    </row>
    <row r="152">
      <c r="A152" s="18"/>
      <c r="AA152" s="85"/>
    </row>
    <row r="153">
      <c r="A153" s="18"/>
      <c r="AA153" s="85"/>
    </row>
    <row r="154">
      <c r="A154" s="18"/>
      <c r="AA154" s="85"/>
    </row>
    <row r="155">
      <c r="A155" s="18"/>
      <c r="AA155" s="85"/>
    </row>
    <row r="156">
      <c r="A156" s="18"/>
      <c r="AA156" s="85"/>
    </row>
    <row r="157">
      <c r="A157" s="18"/>
      <c r="AA157" s="85"/>
    </row>
    <row r="158">
      <c r="A158" s="18"/>
      <c r="AA158" s="85"/>
    </row>
    <row r="159">
      <c r="A159" s="18"/>
      <c r="AA159" s="85"/>
    </row>
    <row r="160">
      <c r="A160" s="18"/>
      <c r="AA160" s="85"/>
    </row>
    <row r="161">
      <c r="A161" s="18"/>
      <c r="AA161" s="85"/>
    </row>
    <row r="162">
      <c r="A162" s="18"/>
      <c r="AA162" s="85"/>
    </row>
    <row r="163">
      <c r="A163" s="18"/>
      <c r="AA163" s="85"/>
    </row>
    <row r="164">
      <c r="A164" s="18"/>
      <c r="AA164" s="85"/>
    </row>
    <row r="165">
      <c r="A165" s="18"/>
      <c r="AA165" s="85"/>
    </row>
    <row r="166">
      <c r="A166" s="18"/>
      <c r="AA166" s="85"/>
    </row>
    <row r="167">
      <c r="A167" s="18"/>
      <c r="AA167" s="85"/>
    </row>
    <row r="168">
      <c r="A168" s="18"/>
      <c r="AA168" s="85"/>
    </row>
    <row r="169">
      <c r="A169" s="18"/>
      <c r="AA169" s="85"/>
    </row>
    <row r="170">
      <c r="A170" s="18"/>
      <c r="AA170" s="85"/>
    </row>
    <row r="171">
      <c r="A171" s="18"/>
      <c r="AA171" s="85"/>
    </row>
    <row r="172">
      <c r="A172" s="18"/>
      <c r="AA172" s="85"/>
    </row>
    <row r="173">
      <c r="A173" s="18"/>
      <c r="AA173" s="85"/>
    </row>
    <row r="174">
      <c r="A174" s="18"/>
      <c r="AA174" s="85"/>
    </row>
    <row r="175">
      <c r="A175" s="18"/>
      <c r="AA175" s="85"/>
    </row>
    <row r="176">
      <c r="A176" s="18"/>
      <c r="AA176" s="85"/>
    </row>
    <row r="177">
      <c r="A177" s="18"/>
      <c r="AA177" s="85"/>
    </row>
    <row r="178">
      <c r="A178" s="18"/>
      <c r="AA178" s="85"/>
    </row>
    <row r="179">
      <c r="A179" s="18"/>
      <c r="AA179" s="85"/>
    </row>
    <row r="180">
      <c r="A180" s="18"/>
      <c r="AA180" s="85"/>
    </row>
    <row r="181">
      <c r="A181" s="18"/>
      <c r="AA181" s="85"/>
    </row>
    <row r="182">
      <c r="A182" s="18"/>
      <c r="AA182" s="85"/>
    </row>
    <row r="183">
      <c r="A183" s="18"/>
      <c r="AA183" s="85"/>
    </row>
    <row r="184">
      <c r="A184" s="18"/>
      <c r="AA184" s="85"/>
    </row>
    <row r="185">
      <c r="A185" s="18"/>
      <c r="AA185" s="85"/>
    </row>
    <row r="186">
      <c r="A186" s="18"/>
      <c r="AA186" s="85"/>
    </row>
    <row r="187">
      <c r="A187" s="18"/>
      <c r="AA187" s="85"/>
    </row>
    <row r="188">
      <c r="A188" s="18"/>
      <c r="AA188" s="85"/>
    </row>
    <row r="189">
      <c r="A189" s="18"/>
      <c r="AA189" s="85"/>
    </row>
    <row r="190">
      <c r="A190" s="18"/>
      <c r="AA190" s="85"/>
    </row>
    <row r="191">
      <c r="A191" s="18"/>
      <c r="AA191" s="85"/>
    </row>
    <row r="192">
      <c r="A192" s="18"/>
      <c r="AA192" s="85"/>
    </row>
    <row r="193">
      <c r="A193" s="18"/>
      <c r="AA193" s="85"/>
    </row>
    <row r="194">
      <c r="A194" s="18"/>
      <c r="AA194" s="85"/>
    </row>
    <row r="195">
      <c r="A195" s="18"/>
      <c r="AA195" s="85"/>
    </row>
    <row r="196">
      <c r="A196" s="18"/>
      <c r="AA196" s="85"/>
    </row>
    <row r="197">
      <c r="A197" s="18"/>
      <c r="AA197" s="85"/>
    </row>
    <row r="198">
      <c r="A198" s="18"/>
      <c r="AA198" s="85"/>
    </row>
    <row r="199">
      <c r="A199" s="18"/>
      <c r="AA199" s="85"/>
    </row>
    <row r="200">
      <c r="A200" s="18"/>
      <c r="AA200" s="85"/>
    </row>
    <row r="201">
      <c r="A201" s="18"/>
      <c r="AA201" s="85"/>
    </row>
    <row r="202">
      <c r="A202" s="18"/>
      <c r="AA202" s="85"/>
    </row>
    <row r="203">
      <c r="A203" s="18"/>
      <c r="AA203" s="85"/>
    </row>
    <row r="204">
      <c r="A204" s="18"/>
      <c r="AA204" s="85"/>
    </row>
    <row r="205">
      <c r="A205" s="18"/>
      <c r="AA205" s="85"/>
    </row>
    <row r="206">
      <c r="A206" s="18"/>
      <c r="AA206" s="85"/>
    </row>
    <row r="207">
      <c r="A207" s="18"/>
      <c r="AA207" s="85"/>
    </row>
    <row r="208">
      <c r="A208" s="18"/>
      <c r="AA208" s="85"/>
    </row>
    <row r="209">
      <c r="A209" s="18"/>
      <c r="AA209" s="85"/>
    </row>
    <row r="210">
      <c r="A210" s="18"/>
      <c r="AA210" s="85"/>
    </row>
    <row r="211">
      <c r="A211" s="18"/>
      <c r="AA211" s="85"/>
    </row>
    <row r="212">
      <c r="A212" s="18"/>
      <c r="AA212" s="85"/>
    </row>
    <row r="213">
      <c r="A213" s="18"/>
      <c r="AA213" s="85"/>
    </row>
    <row r="214">
      <c r="A214" s="18"/>
      <c r="AA214" s="85"/>
    </row>
    <row r="215">
      <c r="A215" s="18"/>
      <c r="AA215" s="85"/>
    </row>
    <row r="216">
      <c r="A216" s="18"/>
      <c r="AA216" s="85"/>
    </row>
    <row r="217">
      <c r="A217" s="18"/>
      <c r="AA217" s="85"/>
    </row>
    <row r="218">
      <c r="A218" s="18"/>
      <c r="AA218" s="85"/>
    </row>
    <row r="219">
      <c r="A219" s="18"/>
      <c r="AA219" s="85"/>
    </row>
    <row r="220">
      <c r="A220" s="18"/>
      <c r="AA220" s="85"/>
    </row>
    <row r="221">
      <c r="A221" s="18"/>
      <c r="AA221" s="85"/>
    </row>
    <row r="222">
      <c r="A222" s="18"/>
      <c r="AA222" s="85"/>
    </row>
    <row r="223">
      <c r="A223" s="18"/>
      <c r="AA223" s="85"/>
    </row>
    <row r="224">
      <c r="A224" s="18"/>
      <c r="AA224" s="85"/>
    </row>
    <row r="225">
      <c r="A225" s="18"/>
      <c r="AA225" s="85"/>
    </row>
    <row r="226">
      <c r="A226" s="18"/>
      <c r="AA226" s="85"/>
    </row>
    <row r="227">
      <c r="A227" s="18"/>
      <c r="AA227" s="85"/>
    </row>
    <row r="228">
      <c r="A228" s="18"/>
      <c r="AA228" s="85"/>
    </row>
    <row r="229">
      <c r="A229" s="18"/>
      <c r="AA229" s="85"/>
    </row>
    <row r="230">
      <c r="A230" s="18"/>
      <c r="AA230" s="85"/>
    </row>
    <row r="231">
      <c r="A231" s="18"/>
      <c r="AA231" s="85"/>
    </row>
    <row r="232">
      <c r="A232" s="18"/>
      <c r="AA232" s="85"/>
    </row>
    <row r="233">
      <c r="A233" s="18"/>
      <c r="AA233" s="85"/>
    </row>
    <row r="234">
      <c r="A234" s="18"/>
      <c r="AA234" s="85"/>
    </row>
    <row r="235">
      <c r="A235" s="18"/>
      <c r="AA235" s="85"/>
    </row>
    <row r="236">
      <c r="A236" s="18"/>
      <c r="AA236" s="85"/>
    </row>
    <row r="237">
      <c r="A237" s="18"/>
      <c r="AA237" s="85"/>
    </row>
    <row r="238">
      <c r="A238" s="18"/>
      <c r="AA238" s="85"/>
    </row>
    <row r="239">
      <c r="A239" s="18"/>
      <c r="AA239" s="85"/>
    </row>
    <row r="240">
      <c r="A240" s="18"/>
      <c r="AA240" s="85"/>
    </row>
    <row r="241">
      <c r="A241" s="18"/>
      <c r="AA241" s="85"/>
    </row>
    <row r="242">
      <c r="A242" s="18"/>
      <c r="AA242" s="85"/>
    </row>
    <row r="243">
      <c r="A243" s="18"/>
      <c r="AA243" s="85"/>
    </row>
    <row r="244">
      <c r="A244" s="18"/>
      <c r="AA244" s="85"/>
    </row>
    <row r="245">
      <c r="A245" s="18"/>
      <c r="AA245" s="85"/>
    </row>
    <row r="246">
      <c r="A246" s="18"/>
      <c r="AA246" s="85"/>
    </row>
    <row r="247">
      <c r="A247" s="18"/>
      <c r="AA247" s="85"/>
    </row>
    <row r="248">
      <c r="A248" s="18"/>
      <c r="AA248" s="85"/>
    </row>
    <row r="249">
      <c r="A249" s="18"/>
      <c r="AA249" s="85"/>
    </row>
    <row r="250">
      <c r="A250" s="18"/>
      <c r="AA250" s="85"/>
    </row>
    <row r="251">
      <c r="A251" s="18"/>
      <c r="AA251" s="85"/>
    </row>
    <row r="252">
      <c r="A252" s="18"/>
      <c r="AA252" s="85"/>
    </row>
    <row r="253">
      <c r="A253" s="18"/>
      <c r="AA253" s="85"/>
    </row>
    <row r="254">
      <c r="A254" s="18"/>
      <c r="AA254" s="85"/>
    </row>
    <row r="255">
      <c r="A255" s="18"/>
      <c r="AA255" s="85"/>
    </row>
    <row r="256">
      <c r="A256" s="18"/>
      <c r="AA256" s="85"/>
    </row>
    <row r="257">
      <c r="A257" s="18"/>
      <c r="AA257" s="85"/>
    </row>
    <row r="258">
      <c r="A258" s="18"/>
      <c r="AA258" s="85"/>
    </row>
    <row r="259">
      <c r="A259" s="18"/>
      <c r="AA259" s="85"/>
    </row>
    <row r="260">
      <c r="A260" s="18"/>
      <c r="AA260" s="85"/>
    </row>
    <row r="261">
      <c r="A261" s="18"/>
      <c r="AA261" s="85"/>
    </row>
    <row r="262">
      <c r="A262" s="18"/>
      <c r="AA262" s="85"/>
    </row>
    <row r="263">
      <c r="A263" s="18"/>
      <c r="AA263" s="85"/>
    </row>
    <row r="264">
      <c r="A264" s="18"/>
      <c r="AA264" s="85"/>
    </row>
    <row r="265">
      <c r="A265" s="18"/>
      <c r="AA265" s="85"/>
    </row>
    <row r="266">
      <c r="A266" s="18"/>
      <c r="AA266" s="85"/>
    </row>
    <row r="267">
      <c r="A267" s="18"/>
      <c r="AA267" s="85"/>
    </row>
    <row r="268">
      <c r="A268" s="18"/>
      <c r="AA268" s="85"/>
    </row>
    <row r="269">
      <c r="A269" s="18"/>
      <c r="AA269" s="85"/>
    </row>
    <row r="270">
      <c r="A270" s="18"/>
      <c r="AA270" s="85"/>
    </row>
    <row r="271">
      <c r="A271" s="18"/>
      <c r="AA271" s="85"/>
    </row>
    <row r="272">
      <c r="A272" s="18"/>
      <c r="AA272" s="85"/>
    </row>
    <row r="273">
      <c r="A273" s="18"/>
      <c r="AA273" s="85"/>
    </row>
    <row r="274">
      <c r="A274" s="18"/>
      <c r="AA274" s="85"/>
    </row>
    <row r="275">
      <c r="A275" s="18"/>
      <c r="AA275" s="85"/>
    </row>
    <row r="276">
      <c r="A276" s="18"/>
      <c r="AA276" s="85"/>
    </row>
    <row r="277">
      <c r="A277" s="18"/>
      <c r="AA277" s="85"/>
    </row>
    <row r="278">
      <c r="A278" s="18"/>
      <c r="AA278" s="85"/>
    </row>
    <row r="279">
      <c r="A279" s="18"/>
      <c r="AA279" s="85"/>
    </row>
    <row r="280">
      <c r="A280" s="18"/>
      <c r="AA280" s="85"/>
    </row>
    <row r="281">
      <c r="A281" s="18"/>
      <c r="AA281" s="85"/>
    </row>
    <row r="282">
      <c r="A282" s="18"/>
      <c r="AA282" s="85"/>
    </row>
    <row r="283">
      <c r="A283" s="18"/>
      <c r="AA283" s="85"/>
    </row>
    <row r="284">
      <c r="A284" s="18"/>
      <c r="AA284" s="85"/>
    </row>
    <row r="285">
      <c r="A285" s="18"/>
      <c r="AA285" s="85"/>
    </row>
    <row r="286">
      <c r="A286" s="18"/>
      <c r="AA286" s="85"/>
    </row>
    <row r="287">
      <c r="A287" s="18"/>
      <c r="AA287" s="85"/>
    </row>
    <row r="288">
      <c r="A288" s="18"/>
      <c r="AA288" s="85"/>
    </row>
    <row r="289">
      <c r="A289" s="18"/>
      <c r="AA289" s="85"/>
    </row>
    <row r="290">
      <c r="A290" s="18"/>
      <c r="AA290" s="85"/>
    </row>
    <row r="291">
      <c r="A291" s="18"/>
      <c r="AA291" s="85"/>
    </row>
    <row r="292">
      <c r="A292" s="18"/>
      <c r="AA292" s="85"/>
    </row>
    <row r="293">
      <c r="A293" s="18"/>
      <c r="AA293" s="85"/>
    </row>
    <row r="294">
      <c r="A294" s="18"/>
      <c r="AA294" s="85"/>
    </row>
    <row r="295">
      <c r="A295" s="18"/>
      <c r="AA295" s="85"/>
    </row>
    <row r="296">
      <c r="A296" s="18"/>
      <c r="AA296" s="85"/>
    </row>
    <row r="297">
      <c r="A297" s="18"/>
      <c r="AA297" s="85"/>
    </row>
    <row r="298">
      <c r="A298" s="18"/>
      <c r="AA298" s="85"/>
    </row>
    <row r="299">
      <c r="A299" s="18"/>
      <c r="AA299" s="85"/>
    </row>
    <row r="300">
      <c r="A300" s="18"/>
      <c r="AA300" s="85"/>
    </row>
    <row r="301">
      <c r="A301" s="18"/>
      <c r="AA301" s="85"/>
    </row>
    <row r="302">
      <c r="A302" s="18"/>
      <c r="AA302" s="85"/>
    </row>
    <row r="303">
      <c r="A303" s="18"/>
      <c r="AA303" s="85"/>
    </row>
    <row r="304">
      <c r="A304" s="18"/>
      <c r="AA304" s="85"/>
    </row>
    <row r="305">
      <c r="A305" s="18"/>
      <c r="AA305" s="85"/>
    </row>
    <row r="306">
      <c r="A306" s="18"/>
      <c r="AA306" s="85"/>
    </row>
    <row r="307">
      <c r="A307" s="18"/>
      <c r="AA307" s="85"/>
    </row>
    <row r="308">
      <c r="A308" s="18"/>
      <c r="AA308" s="85"/>
    </row>
    <row r="309">
      <c r="A309" s="18"/>
      <c r="AA309" s="85"/>
    </row>
    <row r="310">
      <c r="A310" s="18"/>
      <c r="AA310" s="85"/>
    </row>
    <row r="311">
      <c r="A311" s="18"/>
      <c r="AA311" s="85"/>
    </row>
    <row r="312">
      <c r="A312" s="18"/>
      <c r="AA312" s="85"/>
    </row>
    <row r="313">
      <c r="A313" s="18"/>
      <c r="AA313" s="85"/>
    </row>
    <row r="314">
      <c r="A314" s="18"/>
      <c r="AA314" s="85"/>
    </row>
    <row r="315">
      <c r="A315" s="18"/>
      <c r="AA315" s="85"/>
    </row>
    <row r="316">
      <c r="A316" s="18"/>
      <c r="AA316" s="85"/>
    </row>
    <row r="317">
      <c r="A317" s="18"/>
      <c r="AA317" s="85"/>
    </row>
    <row r="318">
      <c r="A318" s="18"/>
      <c r="AA318" s="85"/>
    </row>
    <row r="319">
      <c r="A319" s="18"/>
      <c r="AA319" s="85"/>
    </row>
    <row r="320">
      <c r="A320" s="18"/>
      <c r="AA320" s="85"/>
    </row>
    <row r="321">
      <c r="A321" s="18"/>
      <c r="AA321" s="85"/>
    </row>
    <row r="322">
      <c r="A322" s="18"/>
      <c r="AA322" s="85"/>
    </row>
    <row r="323">
      <c r="A323" s="18"/>
      <c r="AA323" s="85"/>
    </row>
    <row r="324">
      <c r="A324" s="18"/>
      <c r="AA324" s="85"/>
    </row>
    <row r="325">
      <c r="A325" s="18"/>
      <c r="AA325" s="85"/>
    </row>
    <row r="326">
      <c r="A326" s="18"/>
      <c r="AA326" s="85"/>
    </row>
    <row r="327">
      <c r="A327" s="18"/>
      <c r="AA327" s="85"/>
    </row>
    <row r="328">
      <c r="A328" s="18"/>
      <c r="AA328" s="85"/>
    </row>
    <row r="329">
      <c r="A329" s="18"/>
      <c r="AA329" s="85"/>
    </row>
    <row r="330">
      <c r="A330" s="18"/>
      <c r="AA330" s="85"/>
    </row>
    <row r="331">
      <c r="A331" s="18"/>
      <c r="AA331" s="85"/>
    </row>
    <row r="332">
      <c r="A332" s="18"/>
      <c r="AA332" s="85"/>
    </row>
    <row r="333">
      <c r="A333" s="18"/>
      <c r="AA333" s="85"/>
    </row>
    <row r="334">
      <c r="A334" s="18"/>
      <c r="AA334" s="85"/>
    </row>
    <row r="335">
      <c r="A335" s="18"/>
      <c r="AA335" s="85"/>
    </row>
    <row r="336">
      <c r="A336" s="18"/>
      <c r="AA336" s="85"/>
    </row>
    <row r="337">
      <c r="A337" s="18"/>
      <c r="AA337" s="85"/>
    </row>
    <row r="338">
      <c r="A338" s="18"/>
      <c r="AA338" s="85"/>
    </row>
    <row r="339">
      <c r="A339" s="18"/>
      <c r="AA339" s="85"/>
    </row>
    <row r="340">
      <c r="A340" s="18"/>
      <c r="AA340" s="85"/>
    </row>
    <row r="341">
      <c r="A341" s="18"/>
      <c r="AA341" s="85"/>
    </row>
    <row r="342">
      <c r="A342" s="18"/>
      <c r="AA342" s="85"/>
    </row>
    <row r="343">
      <c r="A343" s="18"/>
      <c r="AA343" s="85"/>
    </row>
    <row r="344">
      <c r="A344" s="18"/>
      <c r="AA344" s="85"/>
    </row>
    <row r="345">
      <c r="A345" s="18"/>
      <c r="AA345" s="85"/>
    </row>
    <row r="346">
      <c r="A346" s="18"/>
      <c r="AA346" s="85"/>
    </row>
    <row r="347">
      <c r="A347" s="18"/>
      <c r="AA347" s="85"/>
    </row>
    <row r="348">
      <c r="A348" s="18"/>
      <c r="AA348" s="85"/>
    </row>
    <row r="349">
      <c r="A349" s="18"/>
      <c r="AA349" s="85"/>
    </row>
    <row r="350">
      <c r="A350" s="18"/>
      <c r="AA350" s="85"/>
    </row>
    <row r="351">
      <c r="A351" s="18"/>
      <c r="AA351" s="85"/>
    </row>
    <row r="352">
      <c r="A352" s="18"/>
      <c r="AA352" s="85"/>
    </row>
    <row r="353">
      <c r="A353" s="18"/>
      <c r="AA353" s="85"/>
    </row>
    <row r="354">
      <c r="A354" s="18"/>
      <c r="AA354" s="85"/>
    </row>
    <row r="355">
      <c r="A355" s="18"/>
      <c r="AA355" s="85"/>
    </row>
    <row r="356">
      <c r="A356" s="18"/>
      <c r="AA356" s="85"/>
    </row>
    <row r="357">
      <c r="A357" s="18"/>
      <c r="AA357" s="85"/>
    </row>
    <row r="358">
      <c r="A358" s="18"/>
      <c r="AA358" s="85"/>
    </row>
    <row r="359">
      <c r="A359" s="18"/>
      <c r="AA359" s="85"/>
    </row>
    <row r="360">
      <c r="A360" s="18"/>
      <c r="AA360" s="85"/>
    </row>
    <row r="361">
      <c r="A361" s="18"/>
      <c r="AA361" s="85"/>
    </row>
    <row r="362">
      <c r="A362" s="18"/>
      <c r="AA362" s="85"/>
    </row>
    <row r="363">
      <c r="A363" s="18"/>
      <c r="AA363" s="85"/>
    </row>
    <row r="364">
      <c r="A364" s="18"/>
      <c r="AA364" s="85"/>
    </row>
    <row r="365">
      <c r="A365" s="18"/>
      <c r="AA365" s="85"/>
    </row>
    <row r="366">
      <c r="A366" s="18"/>
      <c r="AA366" s="85"/>
    </row>
    <row r="367">
      <c r="A367" s="18"/>
      <c r="AA367" s="85"/>
    </row>
    <row r="368">
      <c r="A368" s="18"/>
      <c r="AA368" s="85"/>
    </row>
    <row r="369">
      <c r="A369" s="18"/>
      <c r="AA369" s="85"/>
    </row>
    <row r="370">
      <c r="A370" s="18"/>
      <c r="AA370" s="85"/>
    </row>
    <row r="371">
      <c r="A371" s="18"/>
      <c r="AA371" s="85"/>
    </row>
    <row r="372">
      <c r="A372" s="18"/>
      <c r="AA372" s="85"/>
    </row>
    <row r="373">
      <c r="A373" s="18"/>
      <c r="AA373" s="85"/>
    </row>
    <row r="374">
      <c r="A374" s="18"/>
      <c r="AA374" s="85"/>
    </row>
    <row r="375">
      <c r="A375" s="18"/>
      <c r="AA375" s="85"/>
    </row>
    <row r="376">
      <c r="A376" s="18"/>
      <c r="AA376" s="85"/>
    </row>
    <row r="377">
      <c r="A377" s="18"/>
      <c r="AA377" s="85"/>
    </row>
    <row r="378">
      <c r="A378" s="18"/>
      <c r="AA378" s="85"/>
    </row>
    <row r="379">
      <c r="A379" s="18"/>
      <c r="AA379" s="85"/>
    </row>
    <row r="380">
      <c r="A380" s="18"/>
      <c r="AA380" s="85"/>
    </row>
    <row r="381">
      <c r="A381" s="18"/>
      <c r="AA381" s="85"/>
    </row>
    <row r="382">
      <c r="A382" s="18"/>
      <c r="AA382" s="85"/>
    </row>
    <row r="383">
      <c r="A383" s="18"/>
      <c r="AA383" s="85"/>
    </row>
    <row r="384">
      <c r="A384" s="18"/>
      <c r="AA384" s="85"/>
    </row>
    <row r="385">
      <c r="A385" s="18"/>
      <c r="AA385" s="85"/>
    </row>
    <row r="386">
      <c r="A386" s="18"/>
      <c r="AA386" s="85"/>
    </row>
    <row r="387">
      <c r="A387" s="18"/>
      <c r="AA387" s="85"/>
    </row>
    <row r="388">
      <c r="A388" s="18"/>
      <c r="AA388" s="85"/>
    </row>
    <row r="389">
      <c r="A389" s="18"/>
      <c r="AA389" s="85"/>
    </row>
    <row r="390">
      <c r="A390" s="18"/>
      <c r="AA390" s="85"/>
    </row>
    <row r="391">
      <c r="A391" s="18"/>
      <c r="AA391" s="85"/>
    </row>
    <row r="392">
      <c r="A392" s="18"/>
      <c r="AA392" s="85"/>
    </row>
    <row r="393">
      <c r="A393" s="18"/>
      <c r="AA393" s="85"/>
    </row>
    <row r="394">
      <c r="A394" s="18"/>
      <c r="AA394" s="85"/>
    </row>
    <row r="395">
      <c r="A395" s="18"/>
      <c r="AA395" s="85"/>
    </row>
    <row r="396">
      <c r="A396" s="18"/>
      <c r="AA396" s="85"/>
    </row>
    <row r="397">
      <c r="A397" s="18"/>
      <c r="AA397" s="85"/>
    </row>
    <row r="398">
      <c r="A398" s="18"/>
      <c r="AA398" s="85"/>
    </row>
    <row r="399">
      <c r="A399" s="18"/>
      <c r="AA399" s="85"/>
    </row>
    <row r="400">
      <c r="A400" s="18"/>
      <c r="AA400" s="85"/>
    </row>
    <row r="401">
      <c r="A401" s="18"/>
      <c r="AA401" s="85"/>
    </row>
    <row r="402">
      <c r="A402" s="18"/>
      <c r="AA402" s="85"/>
    </row>
    <row r="403">
      <c r="A403" s="18"/>
      <c r="AA403" s="85"/>
    </row>
    <row r="404">
      <c r="A404" s="18"/>
      <c r="AA404" s="85"/>
    </row>
    <row r="405">
      <c r="A405" s="18"/>
      <c r="AA405" s="85"/>
    </row>
    <row r="406">
      <c r="A406" s="18"/>
      <c r="AA406" s="85"/>
    </row>
    <row r="407">
      <c r="A407" s="18"/>
      <c r="AA407" s="85"/>
    </row>
    <row r="408">
      <c r="A408" s="18"/>
      <c r="AA408" s="85"/>
    </row>
    <row r="409">
      <c r="A409" s="18"/>
      <c r="AA409" s="85"/>
    </row>
    <row r="410">
      <c r="A410" s="18"/>
      <c r="AA410" s="85"/>
    </row>
    <row r="411">
      <c r="A411" s="18"/>
      <c r="AA411" s="85"/>
    </row>
    <row r="412">
      <c r="A412" s="18"/>
      <c r="AA412" s="85"/>
    </row>
    <row r="413">
      <c r="A413" s="18"/>
      <c r="AA413" s="85"/>
    </row>
    <row r="414">
      <c r="A414" s="18"/>
      <c r="AA414" s="85"/>
    </row>
    <row r="415">
      <c r="A415" s="18"/>
      <c r="AA415" s="85"/>
    </row>
    <row r="416">
      <c r="A416" s="18"/>
      <c r="AA416" s="85"/>
    </row>
    <row r="417">
      <c r="A417" s="18"/>
      <c r="AA417" s="85"/>
    </row>
    <row r="418">
      <c r="A418" s="18"/>
      <c r="AA418" s="85"/>
    </row>
    <row r="419">
      <c r="A419" s="18"/>
      <c r="AA419" s="85"/>
    </row>
    <row r="420">
      <c r="A420" s="18"/>
      <c r="AA420" s="85"/>
    </row>
    <row r="421">
      <c r="A421" s="18"/>
      <c r="AA421" s="85"/>
    </row>
    <row r="422">
      <c r="A422" s="18"/>
      <c r="AA422" s="85"/>
    </row>
    <row r="423">
      <c r="A423" s="18"/>
      <c r="AA423" s="85"/>
    </row>
    <row r="424">
      <c r="A424" s="18"/>
      <c r="AA424" s="85"/>
    </row>
    <row r="425">
      <c r="A425" s="18"/>
      <c r="AA425" s="85"/>
    </row>
    <row r="426">
      <c r="A426" s="18"/>
      <c r="AA426" s="85"/>
    </row>
    <row r="427">
      <c r="A427" s="18"/>
      <c r="AA427" s="85"/>
    </row>
    <row r="428">
      <c r="A428" s="18"/>
      <c r="AA428" s="85"/>
    </row>
    <row r="429">
      <c r="A429" s="18"/>
      <c r="AA429" s="85"/>
    </row>
    <row r="430">
      <c r="A430" s="18"/>
      <c r="AA430" s="85"/>
    </row>
    <row r="431">
      <c r="A431" s="18"/>
      <c r="AA431" s="85"/>
    </row>
    <row r="432">
      <c r="A432" s="18"/>
      <c r="AA432" s="85"/>
    </row>
    <row r="433">
      <c r="A433" s="18"/>
      <c r="AA433" s="85"/>
    </row>
    <row r="434">
      <c r="A434" s="18"/>
      <c r="AA434" s="85"/>
    </row>
    <row r="435">
      <c r="A435" s="18"/>
      <c r="AA435" s="85"/>
    </row>
    <row r="436">
      <c r="A436" s="18"/>
      <c r="AA436" s="85"/>
    </row>
    <row r="437">
      <c r="A437" s="18"/>
      <c r="AA437" s="85"/>
    </row>
    <row r="438">
      <c r="A438" s="18"/>
      <c r="AA438" s="85"/>
    </row>
    <row r="439">
      <c r="A439" s="18"/>
      <c r="AA439" s="85"/>
    </row>
    <row r="440">
      <c r="A440" s="18"/>
      <c r="AA440" s="85"/>
    </row>
    <row r="441">
      <c r="A441" s="18"/>
      <c r="AA441" s="85"/>
    </row>
    <row r="442">
      <c r="A442" s="18"/>
      <c r="AA442" s="85"/>
    </row>
    <row r="443">
      <c r="A443" s="18"/>
      <c r="AA443" s="85"/>
    </row>
    <row r="444">
      <c r="A444" s="18"/>
      <c r="AA444" s="85"/>
    </row>
    <row r="445">
      <c r="A445" s="18"/>
      <c r="AA445" s="85"/>
    </row>
    <row r="446">
      <c r="A446" s="18"/>
      <c r="AA446" s="85"/>
    </row>
    <row r="447">
      <c r="A447" s="18"/>
      <c r="AA447" s="85"/>
    </row>
    <row r="448">
      <c r="A448" s="18"/>
      <c r="AA448" s="85"/>
    </row>
    <row r="449">
      <c r="A449" s="18"/>
      <c r="AA449" s="85"/>
    </row>
    <row r="450">
      <c r="A450" s="18"/>
      <c r="AA450" s="85"/>
    </row>
    <row r="451">
      <c r="A451" s="18"/>
      <c r="AA451" s="85"/>
    </row>
    <row r="452">
      <c r="A452" s="18"/>
      <c r="AA452" s="85"/>
    </row>
    <row r="453">
      <c r="A453" s="18"/>
      <c r="AA453" s="85"/>
    </row>
    <row r="454">
      <c r="A454" s="18"/>
      <c r="AA454" s="85"/>
    </row>
    <row r="455">
      <c r="A455" s="18"/>
      <c r="AA455" s="85"/>
    </row>
    <row r="456">
      <c r="A456" s="18"/>
      <c r="AA456" s="85"/>
    </row>
    <row r="457">
      <c r="A457" s="18"/>
      <c r="AA457" s="85"/>
    </row>
    <row r="458">
      <c r="A458" s="18"/>
      <c r="AA458" s="85"/>
    </row>
    <row r="459">
      <c r="A459" s="18"/>
      <c r="AA459" s="85"/>
    </row>
    <row r="460">
      <c r="A460" s="18"/>
      <c r="AA460" s="85"/>
    </row>
    <row r="461">
      <c r="A461" s="18"/>
      <c r="AA461" s="85"/>
    </row>
    <row r="462">
      <c r="A462" s="18"/>
      <c r="AA462" s="85"/>
    </row>
    <row r="463">
      <c r="A463" s="18"/>
      <c r="AA463" s="85"/>
    </row>
    <row r="464">
      <c r="A464" s="18"/>
      <c r="AA464" s="85"/>
    </row>
    <row r="465">
      <c r="A465" s="18"/>
      <c r="AA465" s="85"/>
    </row>
    <row r="466">
      <c r="A466" s="18"/>
      <c r="AA466" s="85"/>
    </row>
    <row r="467">
      <c r="A467" s="18"/>
      <c r="AA467" s="85"/>
    </row>
    <row r="468">
      <c r="A468" s="18"/>
      <c r="AA468" s="85"/>
    </row>
    <row r="469">
      <c r="A469" s="18"/>
      <c r="AA469" s="85"/>
    </row>
    <row r="470">
      <c r="A470" s="18"/>
      <c r="AA470" s="85"/>
    </row>
    <row r="471">
      <c r="A471" s="18"/>
      <c r="AA471" s="85"/>
    </row>
    <row r="472">
      <c r="A472" s="18"/>
      <c r="AA472" s="85"/>
    </row>
    <row r="473">
      <c r="A473" s="18"/>
      <c r="AA473" s="85"/>
    </row>
    <row r="474">
      <c r="A474" s="18"/>
      <c r="AA474" s="85"/>
    </row>
    <row r="475">
      <c r="A475" s="18"/>
      <c r="AA475" s="85"/>
    </row>
    <row r="476">
      <c r="A476" s="18"/>
      <c r="AA476" s="85"/>
    </row>
    <row r="477">
      <c r="A477" s="18"/>
      <c r="AA477" s="85"/>
    </row>
    <row r="478">
      <c r="A478" s="18"/>
      <c r="AA478" s="85"/>
    </row>
    <row r="479">
      <c r="A479" s="18"/>
      <c r="AA479" s="85"/>
    </row>
    <row r="480">
      <c r="A480" s="18"/>
      <c r="AA480" s="85"/>
    </row>
    <row r="481">
      <c r="A481" s="18"/>
      <c r="AA481" s="85"/>
    </row>
    <row r="482">
      <c r="A482" s="18"/>
      <c r="AA482" s="85"/>
    </row>
    <row r="483">
      <c r="A483" s="18"/>
      <c r="AA483" s="85"/>
    </row>
    <row r="484">
      <c r="A484" s="18"/>
      <c r="AA484" s="85"/>
    </row>
    <row r="485">
      <c r="A485" s="18"/>
      <c r="AA485" s="85"/>
    </row>
    <row r="486">
      <c r="A486" s="18"/>
      <c r="AA486" s="85"/>
    </row>
    <row r="487">
      <c r="A487" s="18"/>
      <c r="AA487" s="85"/>
    </row>
    <row r="488">
      <c r="A488" s="18"/>
      <c r="AA488" s="85"/>
    </row>
    <row r="489">
      <c r="A489" s="18"/>
      <c r="AA489" s="85"/>
    </row>
    <row r="490">
      <c r="A490" s="18"/>
      <c r="AA490" s="85"/>
    </row>
    <row r="491">
      <c r="A491" s="18"/>
      <c r="AA491" s="85"/>
    </row>
    <row r="492">
      <c r="A492" s="18"/>
      <c r="AA492" s="85"/>
    </row>
    <row r="493">
      <c r="A493" s="18"/>
      <c r="AA493" s="85"/>
    </row>
    <row r="494">
      <c r="A494" s="18"/>
      <c r="AA494" s="85"/>
    </row>
    <row r="495">
      <c r="A495" s="18"/>
      <c r="AA495" s="85"/>
    </row>
    <row r="496">
      <c r="A496" s="18"/>
      <c r="AA496" s="85"/>
    </row>
    <row r="497">
      <c r="A497" s="18"/>
      <c r="AA497" s="85"/>
    </row>
    <row r="498">
      <c r="A498" s="18"/>
      <c r="AA498" s="85"/>
    </row>
    <row r="499">
      <c r="A499" s="18"/>
      <c r="AA499" s="85"/>
    </row>
    <row r="500">
      <c r="A500" s="18"/>
      <c r="AA500" s="85"/>
    </row>
    <row r="501">
      <c r="A501" s="18"/>
      <c r="AA501" s="85"/>
    </row>
    <row r="502">
      <c r="A502" s="18"/>
      <c r="AA502" s="85"/>
    </row>
    <row r="503">
      <c r="A503" s="18"/>
      <c r="AA503" s="85"/>
    </row>
    <row r="504">
      <c r="A504" s="18"/>
      <c r="AA504" s="85"/>
    </row>
    <row r="505">
      <c r="A505" s="18"/>
      <c r="AA505" s="85"/>
    </row>
    <row r="506">
      <c r="A506" s="18"/>
      <c r="AA506" s="85"/>
    </row>
    <row r="507">
      <c r="A507" s="18"/>
      <c r="AA507" s="85"/>
    </row>
    <row r="508">
      <c r="A508" s="18"/>
      <c r="AA508" s="85"/>
    </row>
    <row r="509">
      <c r="A509" s="18"/>
      <c r="AA509" s="85"/>
    </row>
    <row r="510">
      <c r="A510" s="18"/>
      <c r="AA510" s="85"/>
    </row>
    <row r="511">
      <c r="A511" s="18"/>
      <c r="AA511" s="85"/>
    </row>
    <row r="512">
      <c r="A512" s="18"/>
      <c r="AA512" s="85"/>
    </row>
    <row r="513">
      <c r="A513" s="18"/>
      <c r="AA513" s="85"/>
    </row>
    <row r="514">
      <c r="A514" s="18"/>
      <c r="AA514" s="85"/>
    </row>
    <row r="515">
      <c r="A515" s="18"/>
      <c r="AA515" s="85"/>
    </row>
    <row r="516">
      <c r="A516" s="18"/>
      <c r="AA516" s="85"/>
    </row>
    <row r="517">
      <c r="A517" s="18"/>
      <c r="AA517" s="85"/>
    </row>
    <row r="518">
      <c r="A518" s="18"/>
      <c r="AA518" s="85"/>
    </row>
    <row r="519">
      <c r="A519" s="18"/>
      <c r="AA519" s="85"/>
    </row>
    <row r="520">
      <c r="A520" s="18"/>
      <c r="AA520" s="85"/>
    </row>
    <row r="521">
      <c r="A521" s="18"/>
      <c r="AA521" s="85"/>
    </row>
    <row r="522">
      <c r="A522" s="18"/>
      <c r="AA522" s="85"/>
    </row>
    <row r="523">
      <c r="A523" s="18"/>
      <c r="AA523" s="85"/>
    </row>
    <row r="524">
      <c r="A524" s="18"/>
      <c r="AA524" s="85"/>
    </row>
    <row r="525">
      <c r="A525" s="18"/>
      <c r="AA525" s="85"/>
    </row>
    <row r="526">
      <c r="A526" s="18"/>
      <c r="AA526" s="85"/>
    </row>
    <row r="527">
      <c r="A527" s="18"/>
      <c r="AA527" s="85"/>
    </row>
    <row r="528">
      <c r="A528" s="18"/>
      <c r="AA528" s="85"/>
    </row>
    <row r="529">
      <c r="A529" s="18"/>
      <c r="AA529" s="85"/>
    </row>
    <row r="530">
      <c r="A530" s="18"/>
      <c r="AA530" s="85"/>
    </row>
    <row r="531">
      <c r="A531" s="18"/>
      <c r="AA531" s="85"/>
    </row>
    <row r="532">
      <c r="A532" s="18"/>
      <c r="AA532" s="85"/>
    </row>
    <row r="533">
      <c r="A533" s="18"/>
      <c r="AA533" s="85"/>
    </row>
    <row r="534">
      <c r="A534" s="18"/>
      <c r="AA534" s="85"/>
    </row>
    <row r="535">
      <c r="A535" s="18"/>
      <c r="AA535" s="85"/>
    </row>
    <row r="536">
      <c r="A536" s="18"/>
      <c r="AA536" s="85"/>
    </row>
    <row r="537">
      <c r="A537" s="18"/>
      <c r="AA537" s="85"/>
    </row>
    <row r="538">
      <c r="A538" s="18"/>
      <c r="AA538" s="85"/>
    </row>
    <row r="539">
      <c r="A539" s="18"/>
      <c r="AA539" s="85"/>
    </row>
    <row r="540">
      <c r="A540" s="18"/>
      <c r="AA540" s="85"/>
    </row>
    <row r="541">
      <c r="A541" s="18"/>
      <c r="AA541" s="85"/>
    </row>
    <row r="542">
      <c r="A542" s="18"/>
      <c r="AA542" s="85"/>
    </row>
    <row r="543">
      <c r="A543" s="18"/>
      <c r="AA543" s="85"/>
    </row>
    <row r="544">
      <c r="A544" s="18"/>
      <c r="AA544" s="85"/>
    </row>
    <row r="545">
      <c r="A545" s="18"/>
      <c r="AA545" s="85"/>
    </row>
    <row r="546">
      <c r="A546" s="18"/>
      <c r="AA546" s="85"/>
    </row>
    <row r="547">
      <c r="A547" s="18"/>
      <c r="AA547" s="85"/>
    </row>
    <row r="548">
      <c r="A548" s="18"/>
      <c r="AA548" s="85"/>
    </row>
    <row r="549">
      <c r="A549" s="18"/>
      <c r="AA549" s="85"/>
    </row>
    <row r="550">
      <c r="A550" s="18"/>
      <c r="AA550" s="85"/>
    </row>
    <row r="551">
      <c r="A551" s="18"/>
      <c r="AA551" s="85"/>
    </row>
    <row r="552">
      <c r="A552" s="18"/>
      <c r="AA552" s="85"/>
    </row>
    <row r="553">
      <c r="A553" s="18"/>
      <c r="AA553" s="85"/>
    </row>
    <row r="554">
      <c r="A554" s="18"/>
      <c r="AA554" s="85"/>
    </row>
    <row r="555">
      <c r="A555" s="18"/>
      <c r="AA555" s="85"/>
    </row>
    <row r="556">
      <c r="A556" s="18"/>
      <c r="AA556" s="85"/>
    </row>
    <row r="557">
      <c r="A557" s="18"/>
      <c r="AA557" s="85"/>
    </row>
    <row r="558">
      <c r="A558" s="18"/>
      <c r="AA558" s="85"/>
    </row>
    <row r="559">
      <c r="A559" s="18"/>
      <c r="AA559" s="85"/>
    </row>
    <row r="560">
      <c r="A560" s="18"/>
      <c r="AA560" s="85"/>
    </row>
    <row r="561">
      <c r="A561" s="18"/>
      <c r="AA561" s="85"/>
    </row>
    <row r="562">
      <c r="A562" s="18"/>
      <c r="AA562" s="85"/>
    </row>
    <row r="563">
      <c r="A563" s="18"/>
      <c r="AA563" s="85"/>
    </row>
    <row r="564">
      <c r="A564" s="18"/>
      <c r="AA564" s="85"/>
    </row>
    <row r="565">
      <c r="A565" s="18"/>
      <c r="AA565" s="85"/>
    </row>
    <row r="566">
      <c r="A566" s="18"/>
      <c r="AA566" s="85"/>
    </row>
    <row r="567">
      <c r="A567" s="18"/>
      <c r="AA567" s="85"/>
    </row>
    <row r="568">
      <c r="A568" s="18"/>
      <c r="AA568" s="85"/>
    </row>
    <row r="569">
      <c r="A569" s="18"/>
      <c r="AA569" s="85"/>
    </row>
    <row r="570">
      <c r="A570" s="18"/>
      <c r="AA570" s="85"/>
    </row>
    <row r="571">
      <c r="A571" s="18"/>
      <c r="AA571" s="85"/>
    </row>
    <row r="572">
      <c r="A572" s="18"/>
      <c r="AA572" s="85"/>
    </row>
    <row r="573">
      <c r="A573" s="18"/>
      <c r="AA573" s="85"/>
    </row>
    <row r="574">
      <c r="A574" s="18"/>
      <c r="AA574" s="85"/>
    </row>
    <row r="575">
      <c r="A575" s="18"/>
      <c r="AA575" s="85"/>
    </row>
    <row r="576">
      <c r="A576" s="18"/>
      <c r="AA576" s="85"/>
    </row>
    <row r="577">
      <c r="A577" s="18"/>
      <c r="AA577" s="85"/>
    </row>
    <row r="578">
      <c r="A578" s="18"/>
      <c r="AA578" s="85"/>
    </row>
    <row r="579">
      <c r="A579" s="18"/>
      <c r="AA579" s="85"/>
    </row>
    <row r="580">
      <c r="A580" s="18"/>
      <c r="AA580" s="85"/>
    </row>
    <row r="581">
      <c r="A581" s="18"/>
      <c r="AA581" s="85"/>
    </row>
    <row r="582">
      <c r="A582" s="18"/>
      <c r="AA582" s="85"/>
    </row>
    <row r="583">
      <c r="A583" s="18"/>
      <c r="AA583" s="85"/>
    </row>
    <row r="584">
      <c r="A584" s="18"/>
      <c r="AA584" s="85"/>
    </row>
    <row r="585">
      <c r="A585" s="18"/>
      <c r="AA585" s="85"/>
    </row>
    <row r="586">
      <c r="A586" s="18"/>
      <c r="AA586" s="85"/>
    </row>
    <row r="587">
      <c r="A587" s="18"/>
      <c r="AA587" s="85"/>
    </row>
    <row r="588">
      <c r="A588" s="18"/>
      <c r="AA588" s="85"/>
    </row>
    <row r="589">
      <c r="A589" s="18"/>
      <c r="AA589" s="85"/>
    </row>
    <row r="590">
      <c r="A590" s="18"/>
      <c r="AA590" s="85"/>
    </row>
    <row r="591">
      <c r="A591" s="18"/>
      <c r="AA591" s="85"/>
    </row>
    <row r="592">
      <c r="A592" s="18"/>
      <c r="AA592" s="85"/>
    </row>
    <row r="593">
      <c r="A593" s="18"/>
      <c r="AA593" s="85"/>
    </row>
    <row r="594">
      <c r="A594" s="18"/>
      <c r="AA594" s="85"/>
    </row>
    <row r="595">
      <c r="A595" s="18"/>
      <c r="AA595" s="85"/>
    </row>
    <row r="596">
      <c r="A596" s="18"/>
      <c r="AA596" s="85"/>
    </row>
    <row r="597">
      <c r="A597" s="18"/>
      <c r="AA597" s="85"/>
    </row>
    <row r="598">
      <c r="A598" s="18"/>
      <c r="AA598" s="85"/>
    </row>
    <row r="599">
      <c r="A599" s="18"/>
      <c r="AA599" s="85"/>
    </row>
    <row r="600">
      <c r="A600" s="18"/>
      <c r="AA600" s="85"/>
    </row>
    <row r="601">
      <c r="A601" s="18"/>
      <c r="AA601" s="85"/>
    </row>
    <row r="602">
      <c r="A602" s="18"/>
      <c r="AA602" s="85"/>
    </row>
    <row r="603">
      <c r="A603" s="18"/>
      <c r="AA603" s="85"/>
    </row>
    <row r="604">
      <c r="A604" s="18"/>
      <c r="AA604" s="85"/>
    </row>
    <row r="605">
      <c r="A605" s="18"/>
      <c r="AA605" s="85"/>
    </row>
    <row r="606">
      <c r="A606" s="18"/>
      <c r="AA606" s="85"/>
    </row>
    <row r="607">
      <c r="A607" s="18"/>
      <c r="AA607" s="85"/>
    </row>
    <row r="608">
      <c r="A608" s="18"/>
      <c r="AA608" s="85"/>
    </row>
    <row r="609">
      <c r="A609" s="18"/>
      <c r="AA609" s="85"/>
    </row>
    <row r="610">
      <c r="A610" s="18"/>
      <c r="AA610" s="85"/>
    </row>
    <row r="611">
      <c r="A611" s="18"/>
      <c r="AA611" s="85"/>
    </row>
    <row r="612">
      <c r="A612" s="18"/>
      <c r="AA612" s="85"/>
    </row>
    <row r="613">
      <c r="A613" s="18"/>
      <c r="AA613" s="85"/>
    </row>
    <row r="614">
      <c r="A614" s="18"/>
      <c r="AA614" s="85"/>
    </row>
    <row r="615">
      <c r="A615" s="18"/>
      <c r="AA615" s="85"/>
    </row>
    <row r="616">
      <c r="A616" s="18"/>
      <c r="AA616" s="85"/>
    </row>
    <row r="617">
      <c r="A617" s="18"/>
      <c r="AA617" s="85"/>
    </row>
    <row r="618">
      <c r="A618" s="18"/>
      <c r="AA618" s="85"/>
    </row>
    <row r="619">
      <c r="A619" s="18"/>
      <c r="AA619" s="85"/>
    </row>
    <row r="620">
      <c r="A620" s="18"/>
      <c r="AA620" s="85"/>
    </row>
    <row r="621">
      <c r="A621" s="18"/>
      <c r="AA621" s="85"/>
    </row>
    <row r="622">
      <c r="A622" s="18"/>
      <c r="AA622" s="85"/>
    </row>
    <row r="623">
      <c r="A623" s="18"/>
      <c r="AA623" s="85"/>
    </row>
    <row r="624">
      <c r="A624" s="18"/>
      <c r="AA624" s="85"/>
    </row>
    <row r="625">
      <c r="A625" s="18"/>
      <c r="AA625" s="85"/>
    </row>
    <row r="626">
      <c r="A626" s="18"/>
      <c r="AA626" s="85"/>
    </row>
    <row r="627">
      <c r="A627" s="18"/>
      <c r="AA627" s="85"/>
    </row>
    <row r="628">
      <c r="A628" s="18"/>
      <c r="AA628" s="85"/>
    </row>
    <row r="629">
      <c r="A629" s="18"/>
      <c r="AA629" s="85"/>
    </row>
    <row r="630">
      <c r="A630" s="18"/>
      <c r="AA630" s="85"/>
    </row>
    <row r="631">
      <c r="A631" s="18"/>
      <c r="AA631" s="85"/>
    </row>
    <row r="632">
      <c r="A632" s="18"/>
      <c r="AA632" s="85"/>
    </row>
    <row r="633">
      <c r="A633" s="18"/>
      <c r="AA633" s="85"/>
    </row>
    <row r="634">
      <c r="A634" s="18"/>
      <c r="AA634" s="85"/>
    </row>
    <row r="635">
      <c r="A635" s="18"/>
      <c r="AA635" s="85"/>
    </row>
    <row r="636">
      <c r="A636" s="18"/>
      <c r="AA636" s="85"/>
    </row>
    <row r="637">
      <c r="A637" s="18"/>
      <c r="AA637" s="85"/>
    </row>
    <row r="638">
      <c r="A638" s="18"/>
      <c r="AA638" s="85"/>
    </row>
    <row r="639">
      <c r="A639" s="18"/>
      <c r="AA639" s="85"/>
    </row>
    <row r="640">
      <c r="A640" s="18"/>
      <c r="AA640" s="85"/>
    </row>
    <row r="641">
      <c r="A641" s="18"/>
      <c r="AA641" s="85"/>
    </row>
    <row r="642">
      <c r="A642" s="18"/>
      <c r="AA642" s="85"/>
    </row>
    <row r="643">
      <c r="A643" s="18"/>
      <c r="AA643" s="85"/>
    </row>
    <row r="644">
      <c r="A644" s="18"/>
      <c r="AA644" s="85"/>
    </row>
    <row r="645">
      <c r="A645" s="18"/>
      <c r="AA645" s="85"/>
    </row>
    <row r="646">
      <c r="A646" s="18"/>
      <c r="AA646" s="85"/>
    </row>
    <row r="647">
      <c r="A647" s="18"/>
      <c r="AA647" s="85"/>
    </row>
    <row r="648">
      <c r="A648" s="18"/>
      <c r="AA648" s="85"/>
    </row>
    <row r="649">
      <c r="A649" s="18"/>
      <c r="AA649" s="85"/>
    </row>
    <row r="650">
      <c r="A650" s="18"/>
      <c r="AA650" s="85"/>
    </row>
    <row r="651">
      <c r="A651" s="18"/>
      <c r="AA651" s="85"/>
    </row>
    <row r="652">
      <c r="A652" s="18"/>
      <c r="AA652" s="85"/>
    </row>
    <row r="653">
      <c r="A653" s="18"/>
      <c r="AA653" s="85"/>
    </row>
    <row r="654">
      <c r="A654" s="18"/>
      <c r="AA654" s="85"/>
    </row>
    <row r="655">
      <c r="A655" s="18"/>
      <c r="AA655" s="85"/>
    </row>
    <row r="656">
      <c r="A656" s="18"/>
      <c r="AA656" s="85"/>
    </row>
    <row r="657">
      <c r="A657" s="18"/>
      <c r="AA657" s="85"/>
    </row>
    <row r="658">
      <c r="A658" s="18"/>
      <c r="AA658" s="85"/>
    </row>
    <row r="659">
      <c r="A659" s="18"/>
      <c r="AA659" s="85"/>
    </row>
    <row r="660">
      <c r="A660" s="18"/>
      <c r="AA660" s="85"/>
    </row>
    <row r="661">
      <c r="A661" s="18"/>
      <c r="AA661" s="85"/>
    </row>
    <row r="662">
      <c r="A662" s="18"/>
      <c r="AA662" s="85"/>
    </row>
    <row r="663">
      <c r="A663" s="18"/>
      <c r="AA663" s="85"/>
    </row>
    <row r="664">
      <c r="A664" s="18"/>
      <c r="AA664" s="85"/>
    </row>
    <row r="665">
      <c r="A665" s="18"/>
      <c r="AA665" s="85"/>
    </row>
    <row r="666">
      <c r="A666" s="18"/>
      <c r="AA666" s="85"/>
    </row>
    <row r="667">
      <c r="A667" s="18"/>
      <c r="AA667" s="85"/>
    </row>
    <row r="668">
      <c r="A668" s="18"/>
      <c r="AA668" s="85"/>
    </row>
    <row r="669">
      <c r="A669" s="18"/>
      <c r="AA669" s="85"/>
    </row>
    <row r="670">
      <c r="A670" s="18"/>
      <c r="AA670" s="85"/>
    </row>
    <row r="671">
      <c r="A671" s="18"/>
      <c r="AA671" s="85"/>
    </row>
    <row r="672">
      <c r="A672" s="18"/>
      <c r="AA672" s="85"/>
    </row>
    <row r="673">
      <c r="A673" s="18"/>
      <c r="AA673" s="85"/>
    </row>
    <row r="674">
      <c r="A674" s="18"/>
      <c r="AA674" s="85"/>
    </row>
    <row r="675">
      <c r="A675" s="18"/>
      <c r="AA675" s="85"/>
    </row>
    <row r="676">
      <c r="A676" s="18"/>
      <c r="AA676" s="85"/>
    </row>
    <row r="677">
      <c r="A677" s="18"/>
      <c r="AA677" s="85"/>
    </row>
    <row r="678">
      <c r="A678" s="18"/>
      <c r="AA678" s="85"/>
    </row>
    <row r="679">
      <c r="A679" s="18"/>
      <c r="AA679" s="85"/>
    </row>
    <row r="680">
      <c r="A680" s="18"/>
      <c r="AA680" s="85"/>
    </row>
    <row r="681">
      <c r="A681" s="18"/>
      <c r="AA681" s="85"/>
    </row>
    <row r="682">
      <c r="A682" s="18"/>
      <c r="AA682" s="85"/>
    </row>
    <row r="683">
      <c r="A683" s="18"/>
      <c r="AA683" s="85"/>
    </row>
    <row r="684">
      <c r="A684" s="18"/>
      <c r="AA684" s="85"/>
    </row>
    <row r="685">
      <c r="A685" s="18"/>
      <c r="AA685" s="85"/>
    </row>
    <row r="686">
      <c r="A686" s="18"/>
      <c r="AA686" s="85"/>
    </row>
    <row r="687">
      <c r="A687" s="18"/>
      <c r="AA687" s="85"/>
    </row>
    <row r="688">
      <c r="A688" s="18"/>
      <c r="AA688" s="85"/>
    </row>
    <row r="689">
      <c r="A689" s="18"/>
      <c r="AA689" s="85"/>
    </row>
    <row r="690">
      <c r="A690" s="18"/>
      <c r="AA690" s="85"/>
    </row>
    <row r="691">
      <c r="A691" s="18"/>
      <c r="AA691" s="85"/>
    </row>
    <row r="692">
      <c r="A692" s="18"/>
      <c r="AA692" s="85"/>
    </row>
    <row r="693">
      <c r="A693" s="18"/>
      <c r="AA693" s="85"/>
    </row>
    <row r="694">
      <c r="A694" s="18"/>
      <c r="AA694" s="85"/>
    </row>
    <row r="695">
      <c r="A695" s="18"/>
      <c r="AA695" s="85"/>
    </row>
    <row r="696">
      <c r="A696" s="18"/>
      <c r="AA696" s="85"/>
    </row>
    <row r="697">
      <c r="A697" s="18"/>
      <c r="AA697" s="85"/>
    </row>
    <row r="698">
      <c r="A698" s="18"/>
      <c r="AA698" s="85"/>
    </row>
    <row r="699">
      <c r="A699" s="18"/>
      <c r="AA699" s="85"/>
    </row>
    <row r="700">
      <c r="A700" s="18"/>
      <c r="AA700" s="85"/>
    </row>
    <row r="701">
      <c r="A701" s="18"/>
      <c r="AA701" s="85"/>
    </row>
    <row r="702">
      <c r="A702" s="18"/>
      <c r="AA702" s="85"/>
    </row>
    <row r="703">
      <c r="A703" s="18"/>
      <c r="AA703" s="85"/>
    </row>
    <row r="704">
      <c r="A704" s="18"/>
      <c r="AA704" s="85"/>
    </row>
    <row r="705">
      <c r="A705" s="18"/>
      <c r="AA705" s="85"/>
    </row>
    <row r="706">
      <c r="A706" s="18"/>
      <c r="AA706" s="85"/>
    </row>
    <row r="707">
      <c r="A707" s="18"/>
      <c r="AA707" s="85"/>
    </row>
    <row r="708">
      <c r="A708" s="18"/>
      <c r="AA708" s="85"/>
    </row>
    <row r="709">
      <c r="A709" s="18"/>
      <c r="AA709" s="85"/>
    </row>
    <row r="710">
      <c r="A710" s="18"/>
      <c r="AA710" s="85"/>
    </row>
    <row r="711">
      <c r="A711" s="18"/>
      <c r="AA711" s="85"/>
    </row>
    <row r="712">
      <c r="A712" s="18"/>
      <c r="AA712" s="85"/>
    </row>
    <row r="713">
      <c r="A713" s="18"/>
      <c r="AA713" s="85"/>
    </row>
    <row r="714">
      <c r="A714" s="18"/>
      <c r="AA714" s="85"/>
    </row>
    <row r="715">
      <c r="A715" s="18"/>
      <c r="AA715" s="85"/>
    </row>
    <row r="716">
      <c r="A716" s="18"/>
      <c r="AA716" s="85"/>
    </row>
    <row r="717">
      <c r="A717" s="18"/>
      <c r="AA717" s="85"/>
    </row>
    <row r="718">
      <c r="A718" s="18"/>
      <c r="AA718" s="85"/>
    </row>
    <row r="719">
      <c r="A719" s="18"/>
      <c r="AA719" s="85"/>
    </row>
    <row r="720">
      <c r="A720" s="18"/>
      <c r="AA720" s="85"/>
    </row>
    <row r="721">
      <c r="A721" s="18"/>
      <c r="AA721" s="85"/>
    </row>
    <row r="722">
      <c r="A722" s="18"/>
      <c r="AA722" s="85"/>
    </row>
    <row r="723">
      <c r="A723" s="18"/>
      <c r="AA723" s="85"/>
    </row>
    <row r="724">
      <c r="A724" s="18"/>
      <c r="AA724" s="85"/>
    </row>
    <row r="725">
      <c r="A725" s="18"/>
      <c r="AA725" s="85"/>
    </row>
    <row r="726">
      <c r="A726" s="18"/>
      <c r="AA726" s="85"/>
    </row>
    <row r="727">
      <c r="A727" s="18"/>
      <c r="AA727" s="85"/>
    </row>
    <row r="728">
      <c r="A728" s="18"/>
      <c r="AA728" s="85"/>
    </row>
    <row r="729">
      <c r="A729" s="18"/>
      <c r="AA729" s="85"/>
    </row>
    <row r="730">
      <c r="A730" s="18"/>
      <c r="AA730" s="85"/>
    </row>
    <row r="731">
      <c r="A731" s="18"/>
      <c r="AA731" s="85"/>
    </row>
    <row r="732">
      <c r="A732" s="18"/>
      <c r="AA732" s="85"/>
    </row>
    <row r="733">
      <c r="A733" s="18"/>
      <c r="AA733" s="85"/>
    </row>
    <row r="734">
      <c r="A734" s="18"/>
      <c r="AA734" s="85"/>
    </row>
    <row r="735">
      <c r="A735" s="18"/>
      <c r="AA735" s="85"/>
    </row>
    <row r="736">
      <c r="A736" s="18"/>
      <c r="AA736" s="85"/>
    </row>
    <row r="737">
      <c r="A737" s="18"/>
      <c r="AA737" s="85"/>
    </row>
    <row r="738">
      <c r="A738" s="18"/>
      <c r="AA738" s="85"/>
    </row>
    <row r="739">
      <c r="A739" s="18"/>
      <c r="AA739" s="85"/>
    </row>
    <row r="740">
      <c r="A740" s="18"/>
      <c r="AA740" s="85"/>
    </row>
    <row r="741">
      <c r="A741" s="18"/>
      <c r="AA741" s="85"/>
    </row>
    <row r="742">
      <c r="A742" s="18"/>
      <c r="AA742" s="85"/>
    </row>
    <row r="743">
      <c r="A743" s="18"/>
      <c r="AA743" s="85"/>
    </row>
    <row r="744">
      <c r="A744" s="18"/>
      <c r="AA744" s="85"/>
    </row>
    <row r="745">
      <c r="A745" s="18"/>
      <c r="AA745" s="85"/>
    </row>
    <row r="746">
      <c r="A746" s="18"/>
      <c r="AA746" s="85"/>
    </row>
    <row r="747">
      <c r="A747" s="18"/>
      <c r="AA747" s="85"/>
    </row>
    <row r="748">
      <c r="A748" s="18"/>
      <c r="AA748" s="85"/>
    </row>
    <row r="749">
      <c r="A749" s="18"/>
      <c r="AA749" s="85"/>
    </row>
    <row r="750">
      <c r="A750" s="18"/>
      <c r="AA750" s="85"/>
    </row>
    <row r="751">
      <c r="A751" s="18"/>
      <c r="AA751" s="85"/>
    </row>
    <row r="752">
      <c r="A752" s="18"/>
      <c r="AA752" s="85"/>
    </row>
    <row r="753">
      <c r="A753" s="18"/>
      <c r="AA753" s="85"/>
    </row>
    <row r="754">
      <c r="A754" s="18"/>
      <c r="AA754" s="85"/>
    </row>
    <row r="755">
      <c r="A755" s="18"/>
      <c r="AA755" s="85"/>
    </row>
    <row r="756">
      <c r="A756" s="18"/>
      <c r="AA756" s="85"/>
    </row>
    <row r="757">
      <c r="A757" s="18"/>
      <c r="AA757" s="85"/>
    </row>
    <row r="758">
      <c r="A758" s="18"/>
      <c r="AA758" s="85"/>
    </row>
    <row r="759">
      <c r="A759" s="18"/>
      <c r="AA759" s="85"/>
    </row>
    <row r="760">
      <c r="A760" s="18"/>
      <c r="AA760" s="85"/>
    </row>
    <row r="761">
      <c r="A761" s="18"/>
      <c r="AA761" s="85"/>
    </row>
    <row r="762">
      <c r="A762" s="18"/>
      <c r="AA762" s="85"/>
    </row>
    <row r="763">
      <c r="A763" s="18"/>
      <c r="AA763" s="85"/>
    </row>
    <row r="764">
      <c r="A764" s="18"/>
      <c r="AA764" s="85"/>
    </row>
    <row r="765">
      <c r="A765" s="18"/>
      <c r="AA765" s="85"/>
    </row>
    <row r="766">
      <c r="A766" s="18"/>
      <c r="AA766" s="85"/>
    </row>
    <row r="767">
      <c r="A767" s="18"/>
      <c r="AA767" s="85"/>
    </row>
    <row r="768">
      <c r="A768" s="18"/>
      <c r="AA768" s="85"/>
    </row>
    <row r="769">
      <c r="A769" s="18"/>
      <c r="AA769" s="85"/>
    </row>
    <row r="770">
      <c r="A770" s="18"/>
      <c r="AA770" s="85"/>
    </row>
    <row r="771">
      <c r="A771" s="18"/>
      <c r="AA771" s="85"/>
    </row>
    <row r="772">
      <c r="A772" s="18"/>
      <c r="AA772" s="85"/>
    </row>
    <row r="773">
      <c r="A773" s="18"/>
      <c r="AA773" s="85"/>
    </row>
    <row r="774">
      <c r="A774" s="18"/>
      <c r="AA774" s="85"/>
    </row>
    <row r="775">
      <c r="A775" s="18"/>
      <c r="AA775" s="85"/>
    </row>
    <row r="776">
      <c r="A776" s="18"/>
      <c r="AA776" s="85"/>
    </row>
    <row r="777">
      <c r="A777" s="18"/>
      <c r="AA777" s="85"/>
    </row>
    <row r="778">
      <c r="A778" s="18"/>
      <c r="AA778" s="85"/>
    </row>
    <row r="779">
      <c r="A779" s="18"/>
      <c r="AA779" s="85"/>
    </row>
    <row r="780">
      <c r="A780" s="18"/>
      <c r="AA780" s="85"/>
    </row>
    <row r="781">
      <c r="A781" s="18"/>
      <c r="AA781" s="85"/>
    </row>
    <row r="782">
      <c r="A782" s="18"/>
      <c r="AA782" s="85"/>
    </row>
    <row r="783">
      <c r="A783" s="18"/>
      <c r="AA783" s="85"/>
    </row>
    <row r="784">
      <c r="A784" s="18"/>
      <c r="AA784" s="85"/>
    </row>
    <row r="785">
      <c r="A785" s="18"/>
      <c r="AA785" s="85"/>
    </row>
    <row r="786">
      <c r="A786" s="18"/>
      <c r="AA786" s="85"/>
    </row>
    <row r="787">
      <c r="A787" s="18"/>
      <c r="AA787" s="85"/>
    </row>
    <row r="788">
      <c r="A788" s="18"/>
      <c r="AA788" s="85"/>
    </row>
    <row r="789">
      <c r="A789" s="18"/>
      <c r="AA789" s="85"/>
    </row>
    <row r="790">
      <c r="A790" s="18"/>
      <c r="AA790" s="85"/>
    </row>
    <row r="791">
      <c r="A791" s="18"/>
      <c r="AA791" s="85"/>
    </row>
    <row r="792">
      <c r="A792" s="18"/>
      <c r="AA792" s="85"/>
    </row>
    <row r="793">
      <c r="A793" s="18"/>
      <c r="AA793" s="85"/>
    </row>
    <row r="794">
      <c r="A794" s="18"/>
      <c r="AA794" s="85"/>
    </row>
    <row r="795">
      <c r="A795" s="18"/>
      <c r="AA795" s="85"/>
    </row>
    <row r="796">
      <c r="A796" s="18"/>
      <c r="AA796" s="85"/>
    </row>
    <row r="797">
      <c r="A797" s="18"/>
      <c r="AA797" s="85"/>
    </row>
    <row r="798">
      <c r="A798" s="18"/>
      <c r="AA798" s="85"/>
    </row>
    <row r="799">
      <c r="A799" s="18"/>
      <c r="AA799" s="85"/>
    </row>
    <row r="800">
      <c r="A800" s="18"/>
      <c r="AA800" s="85"/>
    </row>
    <row r="801">
      <c r="A801" s="18"/>
      <c r="AA801" s="85"/>
    </row>
    <row r="802">
      <c r="A802" s="18"/>
      <c r="AA802" s="85"/>
    </row>
    <row r="803">
      <c r="A803" s="18"/>
      <c r="AA803" s="85"/>
    </row>
    <row r="804">
      <c r="A804" s="18"/>
      <c r="AA804" s="85"/>
    </row>
    <row r="805">
      <c r="A805" s="18"/>
      <c r="AA805" s="85"/>
    </row>
    <row r="806">
      <c r="A806" s="18"/>
      <c r="AA806" s="85"/>
    </row>
    <row r="807">
      <c r="A807" s="18"/>
      <c r="AA807" s="85"/>
    </row>
    <row r="808">
      <c r="A808" s="18"/>
      <c r="AA808" s="85"/>
    </row>
    <row r="809">
      <c r="A809" s="18"/>
      <c r="AA809" s="85"/>
    </row>
    <row r="810">
      <c r="A810" s="18"/>
      <c r="AA810" s="85"/>
    </row>
    <row r="811">
      <c r="A811" s="18"/>
      <c r="AA811" s="85"/>
    </row>
    <row r="812">
      <c r="A812" s="18"/>
      <c r="AA812" s="85"/>
    </row>
    <row r="813">
      <c r="A813" s="18"/>
      <c r="AA813" s="85"/>
    </row>
    <row r="814">
      <c r="A814" s="18"/>
      <c r="AA814" s="85"/>
    </row>
    <row r="815">
      <c r="A815" s="18"/>
      <c r="AA815" s="85"/>
    </row>
    <row r="816">
      <c r="A816" s="18"/>
      <c r="AA816" s="85"/>
    </row>
    <row r="817">
      <c r="A817" s="18"/>
      <c r="AA817" s="85"/>
    </row>
    <row r="818">
      <c r="A818" s="18"/>
      <c r="AA818" s="85"/>
    </row>
    <row r="819">
      <c r="A819" s="18"/>
      <c r="AA819" s="85"/>
    </row>
    <row r="820">
      <c r="A820" s="18"/>
      <c r="AA820" s="85"/>
    </row>
    <row r="821">
      <c r="A821" s="18"/>
      <c r="AA821" s="85"/>
    </row>
    <row r="822">
      <c r="A822" s="18"/>
      <c r="AA822" s="85"/>
    </row>
    <row r="823">
      <c r="A823" s="18"/>
      <c r="AA823" s="85"/>
    </row>
    <row r="824">
      <c r="A824" s="18"/>
      <c r="AA824" s="85"/>
    </row>
    <row r="825">
      <c r="A825" s="18"/>
      <c r="AA825" s="85"/>
    </row>
    <row r="826">
      <c r="A826" s="18"/>
      <c r="AA826" s="85"/>
    </row>
    <row r="827">
      <c r="A827" s="18"/>
      <c r="AA827" s="85"/>
    </row>
    <row r="828">
      <c r="A828" s="18"/>
      <c r="AA828" s="85"/>
    </row>
    <row r="829">
      <c r="A829" s="18"/>
      <c r="AA829" s="85"/>
    </row>
    <row r="830">
      <c r="A830" s="18"/>
      <c r="AA830" s="85"/>
    </row>
    <row r="831">
      <c r="A831" s="18"/>
      <c r="AA831" s="85"/>
    </row>
    <row r="832">
      <c r="A832" s="18"/>
      <c r="AA832" s="85"/>
    </row>
    <row r="833">
      <c r="A833" s="18"/>
      <c r="AA833" s="85"/>
    </row>
    <row r="834">
      <c r="A834" s="18"/>
      <c r="AA834" s="85"/>
    </row>
    <row r="835">
      <c r="A835" s="18"/>
      <c r="AA835" s="85"/>
    </row>
    <row r="836">
      <c r="A836" s="18"/>
      <c r="AA836" s="85"/>
    </row>
    <row r="837">
      <c r="A837" s="18"/>
      <c r="AA837" s="85"/>
    </row>
    <row r="838">
      <c r="A838" s="18"/>
      <c r="AA838" s="85"/>
    </row>
    <row r="839">
      <c r="A839" s="18"/>
      <c r="AA839" s="85"/>
    </row>
    <row r="840">
      <c r="A840" s="18"/>
      <c r="AA840" s="85"/>
    </row>
    <row r="841">
      <c r="A841" s="18"/>
      <c r="AA841" s="85"/>
    </row>
    <row r="842">
      <c r="A842" s="18"/>
      <c r="AA842" s="85"/>
    </row>
    <row r="843">
      <c r="A843" s="18"/>
      <c r="AA843" s="85"/>
    </row>
    <row r="844">
      <c r="A844" s="18"/>
      <c r="AA844" s="85"/>
    </row>
    <row r="845">
      <c r="A845" s="18"/>
      <c r="AA845" s="85"/>
    </row>
    <row r="846">
      <c r="A846" s="18"/>
      <c r="AA846" s="85"/>
    </row>
    <row r="847">
      <c r="A847" s="18"/>
      <c r="AA847" s="85"/>
    </row>
    <row r="848">
      <c r="A848" s="18"/>
      <c r="AA848" s="85"/>
    </row>
    <row r="849">
      <c r="A849" s="18"/>
      <c r="AA849" s="85"/>
    </row>
    <row r="850">
      <c r="A850" s="18"/>
      <c r="AA850" s="85"/>
    </row>
    <row r="851">
      <c r="A851" s="18"/>
      <c r="AA851" s="85"/>
    </row>
    <row r="852">
      <c r="A852" s="18"/>
      <c r="AA852" s="85"/>
    </row>
    <row r="853">
      <c r="A853" s="18"/>
      <c r="AA853" s="85"/>
    </row>
    <row r="854">
      <c r="A854" s="18"/>
      <c r="AA854" s="85"/>
    </row>
    <row r="855">
      <c r="A855" s="18"/>
      <c r="AA855" s="85"/>
    </row>
    <row r="856">
      <c r="A856" s="18"/>
      <c r="AA856" s="85"/>
    </row>
    <row r="857">
      <c r="A857" s="18"/>
      <c r="AA857" s="85"/>
    </row>
    <row r="858">
      <c r="A858" s="18"/>
      <c r="AA858" s="85"/>
    </row>
    <row r="859">
      <c r="A859" s="18"/>
      <c r="AA859" s="85"/>
    </row>
    <row r="860">
      <c r="A860" s="18"/>
      <c r="AA860" s="85"/>
    </row>
    <row r="861">
      <c r="A861" s="18"/>
      <c r="AA861" s="85"/>
    </row>
    <row r="862">
      <c r="A862" s="18"/>
      <c r="AA862" s="85"/>
    </row>
    <row r="863">
      <c r="A863" s="18"/>
      <c r="AA863" s="85"/>
    </row>
    <row r="864">
      <c r="A864" s="18"/>
      <c r="AA864" s="85"/>
    </row>
    <row r="865">
      <c r="A865" s="18"/>
      <c r="AA865" s="85"/>
    </row>
    <row r="866">
      <c r="A866" s="18"/>
      <c r="AA866" s="85"/>
    </row>
    <row r="867">
      <c r="A867" s="18"/>
      <c r="AA867" s="85"/>
    </row>
    <row r="868">
      <c r="A868" s="18"/>
      <c r="AA868" s="85"/>
    </row>
    <row r="869">
      <c r="A869" s="18"/>
      <c r="AA869" s="85"/>
    </row>
    <row r="870">
      <c r="A870" s="18"/>
      <c r="AA870" s="85"/>
    </row>
    <row r="871">
      <c r="A871" s="18"/>
      <c r="AA871" s="85"/>
    </row>
    <row r="872">
      <c r="A872" s="18"/>
      <c r="AA872" s="85"/>
    </row>
    <row r="873">
      <c r="A873" s="18"/>
      <c r="AA873" s="85"/>
    </row>
    <row r="874">
      <c r="A874" s="18"/>
      <c r="AA874" s="85"/>
    </row>
    <row r="875">
      <c r="A875" s="18"/>
      <c r="AA875" s="85"/>
    </row>
    <row r="876">
      <c r="A876" s="18"/>
      <c r="AA876" s="85"/>
    </row>
    <row r="877">
      <c r="A877" s="18"/>
      <c r="AA877" s="85"/>
    </row>
    <row r="878">
      <c r="A878" s="18"/>
      <c r="AA878" s="85"/>
    </row>
    <row r="879">
      <c r="A879" s="18"/>
      <c r="AA879" s="85"/>
    </row>
    <row r="880">
      <c r="A880" s="18"/>
      <c r="AA880" s="85"/>
    </row>
    <row r="881">
      <c r="A881" s="18"/>
      <c r="AA881" s="85"/>
    </row>
    <row r="882">
      <c r="A882" s="18"/>
      <c r="AA882" s="85"/>
    </row>
    <row r="883">
      <c r="A883" s="18"/>
      <c r="AA883" s="85"/>
    </row>
    <row r="884">
      <c r="A884" s="18"/>
      <c r="AA884" s="85"/>
    </row>
    <row r="885">
      <c r="A885" s="18"/>
      <c r="AA885" s="85"/>
    </row>
    <row r="886">
      <c r="A886" s="18"/>
      <c r="AA886" s="85"/>
    </row>
    <row r="887">
      <c r="A887" s="18"/>
      <c r="AA887" s="85"/>
    </row>
    <row r="888">
      <c r="A888" s="18"/>
      <c r="AA888" s="85"/>
    </row>
    <row r="889">
      <c r="A889" s="18"/>
      <c r="AA889" s="85"/>
    </row>
    <row r="890">
      <c r="A890" s="18"/>
      <c r="AA890" s="85"/>
    </row>
    <row r="891">
      <c r="A891" s="18"/>
      <c r="AA891" s="85"/>
    </row>
    <row r="892">
      <c r="A892" s="18"/>
      <c r="AA892" s="85"/>
    </row>
    <row r="893">
      <c r="A893" s="18"/>
      <c r="AA893" s="85"/>
    </row>
    <row r="894">
      <c r="A894" s="18"/>
      <c r="AA894" s="85"/>
    </row>
    <row r="895">
      <c r="A895" s="18"/>
      <c r="AA895" s="85"/>
    </row>
    <row r="896">
      <c r="A896" s="18"/>
      <c r="AA896" s="85"/>
    </row>
    <row r="897">
      <c r="A897" s="18"/>
      <c r="AA897" s="85"/>
    </row>
    <row r="898">
      <c r="A898" s="18"/>
      <c r="AA898" s="85"/>
    </row>
    <row r="899">
      <c r="A899" s="18"/>
      <c r="AA899" s="85"/>
    </row>
    <row r="900">
      <c r="A900" s="18"/>
      <c r="AA900" s="85"/>
    </row>
    <row r="901">
      <c r="A901" s="18"/>
      <c r="AA901" s="85"/>
    </row>
    <row r="902">
      <c r="A902" s="18"/>
      <c r="AA902" s="85"/>
    </row>
    <row r="903">
      <c r="A903" s="18"/>
      <c r="AA903" s="85"/>
    </row>
    <row r="904">
      <c r="A904" s="18"/>
      <c r="AA904" s="85"/>
    </row>
    <row r="905">
      <c r="A905" s="18"/>
      <c r="AA905" s="85"/>
    </row>
    <row r="906">
      <c r="A906" s="18"/>
      <c r="AA906" s="85"/>
    </row>
    <row r="907">
      <c r="A907" s="18"/>
      <c r="AA907" s="85"/>
    </row>
    <row r="908">
      <c r="A908" s="18"/>
      <c r="AA908" s="85"/>
    </row>
    <row r="909">
      <c r="A909" s="18"/>
      <c r="AA909" s="85"/>
    </row>
    <row r="910">
      <c r="A910" s="18"/>
      <c r="AA910" s="85"/>
    </row>
    <row r="911">
      <c r="A911" s="18"/>
      <c r="AA911" s="85"/>
    </row>
    <row r="912">
      <c r="A912" s="18"/>
      <c r="AA912" s="85"/>
    </row>
    <row r="913">
      <c r="A913" s="18"/>
      <c r="AA913" s="85"/>
    </row>
    <row r="914">
      <c r="A914" s="18"/>
      <c r="AA914" s="85"/>
    </row>
    <row r="915">
      <c r="A915" s="18"/>
      <c r="AA915" s="85"/>
    </row>
    <row r="916">
      <c r="A916" s="18"/>
      <c r="AA916" s="85"/>
    </row>
    <row r="917">
      <c r="A917" s="18"/>
      <c r="AA917" s="85"/>
    </row>
    <row r="918">
      <c r="A918" s="18"/>
      <c r="AA918" s="85"/>
    </row>
    <row r="919">
      <c r="A919" s="18"/>
      <c r="AA919" s="85"/>
    </row>
    <row r="920">
      <c r="A920" s="18"/>
      <c r="AA920" s="85"/>
    </row>
    <row r="921">
      <c r="A921" s="18"/>
      <c r="AA921" s="85"/>
    </row>
    <row r="922">
      <c r="A922" s="18"/>
      <c r="AA922" s="85"/>
    </row>
    <row r="923">
      <c r="A923" s="18"/>
      <c r="AA923" s="85"/>
    </row>
    <row r="924">
      <c r="A924" s="18"/>
      <c r="AA924" s="85"/>
    </row>
    <row r="925">
      <c r="A925" s="18"/>
      <c r="AA925" s="85"/>
    </row>
    <row r="926">
      <c r="A926" s="18"/>
      <c r="AA926" s="85"/>
    </row>
    <row r="927">
      <c r="A927" s="18"/>
      <c r="AA927" s="85"/>
    </row>
    <row r="928">
      <c r="A928" s="18"/>
      <c r="AA928" s="85"/>
    </row>
    <row r="929">
      <c r="A929" s="18"/>
      <c r="AA929" s="85"/>
    </row>
    <row r="930">
      <c r="A930" s="18"/>
      <c r="AA930" s="85"/>
    </row>
    <row r="931">
      <c r="A931" s="18"/>
      <c r="AA931" s="85"/>
    </row>
    <row r="932">
      <c r="A932" s="18"/>
      <c r="AA932" s="85"/>
    </row>
    <row r="933">
      <c r="A933" s="18"/>
      <c r="AA933" s="85"/>
    </row>
    <row r="934">
      <c r="A934" s="18"/>
      <c r="AA934" s="85"/>
    </row>
    <row r="935">
      <c r="A935" s="18"/>
      <c r="AA935" s="85"/>
    </row>
    <row r="936">
      <c r="A936" s="18"/>
      <c r="AA936" s="85"/>
    </row>
    <row r="937">
      <c r="A937" s="18"/>
      <c r="AA937" s="85"/>
    </row>
    <row r="938">
      <c r="A938" s="18"/>
      <c r="AA938" s="85"/>
    </row>
    <row r="939">
      <c r="A939" s="18"/>
      <c r="AA939" s="85"/>
    </row>
    <row r="940">
      <c r="A940" s="18"/>
      <c r="AA940" s="85"/>
    </row>
    <row r="941">
      <c r="A941" s="18"/>
      <c r="AA941" s="85"/>
    </row>
    <row r="942">
      <c r="A942" s="18"/>
      <c r="AA942" s="85"/>
    </row>
    <row r="943">
      <c r="A943" s="18"/>
      <c r="AA943" s="85"/>
    </row>
    <row r="944">
      <c r="A944" s="18"/>
      <c r="AA944" s="85"/>
    </row>
    <row r="945">
      <c r="A945" s="18"/>
      <c r="AA945" s="85"/>
    </row>
    <row r="946">
      <c r="A946" s="18"/>
      <c r="AA946" s="85"/>
    </row>
    <row r="947">
      <c r="A947" s="18"/>
      <c r="AA947" s="85"/>
    </row>
    <row r="948">
      <c r="A948" s="18"/>
      <c r="AA948" s="85"/>
    </row>
    <row r="949">
      <c r="A949" s="18"/>
      <c r="AA949" s="85"/>
    </row>
    <row r="950">
      <c r="A950" s="18"/>
      <c r="AA950" s="85"/>
    </row>
    <row r="951">
      <c r="A951" s="18"/>
      <c r="AA951" s="85"/>
    </row>
    <row r="952">
      <c r="A952" s="18"/>
      <c r="AA952" s="85"/>
    </row>
    <row r="953">
      <c r="A953" s="18"/>
      <c r="AA953" s="85"/>
    </row>
    <row r="954">
      <c r="A954" s="18"/>
      <c r="AA954" s="85"/>
    </row>
    <row r="955">
      <c r="A955" s="18"/>
      <c r="AA955" s="85"/>
    </row>
    <row r="956">
      <c r="A956" s="18"/>
      <c r="AA956" s="85"/>
    </row>
    <row r="957">
      <c r="A957" s="18"/>
      <c r="AA957" s="85"/>
    </row>
    <row r="958">
      <c r="A958" s="18"/>
      <c r="AA958" s="85"/>
    </row>
    <row r="959">
      <c r="A959" s="18"/>
      <c r="AA959" s="85"/>
    </row>
    <row r="960">
      <c r="A960" s="18"/>
      <c r="AA960" s="85"/>
    </row>
    <row r="961">
      <c r="A961" s="18"/>
      <c r="AA961" s="85"/>
    </row>
    <row r="962">
      <c r="A962" s="18"/>
      <c r="AA962" s="85"/>
    </row>
    <row r="963">
      <c r="A963" s="18"/>
      <c r="AA963" s="85"/>
    </row>
    <row r="964">
      <c r="A964" s="18"/>
      <c r="AA964" s="85"/>
    </row>
    <row r="965">
      <c r="A965" s="18"/>
      <c r="AA965" s="85"/>
    </row>
    <row r="966">
      <c r="A966" s="18"/>
      <c r="AA966" s="85"/>
    </row>
    <row r="967">
      <c r="A967" s="18"/>
      <c r="AA967" s="85"/>
    </row>
    <row r="968">
      <c r="A968" s="18"/>
      <c r="AA968" s="85"/>
    </row>
    <row r="969">
      <c r="A969" s="18"/>
      <c r="AA969" s="85"/>
    </row>
    <row r="970">
      <c r="A970" s="18"/>
      <c r="AA970" s="85"/>
    </row>
    <row r="971">
      <c r="A971" s="18"/>
      <c r="AA971" s="85"/>
    </row>
    <row r="972">
      <c r="A972" s="18"/>
      <c r="AA972" s="85"/>
    </row>
    <row r="973">
      <c r="A973" s="18"/>
      <c r="AA973" s="85"/>
    </row>
    <row r="974">
      <c r="AA974" s="85"/>
    </row>
    <row r="975">
      <c r="AA975" s="85"/>
    </row>
    <row r="976">
      <c r="AA976" s="85"/>
    </row>
    <row r="977">
      <c r="AA977" s="85"/>
    </row>
    <row r="978">
      <c r="AA978" s="85"/>
    </row>
    <row r="979">
      <c r="AA979" s="85"/>
    </row>
    <row r="980">
      <c r="AA980" s="85"/>
    </row>
    <row r="981">
      <c r="AA981" s="85"/>
    </row>
  </sheetData>
  <mergeCells count="1">
    <mergeCell ref="C1:AA1"/>
  </mergeCells>
  <conditionalFormatting sqref="B3:B11">
    <cfRule type="cellIs" dxfId="2" priority="1" operator="greaterThanOrEqual">
      <formula>10</formula>
    </cfRule>
  </conditionalFormatting>
  <conditionalFormatting sqref="B3:B11">
    <cfRule type="cellIs" dxfId="3" priority="2" operator="between">
      <formula>10</formula>
      <formula>5</formula>
    </cfRule>
  </conditionalFormatting>
  <conditionalFormatting sqref="B3:B11">
    <cfRule type="cellIs" dxfId="4" priority="3" operator="lessThan">
      <formula>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.25"/>
  </cols>
  <sheetData>
    <row r="1">
      <c r="B1" s="41" t="s">
        <v>177</v>
      </c>
      <c r="C1" s="41" t="s">
        <v>178</v>
      </c>
      <c r="D1" s="41" t="s">
        <v>179</v>
      </c>
      <c r="E1" s="41" t="s">
        <v>180</v>
      </c>
      <c r="F1" s="55" t="s">
        <v>181</v>
      </c>
      <c r="K1" s="55"/>
      <c r="L1" s="55" t="s">
        <v>182</v>
      </c>
    </row>
    <row r="2">
      <c r="A2" s="123" t="s">
        <v>183</v>
      </c>
      <c r="B2" s="123">
        <v>36842.56</v>
      </c>
      <c r="C2" s="123">
        <v>37236.36</v>
      </c>
      <c r="D2" s="123">
        <v>0.0335</v>
      </c>
      <c r="E2" s="123">
        <v>0.0175</v>
      </c>
      <c r="G2" s="126" t="s">
        <v>184</v>
      </c>
      <c r="H2" s="127" t="s">
        <v>185</v>
      </c>
      <c r="I2" s="128" t="s">
        <v>186</v>
      </c>
      <c r="M2" s="126" t="s">
        <v>184</v>
      </c>
      <c r="N2" s="127" t="s">
        <v>185</v>
      </c>
      <c r="O2" s="128" t="s">
        <v>186</v>
      </c>
    </row>
    <row r="3">
      <c r="A3" s="123" t="s">
        <v>187</v>
      </c>
      <c r="B3" s="123">
        <v>36861.02</v>
      </c>
      <c r="C3" s="123">
        <v>37254.81</v>
      </c>
      <c r="D3" s="129">
        <v>0.033</v>
      </c>
      <c r="E3" s="129">
        <v>0.0171</v>
      </c>
      <c r="G3" s="130" t="s">
        <v>188</v>
      </c>
      <c r="H3" s="131">
        <v>0.97923976</v>
      </c>
      <c r="I3" s="132">
        <v>811.0</v>
      </c>
      <c r="M3" s="127" t="s">
        <v>188</v>
      </c>
      <c r="N3" s="133">
        <v>0.9811</v>
      </c>
      <c r="O3" s="134">
        <v>1019.0</v>
      </c>
    </row>
    <row r="4">
      <c r="A4" s="123" t="s">
        <v>189</v>
      </c>
      <c r="B4" s="129">
        <v>36819.03</v>
      </c>
      <c r="C4" s="129">
        <v>37102.57</v>
      </c>
      <c r="D4" s="129">
        <v>0.033</v>
      </c>
      <c r="E4" s="123">
        <v>0.0188</v>
      </c>
      <c r="G4" s="130" t="s">
        <v>190</v>
      </c>
      <c r="H4" s="135">
        <v>0.04155576</v>
      </c>
      <c r="I4" s="132">
        <v>2.0</v>
      </c>
      <c r="M4" s="127" t="s">
        <v>191</v>
      </c>
      <c r="N4" s="136">
        <v>0.0</v>
      </c>
      <c r="O4" s="132"/>
    </row>
    <row r="5">
      <c r="G5" s="130" t="s">
        <v>192</v>
      </c>
      <c r="H5" s="131">
        <v>0.87759764</v>
      </c>
      <c r="I5" s="132">
        <v>189.0</v>
      </c>
      <c r="M5" s="127" t="s">
        <v>193</v>
      </c>
      <c r="N5" s="136">
        <v>0.0</v>
      </c>
      <c r="O5" s="132"/>
    </row>
    <row r="6">
      <c r="A6" s="137" t="s">
        <v>194</v>
      </c>
      <c r="B6" s="137">
        <v>29649.94</v>
      </c>
      <c r="C6" s="137">
        <v>29993.68</v>
      </c>
      <c r="D6" s="138">
        <v>0.0372</v>
      </c>
      <c r="E6" s="137">
        <v>0.0348</v>
      </c>
      <c r="G6" s="130" t="s">
        <v>195</v>
      </c>
      <c r="H6" s="135">
        <v>0.38410667</v>
      </c>
      <c r="I6" s="132">
        <v>19.0</v>
      </c>
      <c r="M6" s="127" t="s">
        <v>195</v>
      </c>
      <c r="N6" s="136">
        <v>0.3451</v>
      </c>
      <c r="O6" s="134">
        <v>23.0</v>
      </c>
    </row>
    <row r="7">
      <c r="A7" s="137" t="s">
        <v>196</v>
      </c>
      <c r="B7" s="137">
        <v>29676.21</v>
      </c>
      <c r="C7" s="137">
        <v>30019.94</v>
      </c>
      <c r="D7" s="137">
        <v>0.0379</v>
      </c>
      <c r="E7" s="137">
        <v>0.0344</v>
      </c>
      <c r="G7" s="130" t="s">
        <v>197</v>
      </c>
      <c r="H7" s="135">
        <v>0.24444962</v>
      </c>
      <c r="I7" s="132">
        <v>9.0</v>
      </c>
      <c r="M7" s="127" t="s">
        <v>198</v>
      </c>
      <c r="N7" s="136">
        <v>0.0</v>
      </c>
      <c r="O7" s="132"/>
    </row>
    <row r="8">
      <c r="A8" s="137" t="s">
        <v>199</v>
      </c>
      <c r="B8" s="138">
        <v>29634.21</v>
      </c>
      <c r="C8" s="138">
        <v>29866.89</v>
      </c>
      <c r="D8" s="137">
        <v>0.0379</v>
      </c>
      <c r="E8" s="138">
        <v>0.0326</v>
      </c>
      <c r="G8" s="130" t="s">
        <v>200</v>
      </c>
      <c r="H8" s="135">
        <v>0.24409706</v>
      </c>
      <c r="I8" s="132">
        <v>4.0</v>
      </c>
      <c r="M8" s="127" t="s">
        <v>201</v>
      </c>
      <c r="N8" s="136">
        <v>0.3968</v>
      </c>
      <c r="O8" s="134">
        <v>55.0</v>
      </c>
    </row>
    <row r="9">
      <c r="G9" s="130" t="s">
        <v>202</v>
      </c>
      <c r="H9" s="135">
        <v>0.18624421</v>
      </c>
      <c r="I9" s="132">
        <v>4.0</v>
      </c>
      <c r="M9" s="127" t="s">
        <v>203</v>
      </c>
      <c r="N9" s="136">
        <v>0.0</v>
      </c>
      <c r="O9" s="132"/>
    </row>
    <row r="10">
      <c r="A10" s="139" t="s">
        <v>204</v>
      </c>
      <c r="B10" s="140">
        <v>37038.88</v>
      </c>
      <c r="C10" s="139">
        <v>37372.9</v>
      </c>
      <c r="D10" s="140">
        <v>0.0434</v>
      </c>
      <c r="E10" s="140">
        <v>0.0338</v>
      </c>
      <c r="G10" s="130" t="s">
        <v>205</v>
      </c>
      <c r="H10" s="135">
        <v>0.12609511</v>
      </c>
      <c r="I10" s="132">
        <v>1.0</v>
      </c>
      <c r="M10" s="127" t="s">
        <v>206</v>
      </c>
      <c r="N10" s="136">
        <v>0.5892</v>
      </c>
      <c r="O10" s="134">
        <v>159.0</v>
      </c>
    </row>
    <row r="11">
      <c r="A11" s="139" t="s">
        <v>207</v>
      </c>
      <c r="B11" s="139">
        <v>37095.73</v>
      </c>
      <c r="C11" s="139">
        <v>37511.98</v>
      </c>
      <c r="D11" s="140">
        <v>0.0434</v>
      </c>
      <c r="E11" s="139">
        <v>0.0354</v>
      </c>
      <c r="G11" s="130" t="s">
        <v>208</v>
      </c>
      <c r="H11" s="135">
        <v>0.47554113</v>
      </c>
      <c r="I11" s="132">
        <v>51.0</v>
      </c>
      <c r="M11" s="127" t="s">
        <v>209</v>
      </c>
      <c r="N11" s="136">
        <v>0.0</v>
      </c>
      <c r="O11" s="132"/>
    </row>
    <row r="12">
      <c r="A12" s="139" t="s">
        <v>210</v>
      </c>
      <c r="B12" s="139">
        <v>37054.61</v>
      </c>
      <c r="C12" s="140">
        <v>37362.94</v>
      </c>
      <c r="D12" s="139">
        <v>0.0435</v>
      </c>
      <c r="E12" s="140">
        <v>0.0338</v>
      </c>
      <c r="G12" s="130" t="s">
        <v>211</v>
      </c>
      <c r="H12" s="135">
        <v>0.32486645</v>
      </c>
      <c r="I12" s="132">
        <v>3.0</v>
      </c>
      <c r="M12" s="127" t="s">
        <v>212</v>
      </c>
      <c r="N12" s="136">
        <v>0.0</v>
      </c>
      <c r="O12" s="132"/>
    </row>
    <row r="13">
      <c r="G13" s="130" t="s">
        <v>213</v>
      </c>
      <c r="H13" s="135">
        <v>0.10186592</v>
      </c>
      <c r="I13" s="132">
        <v>1.0</v>
      </c>
      <c r="M13" s="127" t="s">
        <v>214</v>
      </c>
      <c r="N13" s="136">
        <v>0.5732</v>
      </c>
      <c r="O13" s="134">
        <v>153.0</v>
      </c>
    </row>
    <row r="14">
      <c r="G14" s="130" t="s">
        <v>215</v>
      </c>
      <c r="H14" s="135">
        <v>0.10784588</v>
      </c>
      <c r="I14" s="132">
        <v>1.0</v>
      </c>
      <c r="M14" s="130"/>
      <c r="N14" s="135"/>
      <c r="O14" s="132"/>
    </row>
    <row r="15">
      <c r="G15" s="130" t="s">
        <v>216</v>
      </c>
      <c r="H15" s="141">
        <v>0.76105717</v>
      </c>
      <c r="I15" s="132">
        <v>162.0</v>
      </c>
      <c r="M15" s="130"/>
      <c r="N15" s="135"/>
      <c r="O15" s="132"/>
    </row>
    <row r="16">
      <c r="A16" s="126" t="s">
        <v>184</v>
      </c>
      <c r="B16" s="127" t="s">
        <v>185</v>
      </c>
      <c r="G16" s="130" t="s">
        <v>217</v>
      </c>
      <c r="H16" s="131">
        <v>0.87160746</v>
      </c>
      <c r="I16" s="132">
        <v>152.0</v>
      </c>
      <c r="M16" s="130"/>
      <c r="N16" s="135"/>
      <c r="O16" s="132"/>
    </row>
    <row r="17">
      <c r="A17" s="130" t="s">
        <v>218</v>
      </c>
      <c r="B17" s="136">
        <v>0.4571985</v>
      </c>
      <c r="I17" s="142">
        <f>sum(I3:I16)</f>
        <v>1409</v>
      </c>
      <c r="O17" s="142">
        <f>sum(O3:O16)</f>
        <v>1409</v>
      </c>
    </row>
    <row r="18">
      <c r="A18" s="130" t="s">
        <v>219</v>
      </c>
      <c r="B18" s="136">
        <v>0.4573118</v>
      </c>
    </row>
    <row r="19">
      <c r="A19" s="130" t="s">
        <v>220</v>
      </c>
      <c r="B19" s="136">
        <v>0.4055639</v>
      </c>
      <c r="F19" s="143" t="s">
        <v>169</v>
      </c>
      <c r="G19" s="143" t="s">
        <v>170</v>
      </c>
      <c r="H19" s="143" t="s">
        <v>171</v>
      </c>
      <c r="I19" s="143" t="s">
        <v>172</v>
      </c>
      <c r="J19" s="143" t="s">
        <v>173</v>
      </c>
      <c r="K19" s="57"/>
      <c r="L19" s="143" t="s">
        <v>169</v>
      </c>
      <c r="M19" s="143" t="s">
        <v>170</v>
      </c>
      <c r="N19" s="143" t="s">
        <v>171</v>
      </c>
      <c r="O19" s="143" t="s">
        <v>172</v>
      </c>
      <c r="P19" s="143" t="s">
        <v>173</v>
      </c>
    </row>
    <row r="20">
      <c r="A20" s="130" t="s">
        <v>221</v>
      </c>
      <c r="B20" s="136">
        <v>0.5024588</v>
      </c>
      <c r="F20" s="144">
        <v>0.9364</v>
      </c>
      <c r="G20" s="144">
        <v>0.9113</v>
      </c>
      <c r="H20" s="144">
        <v>0.9386</v>
      </c>
      <c r="I20" s="144">
        <v>0.9486</v>
      </c>
      <c r="J20" s="144">
        <v>0.9753</v>
      </c>
      <c r="K20" s="124"/>
      <c r="L20" s="144">
        <v>0.9376</v>
      </c>
      <c r="M20" s="144">
        <v>0.9278</v>
      </c>
      <c r="N20" s="144">
        <v>0.9471</v>
      </c>
      <c r="O20" s="144">
        <v>0.9529</v>
      </c>
      <c r="P20" s="144">
        <v>0.9112</v>
      </c>
    </row>
    <row r="21">
      <c r="A21" s="130" t="s">
        <v>222</v>
      </c>
      <c r="B21" s="136">
        <v>0.2921031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</row>
    <row r="22">
      <c r="A22" s="130" t="s">
        <v>223</v>
      </c>
      <c r="B22" s="136">
        <v>0.4915001</v>
      </c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  <row r="23">
      <c r="A23" s="130" t="s">
        <v>224</v>
      </c>
      <c r="B23" s="136">
        <v>0.2315854</v>
      </c>
      <c r="F23" s="55" t="s">
        <v>225</v>
      </c>
      <c r="K23" s="55"/>
      <c r="L23" s="55" t="s">
        <v>226</v>
      </c>
    </row>
    <row r="24">
      <c r="A24" s="130" t="s">
        <v>227</v>
      </c>
      <c r="B24" s="136">
        <v>0.0</v>
      </c>
      <c r="G24" s="126" t="s">
        <v>184</v>
      </c>
      <c r="H24" s="127" t="s">
        <v>185</v>
      </c>
      <c r="I24" s="128" t="s">
        <v>186</v>
      </c>
      <c r="M24" s="126" t="s">
        <v>184</v>
      </c>
      <c r="N24" s="127" t="s">
        <v>185</v>
      </c>
      <c r="O24" s="128" t="s">
        <v>186</v>
      </c>
    </row>
    <row r="25">
      <c r="A25" s="130" t="s">
        <v>228</v>
      </c>
      <c r="B25" s="136">
        <v>0.2905062</v>
      </c>
      <c r="G25" s="130" t="s">
        <v>188</v>
      </c>
      <c r="H25" s="146">
        <v>0.79476423</v>
      </c>
      <c r="I25" s="134">
        <v>679.0</v>
      </c>
      <c r="M25" s="127" t="s">
        <v>229</v>
      </c>
      <c r="N25" s="133">
        <v>0.9629</v>
      </c>
      <c r="O25" s="134">
        <v>1009.0</v>
      </c>
    </row>
    <row r="26">
      <c r="A26" s="130" t="s">
        <v>230</v>
      </c>
      <c r="B26" s="136">
        <v>0.3058688</v>
      </c>
      <c r="G26" s="130" t="s">
        <v>231</v>
      </c>
      <c r="H26" s="136">
        <v>0.52421527</v>
      </c>
      <c r="I26" s="134">
        <v>269.0</v>
      </c>
      <c r="M26" s="127" t="s">
        <v>232</v>
      </c>
      <c r="N26" s="136">
        <v>0.0244</v>
      </c>
      <c r="O26" s="134">
        <v>1.0</v>
      </c>
    </row>
    <row r="27">
      <c r="A27" s="130" t="s">
        <v>233</v>
      </c>
      <c r="B27" s="136">
        <v>0.3359337</v>
      </c>
      <c r="G27" s="127" t="s">
        <v>234</v>
      </c>
      <c r="H27" s="136">
        <v>0.39</v>
      </c>
      <c r="I27" s="134">
        <v>52.0</v>
      </c>
      <c r="M27" s="127" t="s">
        <v>211</v>
      </c>
      <c r="N27" s="136">
        <v>0.1023</v>
      </c>
      <c r="O27" s="134">
        <v>3.0</v>
      </c>
    </row>
    <row r="28">
      <c r="A28" s="130" t="s">
        <v>235</v>
      </c>
      <c r="B28" s="147">
        <v>0.8654468</v>
      </c>
      <c r="G28" s="130" t="s">
        <v>236</v>
      </c>
      <c r="H28" s="136">
        <v>0.31680135</v>
      </c>
      <c r="I28" s="134">
        <v>29.0</v>
      </c>
      <c r="M28" s="127" t="s">
        <v>236</v>
      </c>
      <c r="N28" s="136">
        <v>0.221</v>
      </c>
      <c r="O28" s="134">
        <v>24.0</v>
      </c>
    </row>
    <row r="29">
      <c r="A29" s="130" t="s">
        <v>237</v>
      </c>
      <c r="B29" s="136">
        <v>0.3973297</v>
      </c>
      <c r="G29" s="130" t="s">
        <v>238</v>
      </c>
      <c r="H29" s="136">
        <v>0.10228749</v>
      </c>
      <c r="I29" s="134">
        <v>4.0</v>
      </c>
      <c r="M29" s="127" t="s">
        <v>239</v>
      </c>
      <c r="N29" s="136">
        <v>0.104</v>
      </c>
      <c r="O29" s="134">
        <v>10.0</v>
      </c>
    </row>
    <row r="30">
      <c r="A30" s="130" t="s">
        <v>240</v>
      </c>
      <c r="B30" s="136">
        <v>0.0</v>
      </c>
      <c r="G30" s="130" t="s">
        <v>241</v>
      </c>
      <c r="H30" s="136">
        <v>0.18003318</v>
      </c>
      <c r="I30" s="134">
        <v>11.0</v>
      </c>
      <c r="M30" s="127" t="s">
        <v>216</v>
      </c>
      <c r="N30" s="136">
        <v>0.4057</v>
      </c>
      <c r="O30" s="134">
        <v>86.0</v>
      </c>
    </row>
    <row r="31">
      <c r="A31" s="130" t="s">
        <v>242</v>
      </c>
      <c r="B31" s="136">
        <v>0.2967951</v>
      </c>
      <c r="G31" s="130" t="s">
        <v>243</v>
      </c>
      <c r="H31" s="136">
        <v>0.06404423</v>
      </c>
      <c r="I31" s="134">
        <v>3.0</v>
      </c>
      <c r="M31" s="127" t="s">
        <v>217</v>
      </c>
      <c r="N31" s="146">
        <v>0.7944</v>
      </c>
      <c r="O31" s="134">
        <v>330.0</v>
      </c>
    </row>
    <row r="32">
      <c r="A32" s="130" t="s">
        <v>244</v>
      </c>
      <c r="B32" s="136">
        <v>0.6561051</v>
      </c>
      <c r="G32" s="127" t="s">
        <v>217</v>
      </c>
      <c r="H32" s="136">
        <v>0.89</v>
      </c>
      <c r="I32" s="134">
        <v>416.0</v>
      </c>
      <c r="M32" s="127"/>
      <c r="N32" s="136"/>
      <c r="O32" s="134"/>
    </row>
    <row r="33">
      <c r="I33" s="142">
        <f>sum(I25:I32)</f>
        <v>1463</v>
      </c>
      <c r="O33" s="142">
        <f>sum(O25:O32)</f>
        <v>1463</v>
      </c>
    </row>
    <row r="35">
      <c r="F35" s="143" t="s">
        <v>169</v>
      </c>
      <c r="G35" s="143" t="s">
        <v>170</v>
      </c>
      <c r="H35" s="143" t="s">
        <v>171</v>
      </c>
      <c r="I35" s="143" t="s">
        <v>172</v>
      </c>
      <c r="J35" s="143" t="s">
        <v>173</v>
      </c>
      <c r="K35" s="57"/>
      <c r="L35" s="143" t="s">
        <v>169</v>
      </c>
      <c r="M35" s="143" t="s">
        <v>170</v>
      </c>
      <c r="N35" s="143" t="s">
        <v>171</v>
      </c>
      <c r="O35" s="143" t="s">
        <v>172</v>
      </c>
      <c r="P35" s="143" t="s">
        <v>173</v>
      </c>
    </row>
    <row r="36">
      <c r="F36" s="144">
        <v>0.9004</v>
      </c>
      <c r="G36" s="144">
        <v>0.898</v>
      </c>
      <c r="H36" s="144">
        <v>0.8814</v>
      </c>
      <c r="I36" s="144">
        <v>0.7778</v>
      </c>
      <c r="J36" s="144">
        <v>0.8696</v>
      </c>
      <c r="K36" s="124"/>
      <c r="L36" s="144">
        <v>0.9017</v>
      </c>
      <c r="M36" s="144">
        <v>0.9094</v>
      </c>
      <c r="N36" s="144">
        <v>0.9065</v>
      </c>
      <c r="O36" s="144">
        <v>0.9055</v>
      </c>
      <c r="P36" s="144">
        <v>0.9042</v>
      </c>
    </row>
    <row r="37"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</row>
    <row r="38"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</row>
    <row r="39">
      <c r="F39" s="55" t="s">
        <v>245</v>
      </c>
      <c r="K39" s="55"/>
      <c r="L39" s="55" t="s">
        <v>246</v>
      </c>
    </row>
    <row r="40">
      <c r="G40" s="126" t="s">
        <v>184</v>
      </c>
      <c r="H40" s="127" t="s">
        <v>185</v>
      </c>
      <c r="I40" s="128" t="s">
        <v>186</v>
      </c>
      <c r="M40" s="126" t="s">
        <v>184</v>
      </c>
      <c r="N40" s="127" t="s">
        <v>185</v>
      </c>
      <c r="O40" s="128" t="s">
        <v>186</v>
      </c>
    </row>
    <row r="41">
      <c r="G41" s="127" t="s">
        <v>218</v>
      </c>
      <c r="H41" s="136">
        <v>0.4224</v>
      </c>
      <c r="I41" s="148">
        <v>252.0</v>
      </c>
      <c r="M41" s="127" t="s">
        <v>188</v>
      </c>
      <c r="N41" s="136">
        <v>0.975</v>
      </c>
      <c r="O41" s="148">
        <v>709.0</v>
      </c>
    </row>
    <row r="42">
      <c r="G42" s="127" t="s">
        <v>222</v>
      </c>
      <c r="H42" s="136">
        <v>0.2555</v>
      </c>
      <c r="I42" s="148">
        <v>30.0</v>
      </c>
      <c r="M42" s="127" t="s">
        <v>208</v>
      </c>
      <c r="N42" s="136">
        <v>0.3152</v>
      </c>
      <c r="O42" s="148">
        <v>39.0</v>
      </c>
    </row>
    <row r="43">
      <c r="G43" s="127" t="s">
        <v>221</v>
      </c>
      <c r="H43" s="136">
        <v>0.5025</v>
      </c>
      <c r="I43" s="148">
        <v>77.0</v>
      </c>
      <c r="M43" s="127" t="s">
        <v>236</v>
      </c>
      <c r="N43" s="136">
        <v>0.2618</v>
      </c>
      <c r="O43" s="148">
        <v>64.0</v>
      </c>
    </row>
    <row r="44">
      <c r="G44" s="127" t="s">
        <v>233</v>
      </c>
      <c r="H44" s="136">
        <v>0.3359</v>
      </c>
      <c r="I44" s="148">
        <v>9.0</v>
      </c>
      <c r="M44" s="127" t="s">
        <v>239</v>
      </c>
      <c r="N44" s="136">
        <v>0.257</v>
      </c>
      <c r="O44" s="148">
        <v>54.0</v>
      </c>
    </row>
    <row r="45">
      <c r="G45" s="127" t="s">
        <v>220</v>
      </c>
      <c r="H45" s="136">
        <v>0.4403</v>
      </c>
      <c r="I45" s="148">
        <v>220.0</v>
      </c>
      <c r="M45" s="127" t="s">
        <v>216</v>
      </c>
      <c r="N45" s="136">
        <v>0.735</v>
      </c>
      <c r="O45" s="148">
        <v>257.0</v>
      </c>
    </row>
    <row r="46">
      <c r="G46" s="127" t="s">
        <v>230</v>
      </c>
      <c r="H46" s="136">
        <v>0.3425</v>
      </c>
      <c r="I46" s="148">
        <v>32.0</v>
      </c>
      <c r="M46" s="127" t="s">
        <v>217</v>
      </c>
      <c r="N46" s="136">
        <v>0.5071</v>
      </c>
      <c r="O46" s="148">
        <v>137.0</v>
      </c>
    </row>
    <row r="47">
      <c r="G47" s="127" t="s">
        <v>228</v>
      </c>
      <c r="H47" s="136">
        <v>0.2905</v>
      </c>
      <c r="I47" s="148">
        <v>20.0</v>
      </c>
      <c r="M47" s="127"/>
      <c r="N47" s="136"/>
      <c r="O47" s="134"/>
    </row>
    <row r="48">
      <c r="G48" s="127" t="s">
        <v>242</v>
      </c>
      <c r="H48" s="136">
        <v>0.2968</v>
      </c>
      <c r="I48" s="148">
        <v>2.0</v>
      </c>
      <c r="O48" s="149">
        <f>SUM(O41:O46)</f>
        <v>1260</v>
      </c>
    </row>
    <row r="49">
      <c r="G49" s="127" t="s">
        <v>219</v>
      </c>
      <c r="H49" s="136">
        <v>0.4573</v>
      </c>
      <c r="I49" s="148">
        <v>61.0</v>
      </c>
    </row>
    <row r="50">
      <c r="G50" s="127" t="s">
        <v>224</v>
      </c>
      <c r="H50" s="136">
        <v>0.2316</v>
      </c>
      <c r="I50" s="148">
        <v>22.0</v>
      </c>
    </row>
    <row r="51">
      <c r="G51" s="127" t="s">
        <v>223</v>
      </c>
      <c r="H51" s="136">
        <v>0.4915</v>
      </c>
      <c r="I51" s="148">
        <v>83.0</v>
      </c>
    </row>
    <row r="52">
      <c r="G52" s="127" t="s">
        <v>237</v>
      </c>
      <c r="H52" s="136">
        <v>0.3973</v>
      </c>
      <c r="I52" s="148">
        <v>14.0</v>
      </c>
    </row>
    <row r="53">
      <c r="G53" s="127" t="s">
        <v>235</v>
      </c>
      <c r="H53" s="133">
        <v>0.8654</v>
      </c>
      <c r="I53" s="148">
        <v>300.0</v>
      </c>
    </row>
    <row r="54">
      <c r="G54" s="127" t="s">
        <v>244</v>
      </c>
      <c r="H54" s="136">
        <v>0.6561</v>
      </c>
      <c r="I54" s="148">
        <v>138.0</v>
      </c>
    </row>
    <row r="55">
      <c r="I55" s="149">
        <f>sum(I41:I54)</f>
        <v>1260</v>
      </c>
    </row>
    <row r="56">
      <c r="F56" s="143" t="s">
        <v>169</v>
      </c>
      <c r="G56" s="143" t="s">
        <v>170</v>
      </c>
      <c r="H56" s="143" t="s">
        <v>171</v>
      </c>
      <c r="I56" s="143" t="s">
        <v>172</v>
      </c>
      <c r="J56" s="143" t="s">
        <v>173</v>
      </c>
      <c r="K56" s="57"/>
      <c r="L56" s="143" t="s">
        <v>169</v>
      </c>
      <c r="M56" s="143" t="s">
        <v>170</v>
      </c>
      <c r="N56" s="143" t="s">
        <v>171</v>
      </c>
      <c r="O56" s="143" t="s">
        <v>172</v>
      </c>
      <c r="P56" s="143" t="s">
        <v>173</v>
      </c>
    </row>
    <row r="57">
      <c r="F57" s="144">
        <v>0.9388</v>
      </c>
      <c r="G57" s="144">
        <v>0.6801</v>
      </c>
      <c r="H57" s="144"/>
      <c r="I57" s="144">
        <v>0.8717</v>
      </c>
      <c r="J57" s="144">
        <v>0.9126</v>
      </c>
      <c r="K57" s="124"/>
      <c r="L57" s="144">
        <v>0.9256</v>
      </c>
      <c r="M57" s="144">
        <v>0.8902</v>
      </c>
      <c r="N57" s="144">
        <v>0.8841</v>
      </c>
      <c r="O57" s="144">
        <v>0.9143</v>
      </c>
      <c r="P57" s="144">
        <v>0.8903</v>
      </c>
    </row>
  </sheetData>
  <mergeCells count="6">
    <mergeCell ref="F1:J1"/>
    <mergeCell ref="L1:P1"/>
    <mergeCell ref="F23:J23"/>
    <mergeCell ref="L23:P23"/>
    <mergeCell ref="F39:J39"/>
    <mergeCell ref="L39:P3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0"/>
    <col customWidth="1" min="4" max="4" width="13.75"/>
    <col customWidth="1" min="5" max="5" width="6.63"/>
    <col customWidth="1" min="6" max="6" width="4.0"/>
    <col customWidth="1" min="7" max="17" width="5.13"/>
    <col customWidth="1" min="20" max="20" width="4.25"/>
    <col customWidth="1" min="21" max="21" width="3.88"/>
    <col customWidth="1" min="22" max="23" width="2.63"/>
    <col customWidth="1" min="24" max="25" width="1.88"/>
    <col customWidth="1" min="26" max="27" width="2.63"/>
    <col customWidth="1" min="28" max="28" width="2.88"/>
    <col customWidth="1" min="29" max="29" width="2.75"/>
    <col customWidth="1" min="30" max="42" width="2.88"/>
  </cols>
  <sheetData>
    <row r="1">
      <c r="C1" s="42" t="s">
        <v>247</v>
      </c>
      <c r="D1" s="42" t="s">
        <v>248</v>
      </c>
      <c r="F1" s="105"/>
      <c r="G1" s="150" t="s">
        <v>67</v>
      </c>
      <c r="H1" s="150" t="s">
        <v>70</v>
      </c>
      <c r="I1" s="150" t="s">
        <v>79</v>
      </c>
      <c r="J1" s="150" t="s">
        <v>88</v>
      </c>
      <c r="K1" s="150" t="s">
        <v>98</v>
      </c>
      <c r="L1" s="150" t="s">
        <v>101</v>
      </c>
      <c r="M1" s="150" t="s">
        <v>117</v>
      </c>
      <c r="N1" s="150" t="s">
        <v>120</v>
      </c>
      <c r="O1" s="150" t="s">
        <v>123</v>
      </c>
      <c r="P1" s="150" t="s">
        <v>126</v>
      </c>
      <c r="Q1" s="150" t="s">
        <v>145</v>
      </c>
      <c r="T1" s="151"/>
      <c r="U1" s="152" t="s">
        <v>165</v>
      </c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4"/>
    </row>
    <row r="2">
      <c r="A2" s="104" t="s">
        <v>177</v>
      </c>
      <c r="B2" s="104">
        <v>39906.97</v>
      </c>
      <c r="C2" s="42">
        <v>36861.02</v>
      </c>
      <c r="D2" s="42">
        <v>36720.88</v>
      </c>
      <c r="F2" s="150" t="s">
        <v>67</v>
      </c>
      <c r="G2" s="105">
        <v>1.0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S2" s="114"/>
      <c r="T2" s="155" t="s">
        <v>167</v>
      </c>
      <c r="U2" s="83">
        <v>3.0</v>
      </c>
      <c r="V2" s="83">
        <v>4.0</v>
      </c>
      <c r="W2" s="83">
        <v>5.0</v>
      </c>
      <c r="X2" s="83">
        <v>6.0</v>
      </c>
      <c r="Y2" s="83">
        <v>7.0</v>
      </c>
      <c r="Z2" s="83">
        <v>8.0</v>
      </c>
      <c r="AA2" s="83">
        <v>9.0</v>
      </c>
      <c r="AB2" s="83">
        <v>10.0</v>
      </c>
      <c r="AC2" s="83">
        <v>11.0</v>
      </c>
      <c r="AD2" s="83">
        <v>12.0</v>
      </c>
      <c r="AE2" s="83">
        <v>13.0</v>
      </c>
      <c r="AF2" s="83">
        <v>14.0</v>
      </c>
      <c r="AG2" s="83">
        <v>15.0</v>
      </c>
      <c r="AH2" s="83">
        <v>16.0</v>
      </c>
      <c r="AI2" s="83">
        <v>17.0</v>
      </c>
      <c r="AJ2" s="83">
        <v>18.0</v>
      </c>
      <c r="AK2" s="83">
        <v>19.0</v>
      </c>
      <c r="AL2" s="83">
        <v>20.0</v>
      </c>
      <c r="AM2" s="83">
        <v>21.0</v>
      </c>
      <c r="AN2" s="83">
        <v>22.0</v>
      </c>
      <c r="AO2" s="83">
        <v>23.0</v>
      </c>
      <c r="AP2" s="156">
        <v>24.0</v>
      </c>
    </row>
    <row r="3">
      <c r="A3" s="104" t="s">
        <v>178</v>
      </c>
      <c r="B3" s="104">
        <v>50886.05</v>
      </c>
      <c r="C3" s="42">
        <v>37254.81</v>
      </c>
      <c r="D3" s="42">
        <v>37125.18</v>
      </c>
      <c r="F3" s="150" t="s">
        <v>70</v>
      </c>
      <c r="G3" s="105">
        <v>0.26</v>
      </c>
      <c r="H3" s="105">
        <v>1.0</v>
      </c>
      <c r="I3" s="105"/>
      <c r="J3" s="105"/>
      <c r="K3" s="105"/>
      <c r="L3" s="105"/>
      <c r="M3" s="105"/>
      <c r="N3" s="105"/>
      <c r="O3" s="105"/>
      <c r="P3" s="105"/>
      <c r="Q3" s="105"/>
      <c r="S3" s="114"/>
      <c r="T3" s="157" t="s">
        <v>67</v>
      </c>
      <c r="AF3" s="42">
        <v>1.0</v>
      </c>
      <c r="AH3" s="42">
        <v>1.0</v>
      </c>
      <c r="AP3" s="85"/>
    </row>
    <row r="4">
      <c r="A4" s="104" t="s">
        <v>249</v>
      </c>
      <c r="B4" s="104">
        <v>52977.05</v>
      </c>
      <c r="C4" s="42">
        <v>37329.81</v>
      </c>
      <c r="D4" s="42">
        <v>37202.18</v>
      </c>
      <c r="F4" s="150" t="s">
        <v>79</v>
      </c>
      <c r="G4" s="105">
        <v>0.29</v>
      </c>
      <c r="H4" s="105">
        <v>0.25</v>
      </c>
      <c r="I4" s="105">
        <v>1.0</v>
      </c>
      <c r="J4" s="105"/>
      <c r="K4" s="105"/>
      <c r="L4" s="105"/>
      <c r="M4" s="105"/>
      <c r="N4" s="105"/>
      <c r="O4" s="105"/>
      <c r="P4" s="105"/>
      <c r="Q4" s="105"/>
      <c r="S4" s="114"/>
      <c r="T4" s="157" t="s">
        <v>70</v>
      </c>
      <c r="AK4" s="42">
        <v>1.0</v>
      </c>
      <c r="AN4" s="42">
        <v>1.0</v>
      </c>
      <c r="AP4" s="158">
        <v>1.0</v>
      </c>
    </row>
    <row r="5">
      <c r="A5" s="104" t="s">
        <v>250</v>
      </c>
      <c r="B5" s="104">
        <v>44243.71</v>
      </c>
      <c r="C5" s="42">
        <v>37016.57</v>
      </c>
      <c r="D5" s="42">
        <v>36880.58</v>
      </c>
      <c r="F5" s="150" t="s">
        <v>88</v>
      </c>
      <c r="G5" s="105">
        <v>0.3</v>
      </c>
      <c r="H5" s="105">
        <v>0.26</v>
      </c>
      <c r="I5" s="105">
        <v>0.42</v>
      </c>
      <c r="J5" s="105">
        <v>1.0</v>
      </c>
      <c r="K5" s="105"/>
      <c r="L5" s="105"/>
      <c r="M5" s="105"/>
      <c r="N5" s="105"/>
      <c r="O5" s="105"/>
      <c r="P5" s="105"/>
      <c r="Q5" s="105"/>
      <c r="S5" s="114"/>
      <c r="T5" s="159" t="s">
        <v>79</v>
      </c>
      <c r="U5" s="91"/>
      <c r="V5" s="91"/>
      <c r="W5" s="91"/>
      <c r="X5" s="92">
        <v>1.0</v>
      </c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6"/>
    </row>
    <row r="6">
      <c r="A6" s="160" t="s">
        <v>251</v>
      </c>
      <c r="B6" s="160">
        <v>0.0561</v>
      </c>
      <c r="C6" s="42">
        <v>0.033</v>
      </c>
      <c r="F6" s="150" t="s">
        <v>98</v>
      </c>
      <c r="G6" s="105">
        <v>0.18</v>
      </c>
      <c r="H6" s="105">
        <v>0.11</v>
      </c>
      <c r="I6" s="105">
        <v>0.07</v>
      </c>
      <c r="J6" s="105">
        <v>0.14</v>
      </c>
      <c r="K6" s="105">
        <v>1.0</v>
      </c>
      <c r="L6" s="105"/>
      <c r="M6" s="105"/>
      <c r="N6" s="105"/>
      <c r="O6" s="105"/>
      <c r="P6" s="105"/>
      <c r="Q6" s="105"/>
      <c r="S6" s="114"/>
      <c r="T6" s="161" t="s">
        <v>88</v>
      </c>
      <c r="U6" s="42">
        <v>1.0</v>
      </c>
      <c r="Z6" s="42">
        <v>1.0</v>
      </c>
      <c r="AL6" s="42">
        <v>1.0</v>
      </c>
      <c r="AP6" s="85"/>
    </row>
    <row r="7">
      <c r="A7" s="42" t="s">
        <v>180</v>
      </c>
      <c r="F7" s="150" t="s">
        <v>101</v>
      </c>
      <c r="G7" s="105">
        <v>0.48</v>
      </c>
      <c r="H7" s="105">
        <v>0.49</v>
      </c>
      <c r="I7" s="105">
        <v>0.6</v>
      </c>
      <c r="J7" s="105">
        <v>0.63</v>
      </c>
      <c r="K7" s="105">
        <v>0.2</v>
      </c>
      <c r="L7" s="105">
        <v>1.0</v>
      </c>
      <c r="M7" s="105"/>
      <c r="N7" s="105"/>
      <c r="O7" s="105"/>
      <c r="P7" s="105"/>
      <c r="Q7" s="105"/>
      <c r="S7" s="114"/>
      <c r="T7" s="162" t="s">
        <v>98</v>
      </c>
      <c r="Y7" s="42">
        <v>1.0</v>
      </c>
      <c r="AI7" s="42">
        <v>1.0</v>
      </c>
      <c r="AK7" s="97"/>
      <c r="AP7" s="85"/>
    </row>
    <row r="8">
      <c r="F8" s="150" t="s">
        <v>117</v>
      </c>
      <c r="G8" s="105">
        <v>0.02</v>
      </c>
      <c r="H8" s="105">
        <v>0.05</v>
      </c>
      <c r="I8" s="105">
        <v>0.03</v>
      </c>
      <c r="J8" s="105">
        <v>0.0</v>
      </c>
      <c r="K8" s="105">
        <v>0.05</v>
      </c>
      <c r="L8" s="105">
        <v>-0.01</v>
      </c>
      <c r="M8" s="105">
        <v>1.0</v>
      </c>
      <c r="N8" s="105"/>
      <c r="O8" s="105"/>
      <c r="P8" s="105"/>
      <c r="Q8" s="105"/>
      <c r="S8" s="114"/>
      <c r="T8" s="162" t="s">
        <v>101</v>
      </c>
      <c r="V8" s="42">
        <v>1.0</v>
      </c>
      <c r="W8" s="42">
        <v>1.0</v>
      </c>
      <c r="AA8" s="42">
        <v>1.0</v>
      </c>
      <c r="AM8" s="42">
        <v>1.0</v>
      </c>
      <c r="AP8" s="85"/>
    </row>
    <row r="9">
      <c r="F9" s="150" t="s">
        <v>120</v>
      </c>
      <c r="G9" s="105">
        <v>0.12</v>
      </c>
      <c r="H9" s="105">
        <v>0.2</v>
      </c>
      <c r="I9" s="105">
        <v>0.2</v>
      </c>
      <c r="J9" s="105">
        <v>0.23</v>
      </c>
      <c r="K9" s="105">
        <v>0.13</v>
      </c>
      <c r="L9" s="105">
        <v>0.29</v>
      </c>
      <c r="M9" s="105">
        <v>0.04</v>
      </c>
      <c r="N9" s="105">
        <v>1.0</v>
      </c>
      <c r="O9" s="105"/>
      <c r="P9" s="105"/>
      <c r="Q9" s="105"/>
      <c r="S9" s="114"/>
      <c r="T9" s="163" t="s">
        <v>117</v>
      </c>
      <c r="AE9" s="42">
        <v>1.0</v>
      </c>
      <c r="AP9" s="85"/>
    </row>
    <row r="10">
      <c r="F10" s="150" t="s">
        <v>123</v>
      </c>
      <c r="G10" s="105">
        <v>0.28</v>
      </c>
      <c r="H10" s="105">
        <v>0.34</v>
      </c>
      <c r="I10" s="105">
        <v>0.43</v>
      </c>
      <c r="J10" s="105">
        <v>0.48</v>
      </c>
      <c r="K10" s="105">
        <v>0.1</v>
      </c>
      <c r="L10" s="105">
        <v>0.62</v>
      </c>
      <c r="M10" s="105">
        <v>-0.01</v>
      </c>
      <c r="N10" s="105">
        <v>0.27</v>
      </c>
      <c r="O10" s="105">
        <v>1.0</v>
      </c>
      <c r="P10" s="105"/>
      <c r="Q10" s="105"/>
      <c r="S10" s="114"/>
      <c r="T10" s="163" t="s">
        <v>120</v>
      </c>
      <c r="AG10" s="42">
        <v>1.0</v>
      </c>
      <c r="AP10" s="85"/>
    </row>
    <row r="11">
      <c r="F11" s="150" t="s">
        <v>126</v>
      </c>
      <c r="G11" s="105">
        <v>0.44</v>
      </c>
      <c r="H11" s="105">
        <v>0.49</v>
      </c>
      <c r="I11" s="105">
        <v>0.56</v>
      </c>
      <c r="J11" s="105">
        <v>0.59</v>
      </c>
      <c r="K11" s="105">
        <v>0.22</v>
      </c>
      <c r="L11" s="105">
        <v>0.82</v>
      </c>
      <c r="M11" s="105">
        <v>0.0</v>
      </c>
      <c r="N11" s="105">
        <v>0.25</v>
      </c>
      <c r="O11" s="105">
        <v>0.63</v>
      </c>
      <c r="P11" s="105">
        <v>1.0</v>
      </c>
      <c r="Q11" s="105"/>
      <c r="S11" s="114"/>
      <c r="T11" s="163" t="s">
        <v>123</v>
      </c>
      <c r="AO11" s="42">
        <v>1.0</v>
      </c>
      <c r="AP11" s="85"/>
    </row>
    <row r="12">
      <c r="F12" s="150" t="s">
        <v>145</v>
      </c>
      <c r="G12" s="105">
        <v>0.15</v>
      </c>
      <c r="H12" s="105">
        <v>0.18</v>
      </c>
      <c r="I12" s="105">
        <v>0.11</v>
      </c>
      <c r="J12" s="105">
        <v>0.23</v>
      </c>
      <c r="K12" s="105">
        <v>0.09</v>
      </c>
      <c r="L12" s="105">
        <v>0.3</v>
      </c>
      <c r="M12" s="105">
        <v>-0.13</v>
      </c>
      <c r="N12" s="105">
        <v>0.13</v>
      </c>
      <c r="O12" s="105">
        <v>0.22</v>
      </c>
      <c r="P12" s="105">
        <v>0.29</v>
      </c>
      <c r="Q12" s="105">
        <v>1.0</v>
      </c>
      <c r="S12" s="114"/>
      <c r="T12" s="163" t="s">
        <v>126</v>
      </c>
      <c r="AB12" s="42">
        <v>1.0</v>
      </c>
      <c r="AC12" s="42">
        <v>1.0</v>
      </c>
      <c r="AD12" s="42">
        <v>1.0</v>
      </c>
      <c r="AP12" s="85"/>
    </row>
    <row r="13">
      <c r="S13" s="114"/>
      <c r="T13" s="164" t="s">
        <v>145</v>
      </c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2">
        <v>1.0</v>
      </c>
      <c r="AK13" s="91"/>
      <c r="AL13" s="91"/>
      <c r="AM13" s="91"/>
      <c r="AN13" s="91"/>
      <c r="AO13" s="91"/>
      <c r="AP13" s="96"/>
    </row>
    <row r="14">
      <c r="A14" s="105"/>
      <c r="B14" s="165" t="s">
        <v>252</v>
      </c>
      <c r="C14" s="165" t="s">
        <v>253</v>
      </c>
      <c r="D14" s="165" t="s">
        <v>254</v>
      </c>
      <c r="E14" s="165" t="s">
        <v>255</v>
      </c>
      <c r="G14" s="150" t="s">
        <v>67</v>
      </c>
      <c r="H14" s="150" t="s">
        <v>70</v>
      </c>
      <c r="I14" s="150" t="s">
        <v>79</v>
      </c>
      <c r="J14" s="150" t="s">
        <v>88</v>
      </c>
      <c r="K14" s="150" t="s">
        <v>98</v>
      </c>
      <c r="L14" s="150" t="s">
        <v>101</v>
      </c>
      <c r="M14" s="150" t="s">
        <v>117</v>
      </c>
      <c r="N14" s="150" t="s">
        <v>120</v>
      </c>
      <c r="O14" s="150" t="s">
        <v>123</v>
      </c>
      <c r="P14" s="150" t="s">
        <v>126</v>
      </c>
      <c r="Q14" s="150" t="s">
        <v>145</v>
      </c>
      <c r="S14" s="114"/>
    </row>
    <row r="15">
      <c r="A15" s="165">
        <v>3.0</v>
      </c>
      <c r="B15" s="166">
        <v>1.0E-4</v>
      </c>
      <c r="C15" s="166">
        <v>0.1859</v>
      </c>
      <c r="D15" s="166">
        <v>0.0122</v>
      </c>
      <c r="E15" s="166">
        <v>0.0337</v>
      </c>
      <c r="G15" s="167">
        <v>0.9999</v>
      </c>
      <c r="H15" s="167">
        <v>0.9999</v>
      </c>
      <c r="I15" s="167">
        <v>0.9999</v>
      </c>
      <c r="J15" s="167">
        <v>0.971</v>
      </c>
      <c r="K15" s="167">
        <v>0.9999</v>
      </c>
      <c r="L15" s="167">
        <v>0.9636</v>
      </c>
      <c r="M15" s="167">
        <v>0.9999</v>
      </c>
      <c r="N15" s="167">
        <v>0.9999</v>
      </c>
      <c r="O15" s="167">
        <v>0.9999</v>
      </c>
      <c r="P15" s="167">
        <v>0.959</v>
      </c>
      <c r="Q15" s="167">
        <v>0.9999</v>
      </c>
      <c r="S15" s="114"/>
    </row>
    <row r="16">
      <c r="A16" s="165">
        <v>4.0</v>
      </c>
      <c r="B16" s="168">
        <v>0.1219</v>
      </c>
      <c r="C16" s="166">
        <v>0.1581</v>
      </c>
      <c r="D16" s="166">
        <v>0.012</v>
      </c>
      <c r="E16" s="166">
        <v>0.0207</v>
      </c>
      <c r="S16" s="114"/>
      <c r="T16" s="105"/>
      <c r="U16" s="169">
        <v>3.0</v>
      </c>
      <c r="V16" s="169">
        <v>4.0</v>
      </c>
      <c r="W16" s="169">
        <v>5.0</v>
      </c>
      <c r="X16" s="169">
        <v>6.0</v>
      </c>
      <c r="Y16" s="169">
        <v>7.0</v>
      </c>
      <c r="Z16" s="169">
        <v>8.0</v>
      </c>
      <c r="AA16" s="169">
        <v>9.0</v>
      </c>
      <c r="AB16" s="169">
        <v>10.0</v>
      </c>
      <c r="AC16" s="169">
        <v>11.0</v>
      </c>
      <c r="AD16" s="169">
        <v>12.0</v>
      </c>
      <c r="AE16" s="169">
        <v>13.0</v>
      </c>
      <c r="AF16" s="169">
        <v>14.0</v>
      </c>
      <c r="AG16" s="169">
        <v>15.0</v>
      </c>
      <c r="AH16" s="169">
        <v>16.0</v>
      </c>
      <c r="AI16" s="169">
        <v>17.0</v>
      </c>
      <c r="AJ16" s="169">
        <v>18.0</v>
      </c>
      <c r="AK16" s="169">
        <v>19.0</v>
      </c>
      <c r="AL16" s="169">
        <v>20.0</v>
      </c>
      <c r="AM16" s="169">
        <v>21.0</v>
      </c>
      <c r="AN16" s="169">
        <v>22.0</v>
      </c>
      <c r="AO16" s="169">
        <v>23.0</v>
      </c>
      <c r="AP16" s="169">
        <v>24.0</v>
      </c>
    </row>
    <row r="17">
      <c r="A17" s="165">
        <v>5.0</v>
      </c>
      <c r="B17" s="168">
        <v>0.245</v>
      </c>
      <c r="C17" s="166">
        <v>0.1799</v>
      </c>
      <c r="D17" s="166">
        <v>0.015</v>
      </c>
      <c r="E17" s="166">
        <v>0.0209</v>
      </c>
      <c r="G17" s="170" t="s">
        <v>256</v>
      </c>
      <c r="S17" s="114"/>
      <c r="T17" s="171" t="s">
        <v>67</v>
      </c>
      <c r="U17" s="105">
        <v>0.0</v>
      </c>
      <c r="V17" s="105" t="s">
        <v>174</v>
      </c>
      <c r="W17" s="105" t="s">
        <v>174</v>
      </c>
      <c r="X17" s="105">
        <v>0.0</v>
      </c>
      <c r="Y17" s="105">
        <v>0.0</v>
      </c>
      <c r="Z17" s="105" t="s">
        <v>174</v>
      </c>
      <c r="AA17" s="105" t="s">
        <v>174</v>
      </c>
      <c r="AB17" s="105" t="s">
        <v>174</v>
      </c>
      <c r="AC17" s="105" t="s">
        <v>174</v>
      </c>
      <c r="AD17" s="105" t="s">
        <v>174</v>
      </c>
      <c r="AE17" s="105">
        <v>0.0</v>
      </c>
      <c r="AF17" s="105">
        <v>1.0</v>
      </c>
      <c r="AG17" s="105">
        <v>0.0</v>
      </c>
      <c r="AH17" s="105">
        <v>1.0</v>
      </c>
      <c r="AI17" s="105" t="s">
        <v>174</v>
      </c>
      <c r="AJ17" s="105">
        <v>0.0</v>
      </c>
      <c r="AK17" s="105" t="s">
        <v>174</v>
      </c>
      <c r="AL17" s="105" t="s">
        <v>174</v>
      </c>
      <c r="AM17" s="105" t="s">
        <v>174</v>
      </c>
      <c r="AN17" s="105">
        <v>0.0</v>
      </c>
      <c r="AO17" s="105">
        <v>0.0</v>
      </c>
      <c r="AP17" s="105" t="s">
        <v>174</v>
      </c>
    </row>
    <row r="18">
      <c r="A18" s="165">
        <v>6.0</v>
      </c>
      <c r="B18" s="168">
        <v>1.0E-4</v>
      </c>
      <c r="C18" s="166">
        <v>1.0E-4</v>
      </c>
      <c r="D18" s="166">
        <v>0.0389</v>
      </c>
      <c r="E18" s="166">
        <v>0.0475</v>
      </c>
      <c r="G18" s="170" t="s">
        <v>257</v>
      </c>
      <c r="S18" s="114"/>
      <c r="T18" s="171" t="s">
        <v>70</v>
      </c>
      <c r="U18" s="105">
        <v>0.0</v>
      </c>
      <c r="V18" s="105" t="s">
        <v>174</v>
      </c>
      <c r="W18" s="105" t="s">
        <v>174</v>
      </c>
      <c r="X18" s="105">
        <v>0.0</v>
      </c>
      <c r="Y18" s="105">
        <v>0.0</v>
      </c>
      <c r="Z18" s="105" t="s">
        <v>174</v>
      </c>
      <c r="AA18" s="105" t="s">
        <v>174</v>
      </c>
      <c r="AB18" s="105" t="s">
        <v>174</v>
      </c>
      <c r="AC18" s="105" t="s">
        <v>174</v>
      </c>
      <c r="AD18" s="105" t="s">
        <v>174</v>
      </c>
      <c r="AE18" s="105">
        <v>0.0</v>
      </c>
      <c r="AF18" s="105" t="s">
        <v>174</v>
      </c>
      <c r="AG18" s="105">
        <v>0.0</v>
      </c>
      <c r="AH18" s="105">
        <v>0.0</v>
      </c>
      <c r="AI18" s="105" t="s">
        <v>174</v>
      </c>
      <c r="AJ18" s="105">
        <v>0.0</v>
      </c>
      <c r="AK18" s="105">
        <v>1.0</v>
      </c>
      <c r="AL18" s="105" t="s">
        <v>174</v>
      </c>
      <c r="AM18" s="105" t="s">
        <v>174</v>
      </c>
      <c r="AN18" s="105">
        <v>1.0</v>
      </c>
      <c r="AO18" s="105">
        <v>0.0</v>
      </c>
      <c r="AP18" s="105">
        <v>1.0</v>
      </c>
    </row>
    <row r="19">
      <c r="A19" s="165">
        <v>7.0</v>
      </c>
      <c r="B19" s="168">
        <v>1.0E-4</v>
      </c>
      <c r="C19" s="166">
        <v>1.0E-4</v>
      </c>
      <c r="D19" s="166">
        <v>0.0317</v>
      </c>
      <c r="E19" s="166">
        <v>0.0542</v>
      </c>
      <c r="S19" s="114"/>
      <c r="T19" s="171" t="s">
        <v>79</v>
      </c>
      <c r="U19" s="105">
        <v>0.0</v>
      </c>
      <c r="V19" s="105" t="s">
        <v>174</v>
      </c>
      <c r="W19" s="105" t="s">
        <v>174</v>
      </c>
      <c r="X19" s="105">
        <v>1.0</v>
      </c>
      <c r="Y19" s="105">
        <v>0.0</v>
      </c>
      <c r="Z19" s="105" t="s">
        <v>174</v>
      </c>
      <c r="AA19" s="105" t="s">
        <v>174</v>
      </c>
      <c r="AB19" s="105" t="s">
        <v>174</v>
      </c>
      <c r="AC19" s="105" t="s">
        <v>174</v>
      </c>
      <c r="AD19" s="105" t="s">
        <v>174</v>
      </c>
      <c r="AE19" s="105">
        <v>0.0</v>
      </c>
      <c r="AF19" s="105" t="s">
        <v>174</v>
      </c>
      <c r="AG19" s="105">
        <v>0.0</v>
      </c>
      <c r="AH19" s="105">
        <v>0.0</v>
      </c>
      <c r="AI19" s="105" t="s">
        <v>174</v>
      </c>
      <c r="AJ19" s="105">
        <v>0.0</v>
      </c>
      <c r="AK19" s="105" t="s">
        <v>174</v>
      </c>
      <c r="AL19" s="105" t="s">
        <v>174</v>
      </c>
      <c r="AM19" s="105" t="s">
        <v>174</v>
      </c>
      <c r="AN19" s="105">
        <v>0.0</v>
      </c>
      <c r="AO19" s="105">
        <v>0.0</v>
      </c>
      <c r="AP19" s="105" t="s">
        <v>174</v>
      </c>
    </row>
    <row r="20">
      <c r="A20" s="165">
        <v>8.0</v>
      </c>
      <c r="B20" s="168">
        <v>0.224</v>
      </c>
      <c r="C20" s="172">
        <v>0.5604</v>
      </c>
      <c r="D20" s="166">
        <v>0.0134</v>
      </c>
      <c r="E20" s="166">
        <v>0.0311</v>
      </c>
      <c r="S20" s="114"/>
      <c r="T20" s="173" t="s">
        <v>88</v>
      </c>
      <c r="U20" s="105">
        <v>1.0</v>
      </c>
      <c r="V20" s="105" t="s">
        <v>174</v>
      </c>
      <c r="W20" s="105" t="s">
        <v>174</v>
      </c>
      <c r="X20" s="105">
        <v>0.0</v>
      </c>
      <c r="Y20" s="105">
        <v>0.0</v>
      </c>
      <c r="Z20" s="105">
        <v>1.0</v>
      </c>
      <c r="AA20" s="105" t="s">
        <v>174</v>
      </c>
      <c r="AB20" s="105" t="s">
        <v>174</v>
      </c>
      <c r="AC20" s="105" t="s">
        <v>174</v>
      </c>
      <c r="AD20" s="105" t="s">
        <v>174</v>
      </c>
      <c r="AE20" s="105">
        <v>0.0</v>
      </c>
      <c r="AF20" s="105" t="s">
        <v>174</v>
      </c>
      <c r="AG20" s="105">
        <v>0.0</v>
      </c>
      <c r="AH20" s="105">
        <v>0.0</v>
      </c>
      <c r="AI20" s="105" t="s">
        <v>174</v>
      </c>
      <c r="AJ20" s="105">
        <v>0.0</v>
      </c>
      <c r="AK20" s="105" t="s">
        <v>174</v>
      </c>
      <c r="AL20" s="105">
        <v>1.0</v>
      </c>
      <c r="AM20" s="105" t="s">
        <v>174</v>
      </c>
      <c r="AN20" s="105">
        <v>0.0</v>
      </c>
      <c r="AO20" s="105">
        <v>0.0</v>
      </c>
      <c r="AP20" s="105" t="s">
        <v>174</v>
      </c>
    </row>
    <row r="21">
      <c r="A21" s="165">
        <v>9.0</v>
      </c>
      <c r="B21" s="174">
        <v>0.5711</v>
      </c>
      <c r="C21" s="166">
        <v>0.1404</v>
      </c>
      <c r="D21" s="166">
        <v>0.0166</v>
      </c>
      <c r="E21" s="166">
        <v>0.0182</v>
      </c>
      <c r="T21" s="175" t="s">
        <v>98</v>
      </c>
      <c r="U21" s="105">
        <v>0.0</v>
      </c>
      <c r="V21" s="105" t="s">
        <v>174</v>
      </c>
      <c r="W21" s="105" t="s">
        <v>174</v>
      </c>
      <c r="X21" s="105">
        <v>0.0</v>
      </c>
      <c r="Y21" s="105">
        <v>1.0</v>
      </c>
      <c r="Z21" s="105" t="s">
        <v>174</v>
      </c>
      <c r="AA21" s="105" t="s">
        <v>174</v>
      </c>
      <c r="AB21" s="105" t="s">
        <v>174</v>
      </c>
      <c r="AC21" s="105" t="s">
        <v>174</v>
      </c>
      <c r="AD21" s="105" t="s">
        <v>174</v>
      </c>
      <c r="AE21" s="105">
        <v>0.0</v>
      </c>
      <c r="AF21" s="105" t="s">
        <v>174</v>
      </c>
      <c r="AG21" s="105">
        <v>0.0</v>
      </c>
      <c r="AH21" s="105">
        <v>0.0</v>
      </c>
      <c r="AI21" s="105">
        <v>1.0</v>
      </c>
      <c r="AJ21" s="105">
        <v>0.0</v>
      </c>
      <c r="AK21" s="105" t="s">
        <v>174</v>
      </c>
      <c r="AL21" s="105" t="s">
        <v>174</v>
      </c>
      <c r="AM21" s="105" t="s">
        <v>174</v>
      </c>
      <c r="AN21" s="105">
        <v>0.0</v>
      </c>
      <c r="AO21" s="105">
        <v>0.0</v>
      </c>
      <c r="AP21" s="105" t="s">
        <v>174</v>
      </c>
    </row>
    <row r="22">
      <c r="A22" s="165">
        <v>10.0</v>
      </c>
      <c r="B22" s="168">
        <v>0.1235</v>
      </c>
      <c r="C22" s="166">
        <v>0.224</v>
      </c>
      <c r="D22" s="166">
        <v>0.0118</v>
      </c>
      <c r="E22" s="166">
        <v>0.0236</v>
      </c>
      <c r="S22" s="114"/>
      <c r="T22" s="175" t="s">
        <v>101</v>
      </c>
      <c r="U22" s="105">
        <v>0.0</v>
      </c>
      <c r="V22" s="105">
        <v>1.0</v>
      </c>
      <c r="W22" s="105">
        <v>1.0</v>
      </c>
      <c r="X22" s="105">
        <v>0.0</v>
      </c>
      <c r="Y22" s="105">
        <v>0.0</v>
      </c>
      <c r="Z22" s="105" t="s">
        <v>174</v>
      </c>
      <c r="AA22" s="105">
        <v>1.0</v>
      </c>
      <c r="AB22" s="105">
        <v>0.0</v>
      </c>
      <c r="AC22" s="105">
        <v>0.0</v>
      </c>
      <c r="AD22" s="105">
        <v>0.0</v>
      </c>
      <c r="AE22" s="105">
        <v>0.0</v>
      </c>
      <c r="AF22" s="105" t="s">
        <v>174</v>
      </c>
      <c r="AG22" s="105">
        <v>0.0</v>
      </c>
      <c r="AH22" s="105">
        <v>0.0</v>
      </c>
      <c r="AI22" s="105" t="s">
        <v>174</v>
      </c>
      <c r="AJ22" s="105">
        <v>0.0</v>
      </c>
      <c r="AK22" s="105" t="s">
        <v>174</v>
      </c>
      <c r="AL22" s="105">
        <v>0.0</v>
      </c>
      <c r="AM22" s="105">
        <v>1.0</v>
      </c>
      <c r="AN22" s="105">
        <v>0.0</v>
      </c>
      <c r="AO22" s="105">
        <v>0.0</v>
      </c>
      <c r="AP22" s="105" t="s">
        <v>174</v>
      </c>
    </row>
    <row r="23">
      <c r="A23" s="165">
        <v>11.0</v>
      </c>
      <c r="B23" s="168">
        <v>0.2014</v>
      </c>
      <c r="C23" s="166">
        <v>0.2575</v>
      </c>
      <c r="D23" s="166">
        <v>0.0139</v>
      </c>
      <c r="E23" s="166">
        <v>0.0238</v>
      </c>
      <c r="S23" s="114"/>
      <c r="T23" s="176" t="s">
        <v>117</v>
      </c>
      <c r="U23" s="105">
        <v>0.0</v>
      </c>
      <c r="V23" s="105" t="s">
        <v>174</v>
      </c>
      <c r="W23" s="105" t="s">
        <v>174</v>
      </c>
      <c r="X23" s="105">
        <v>0.0</v>
      </c>
      <c r="Y23" s="105">
        <v>0.0</v>
      </c>
      <c r="Z23" s="105" t="s">
        <v>174</v>
      </c>
      <c r="AA23" s="105" t="s">
        <v>174</v>
      </c>
      <c r="AB23" s="105" t="s">
        <v>174</v>
      </c>
      <c r="AC23" s="105" t="s">
        <v>174</v>
      </c>
      <c r="AD23" s="105" t="s">
        <v>174</v>
      </c>
      <c r="AE23" s="105">
        <v>1.0</v>
      </c>
      <c r="AF23" s="105" t="s">
        <v>174</v>
      </c>
      <c r="AG23" s="105">
        <v>0.0</v>
      </c>
      <c r="AH23" s="105">
        <v>0.0</v>
      </c>
      <c r="AI23" s="105" t="s">
        <v>174</v>
      </c>
      <c r="AJ23" s="105">
        <v>0.0</v>
      </c>
      <c r="AK23" s="105" t="s">
        <v>174</v>
      </c>
      <c r="AL23" s="105" t="s">
        <v>174</v>
      </c>
      <c r="AM23" s="105" t="s">
        <v>174</v>
      </c>
      <c r="AN23" s="105">
        <v>0.0</v>
      </c>
      <c r="AO23" s="105">
        <v>0.0</v>
      </c>
      <c r="AP23" s="105" t="s">
        <v>174</v>
      </c>
    </row>
    <row r="24">
      <c r="A24" s="165">
        <v>12.0</v>
      </c>
      <c r="B24" s="168">
        <v>0.1971</v>
      </c>
      <c r="C24" s="166">
        <v>0.289</v>
      </c>
      <c r="D24" s="166">
        <v>0.0138</v>
      </c>
      <c r="E24" s="166">
        <v>0.0251</v>
      </c>
      <c r="S24" s="114"/>
      <c r="T24" s="176" t="s">
        <v>120</v>
      </c>
      <c r="U24" s="105">
        <v>0.0</v>
      </c>
      <c r="V24" s="105" t="s">
        <v>174</v>
      </c>
      <c r="W24" s="105" t="s">
        <v>174</v>
      </c>
      <c r="X24" s="105">
        <v>0.0</v>
      </c>
      <c r="Y24" s="105">
        <v>0.0</v>
      </c>
      <c r="Z24" s="105" t="s">
        <v>174</v>
      </c>
      <c r="AA24" s="105" t="s">
        <v>174</v>
      </c>
      <c r="AB24" s="105" t="s">
        <v>174</v>
      </c>
      <c r="AC24" s="105" t="s">
        <v>174</v>
      </c>
      <c r="AD24" s="105" t="s">
        <v>174</v>
      </c>
      <c r="AE24" s="105">
        <v>0.0</v>
      </c>
      <c r="AF24" s="105" t="s">
        <v>174</v>
      </c>
      <c r="AG24" s="105">
        <v>1.0</v>
      </c>
      <c r="AH24" s="105">
        <v>0.0</v>
      </c>
      <c r="AI24" s="105" t="s">
        <v>174</v>
      </c>
      <c r="AJ24" s="105">
        <v>0.0</v>
      </c>
      <c r="AK24" s="105" t="s">
        <v>174</v>
      </c>
      <c r="AL24" s="105" t="s">
        <v>174</v>
      </c>
      <c r="AM24" s="105" t="s">
        <v>174</v>
      </c>
      <c r="AN24" s="105">
        <v>0.0</v>
      </c>
      <c r="AO24" s="105">
        <v>0.0</v>
      </c>
      <c r="AP24" s="105" t="s">
        <v>174</v>
      </c>
    </row>
    <row r="25">
      <c r="A25" s="165">
        <v>13.0</v>
      </c>
      <c r="B25" s="168">
        <v>1.0E-4</v>
      </c>
      <c r="C25" s="166">
        <v>1.0E-4</v>
      </c>
      <c r="D25" s="166">
        <v>0.0388</v>
      </c>
      <c r="E25" s="166">
        <v>0.0613</v>
      </c>
      <c r="T25" s="176" t="s">
        <v>123</v>
      </c>
      <c r="U25" s="105">
        <v>0.0</v>
      </c>
      <c r="V25" s="105" t="s">
        <v>174</v>
      </c>
      <c r="W25" s="105" t="s">
        <v>174</v>
      </c>
      <c r="X25" s="105">
        <v>0.0</v>
      </c>
      <c r="Y25" s="105">
        <v>0.0</v>
      </c>
      <c r="Z25" s="105" t="s">
        <v>174</v>
      </c>
      <c r="AA25" s="105" t="s">
        <v>174</v>
      </c>
      <c r="AB25" s="105" t="s">
        <v>174</v>
      </c>
      <c r="AC25" s="105" t="s">
        <v>174</v>
      </c>
      <c r="AD25" s="105" t="s">
        <v>174</v>
      </c>
      <c r="AE25" s="105">
        <v>0.0</v>
      </c>
      <c r="AF25" s="105" t="s">
        <v>174</v>
      </c>
      <c r="AG25" s="105">
        <v>0.0</v>
      </c>
      <c r="AH25" s="105">
        <v>0.0</v>
      </c>
      <c r="AI25" s="105" t="s">
        <v>174</v>
      </c>
      <c r="AJ25" s="105">
        <v>0.0</v>
      </c>
      <c r="AK25" s="105" t="s">
        <v>174</v>
      </c>
      <c r="AL25" s="105" t="s">
        <v>174</v>
      </c>
      <c r="AM25" s="105" t="s">
        <v>174</v>
      </c>
      <c r="AN25" s="105">
        <v>0.0</v>
      </c>
      <c r="AO25" s="105">
        <v>1.0</v>
      </c>
      <c r="AP25" s="105" t="s">
        <v>174</v>
      </c>
    </row>
    <row r="26">
      <c r="A26" s="165">
        <v>14.0</v>
      </c>
      <c r="B26" s="174">
        <v>0.4647</v>
      </c>
      <c r="C26" s="172">
        <v>0.5201</v>
      </c>
      <c r="D26" s="166">
        <v>0.0166</v>
      </c>
      <c r="E26" s="166">
        <v>0.0234</v>
      </c>
      <c r="T26" s="176" t="s">
        <v>126</v>
      </c>
      <c r="U26" s="105">
        <v>0.0</v>
      </c>
      <c r="V26" s="105">
        <v>0.0</v>
      </c>
      <c r="W26" s="105">
        <v>0.0</v>
      </c>
      <c r="X26" s="105">
        <v>0.0</v>
      </c>
      <c r="Y26" s="105">
        <v>0.0</v>
      </c>
      <c r="Z26" s="105" t="s">
        <v>174</v>
      </c>
      <c r="AA26" s="105" t="s">
        <v>174</v>
      </c>
      <c r="AB26" s="105">
        <v>1.0</v>
      </c>
      <c r="AC26" s="105">
        <v>1.0</v>
      </c>
      <c r="AD26" s="105">
        <v>1.0</v>
      </c>
      <c r="AE26" s="105">
        <v>0.0</v>
      </c>
      <c r="AF26" s="105" t="s">
        <v>174</v>
      </c>
      <c r="AG26" s="105">
        <v>0.0</v>
      </c>
      <c r="AH26" s="105">
        <v>0.0</v>
      </c>
      <c r="AI26" s="105" t="s">
        <v>174</v>
      </c>
      <c r="AJ26" s="105">
        <v>0.0</v>
      </c>
      <c r="AK26" s="105" t="s">
        <v>174</v>
      </c>
      <c r="AL26" s="105" t="s">
        <v>174</v>
      </c>
      <c r="AM26" s="105" t="s">
        <v>174</v>
      </c>
      <c r="AN26" s="105">
        <v>0.0</v>
      </c>
      <c r="AO26" s="105">
        <v>0.0</v>
      </c>
      <c r="AP26" s="105" t="s">
        <v>174</v>
      </c>
    </row>
    <row r="27">
      <c r="A27" s="165">
        <v>15.0</v>
      </c>
      <c r="B27" s="168">
        <v>1.0E-4</v>
      </c>
      <c r="C27" s="166">
        <v>1.0E-4</v>
      </c>
      <c r="D27" s="166">
        <v>0.0412</v>
      </c>
      <c r="E27" s="166">
        <v>0.046</v>
      </c>
      <c r="T27" s="177" t="s">
        <v>145</v>
      </c>
      <c r="U27" s="116">
        <v>0.0</v>
      </c>
      <c r="V27" s="116" t="s">
        <v>174</v>
      </c>
      <c r="W27" s="116" t="s">
        <v>174</v>
      </c>
      <c r="X27" s="105">
        <v>0.0</v>
      </c>
      <c r="Y27" s="105">
        <v>0.0</v>
      </c>
      <c r="Z27" s="105" t="s">
        <v>174</v>
      </c>
      <c r="AA27" s="105" t="s">
        <v>174</v>
      </c>
      <c r="AB27" s="105" t="s">
        <v>174</v>
      </c>
      <c r="AC27" s="105" t="s">
        <v>174</v>
      </c>
      <c r="AD27" s="105" t="s">
        <v>174</v>
      </c>
      <c r="AE27" s="105">
        <v>0.0</v>
      </c>
      <c r="AF27" s="105" t="s">
        <v>174</v>
      </c>
      <c r="AG27" s="105">
        <v>0.0</v>
      </c>
      <c r="AH27" s="105">
        <v>0.0</v>
      </c>
      <c r="AI27" s="105" t="s">
        <v>174</v>
      </c>
      <c r="AJ27" s="105">
        <v>1.0</v>
      </c>
      <c r="AK27" s="105" t="s">
        <v>174</v>
      </c>
      <c r="AL27" s="105" t="s">
        <v>174</v>
      </c>
      <c r="AM27" s="105" t="s">
        <v>174</v>
      </c>
      <c r="AN27" s="105">
        <v>0.0</v>
      </c>
      <c r="AO27" s="105">
        <v>0.0</v>
      </c>
      <c r="AP27" s="105" t="s">
        <v>174</v>
      </c>
    </row>
    <row r="28">
      <c r="A28" s="165">
        <v>16.0</v>
      </c>
      <c r="B28" s="166">
        <v>1.0E-4</v>
      </c>
      <c r="C28" s="166">
        <v>1.0E-4</v>
      </c>
      <c r="D28" s="166">
        <v>0.0228</v>
      </c>
      <c r="E28" s="166">
        <v>0.0463</v>
      </c>
    </row>
    <row r="29">
      <c r="A29" s="165">
        <v>17.0</v>
      </c>
      <c r="B29" s="172">
        <v>0.3094</v>
      </c>
      <c r="C29" s="172">
        <v>0.6634</v>
      </c>
      <c r="D29" s="166">
        <v>0.0159</v>
      </c>
      <c r="E29" s="166">
        <v>0.0213</v>
      </c>
    </row>
    <row r="30">
      <c r="A30" s="165">
        <v>18.0</v>
      </c>
      <c r="B30" s="166">
        <v>1.0E-4</v>
      </c>
      <c r="C30" s="166">
        <v>1.0E-4</v>
      </c>
      <c r="D30" s="166">
        <v>0.0228</v>
      </c>
      <c r="E30" s="166">
        <v>0.0602</v>
      </c>
    </row>
    <row r="31">
      <c r="A31" s="165">
        <v>19.0</v>
      </c>
      <c r="B31" s="172">
        <v>0.493</v>
      </c>
      <c r="C31" s="166">
        <v>0.3363</v>
      </c>
      <c r="D31" s="166">
        <v>0.0179</v>
      </c>
      <c r="E31" s="166">
        <v>0.0217</v>
      </c>
    </row>
    <row r="32">
      <c r="A32" s="165">
        <v>20.0</v>
      </c>
      <c r="B32" s="166">
        <v>0.1103</v>
      </c>
      <c r="C32" s="172">
        <v>0.7605</v>
      </c>
      <c r="D32" s="166">
        <v>0.0101</v>
      </c>
      <c r="E32" s="166">
        <v>0.0271</v>
      </c>
    </row>
    <row r="33">
      <c r="A33" s="165">
        <v>21.0</v>
      </c>
      <c r="B33" s="166">
        <v>0.2499</v>
      </c>
      <c r="C33" s="166">
        <v>0.4536</v>
      </c>
      <c r="D33" s="166">
        <v>0.0148</v>
      </c>
      <c r="E33" s="166">
        <v>0.0259</v>
      </c>
    </row>
    <row r="34">
      <c r="A34" s="165">
        <v>22.0</v>
      </c>
      <c r="B34" s="166">
        <v>1.0E-4</v>
      </c>
      <c r="C34" s="166">
        <v>1.0E-4</v>
      </c>
      <c r="D34" s="166">
        <v>0.0236</v>
      </c>
      <c r="E34" s="166">
        <v>0.0359</v>
      </c>
      <c r="X34" s="83"/>
    </row>
    <row r="35">
      <c r="A35" s="165">
        <v>23.0</v>
      </c>
      <c r="B35" s="166">
        <v>1.0E-4</v>
      </c>
      <c r="C35" s="166">
        <v>1.0E-4</v>
      </c>
      <c r="D35" s="166">
        <v>0.0161</v>
      </c>
      <c r="E35" s="166">
        <v>0.0455</v>
      </c>
      <c r="X35" s="83"/>
    </row>
    <row r="36">
      <c r="A36" s="165">
        <v>24.0</v>
      </c>
      <c r="B36" s="172">
        <v>0.6729</v>
      </c>
      <c r="C36" s="166">
        <v>0.2929</v>
      </c>
      <c r="D36" s="166">
        <v>0.0164</v>
      </c>
      <c r="E36" s="166">
        <v>0.02</v>
      </c>
      <c r="X36" s="83"/>
    </row>
    <row r="37">
      <c r="X37" s="83"/>
    </row>
    <row r="38">
      <c r="X38" s="83"/>
    </row>
    <row r="39">
      <c r="X39" s="83"/>
    </row>
    <row r="40">
      <c r="X40" s="83"/>
    </row>
    <row r="41">
      <c r="X41" s="83"/>
    </row>
    <row r="42">
      <c r="X42" s="83"/>
    </row>
    <row r="43">
      <c r="X43" s="83"/>
    </row>
    <row r="44">
      <c r="X44" s="83"/>
    </row>
    <row r="45">
      <c r="X45" s="83"/>
    </row>
    <row r="46">
      <c r="X46" s="83"/>
    </row>
    <row r="47">
      <c r="X47" s="83"/>
    </row>
    <row r="48">
      <c r="X48" s="83"/>
    </row>
    <row r="49">
      <c r="X49" s="83"/>
    </row>
    <row r="50">
      <c r="X50" s="83"/>
    </row>
    <row r="51">
      <c r="X51" s="83"/>
    </row>
    <row r="52">
      <c r="X52" s="83"/>
    </row>
    <row r="53">
      <c r="X53" s="83"/>
    </row>
    <row r="54">
      <c r="X54" s="83"/>
    </row>
    <row r="55">
      <c r="X55" s="156"/>
    </row>
  </sheetData>
  <mergeCells count="3">
    <mergeCell ref="U1:AP1"/>
    <mergeCell ref="G17:Q17"/>
    <mergeCell ref="G18:Q18"/>
  </mergeCells>
  <conditionalFormatting sqref="G2:Q12">
    <cfRule type="cellIs" dxfId="3" priority="1" operator="between">
      <formula>0.99</formula>
      <formula>0.3</formula>
    </cfRule>
  </conditionalFormatting>
  <conditionalFormatting sqref="U17:AP27">
    <cfRule type="expression" dxfId="5" priority="2">
      <formula>regexmatch(U17,"\*")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0"/>
    <col customWidth="1" min="4" max="4" width="10.88"/>
    <col customWidth="1" min="5" max="5" width="6.63"/>
    <col customWidth="1" min="6" max="10" width="5.13"/>
    <col customWidth="1" min="11" max="11" width="11.5"/>
    <col customWidth="1" min="12" max="12" width="5.13"/>
    <col customWidth="1" min="13" max="13" width="8.25"/>
    <col customWidth="1" min="14" max="14" width="6.25"/>
    <col customWidth="1" min="15" max="15" width="8.75"/>
    <col customWidth="1" min="16" max="18" width="6.25"/>
    <col customWidth="1" min="19" max="19" width="3.88"/>
    <col customWidth="1" min="20" max="20" width="6.13"/>
    <col customWidth="1" min="21" max="21" width="6.0"/>
    <col customWidth="1" min="22" max="24" width="6.13"/>
    <col customWidth="1" min="25" max="25" width="2.63"/>
    <col customWidth="1" min="26" max="26" width="2.88"/>
    <col customWidth="1" min="27" max="32" width="6.5"/>
    <col customWidth="1" min="33" max="40" width="2.88"/>
  </cols>
  <sheetData>
    <row r="1">
      <c r="D1" s="105"/>
      <c r="E1" s="126" t="s">
        <v>169</v>
      </c>
      <c r="F1" s="126" t="s">
        <v>170</v>
      </c>
      <c r="G1" s="126" t="s">
        <v>171</v>
      </c>
      <c r="H1" s="126" t="s">
        <v>172</v>
      </c>
      <c r="I1" s="126" t="s">
        <v>173</v>
      </c>
      <c r="K1" s="126" t="s">
        <v>184</v>
      </c>
      <c r="L1" s="127" t="s">
        <v>185</v>
      </c>
      <c r="M1" s="128" t="s">
        <v>186</v>
      </c>
      <c r="N1" s="57"/>
      <c r="O1" s="126" t="s">
        <v>184</v>
      </c>
      <c r="P1" s="127" t="s">
        <v>185</v>
      </c>
      <c r="Q1" s="128" t="s">
        <v>186</v>
      </c>
      <c r="R1" s="57"/>
      <c r="S1" s="101" t="s">
        <v>165</v>
      </c>
      <c r="AA1" s="101" t="s">
        <v>258</v>
      </c>
    </row>
    <row r="2">
      <c r="A2" s="104" t="s">
        <v>177</v>
      </c>
      <c r="B2" s="104">
        <v>36842.56</v>
      </c>
      <c r="D2" s="126" t="s">
        <v>169</v>
      </c>
      <c r="E2" s="105">
        <v>1.0</v>
      </c>
      <c r="F2" s="105"/>
      <c r="G2" s="105"/>
      <c r="H2" s="105"/>
      <c r="I2" s="105"/>
      <c r="K2" s="130" t="s">
        <v>188</v>
      </c>
      <c r="L2" s="131">
        <v>0.97923976</v>
      </c>
      <c r="M2" s="132">
        <v>811.0</v>
      </c>
      <c r="N2" s="57"/>
      <c r="O2" s="130"/>
      <c r="P2" s="131"/>
      <c r="Q2" s="132"/>
      <c r="R2" s="57"/>
      <c r="S2" s="102" t="s">
        <v>167</v>
      </c>
      <c r="T2" s="102" t="s">
        <v>169</v>
      </c>
      <c r="U2" s="102" t="s">
        <v>170</v>
      </c>
      <c r="V2" s="102" t="s">
        <v>171</v>
      </c>
      <c r="W2" s="102" t="s">
        <v>172</v>
      </c>
      <c r="X2" s="102" t="s">
        <v>173</v>
      </c>
      <c r="AA2" s="102" t="s">
        <v>167</v>
      </c>
      <c r="AB2" s="102" t="s">
        <v>169</v>
      </c>
      <c r="AC2" s="102" t="s">
        <v>170</v>
      </c>
      <c r="AD2" s="102" t="s">
        <v>171</v>
      </c>
      <c r="AE2" s="102" t="s">
        <v>172</v>
      </c>
      <c r="AF2" s="102" t="s">
        <v>173</v>
      </c>
    </row>
    <row r="3">
      <c r="A3" s="104" t="s">
        <v>178</v>
      </c>
      <c r="B3" s="104">
        <v>37236.36</v>
      </c>
      <c r="D3" s="126" t="s">
        <v>170</v>
      </c>
      <c r="E3" s="178">
        <v>0.93</v>
      </c>
      <c r="F3" s="105">
        <v>1.0</v>
      </c>
      <c r="G3" s="105"/>
      <c r="H3" s="105"/>
      <c r="I3" s="105"/>
      <c r="K3" s="130" t="s">
        <v>232</v>
      </c>
      <c r="L3" s="135">
        <v>0.0</v>
      </c>
      <c r="M3" s="132" t="s">
        <v>259</v>
      </c>
      <c r="O3" s="130"/>
      <c r="P3" s="135"/>
      <c r="Q3" s="132"/>
      <c r="S3" s="105">
        <v>3.0</v>
      </c>
      <c r="T3" s="106">
        <v>0.0</v>
      </c>
      <c r="U3" s="107">
        <v>1.0</v>
      </c>
      <c r="V3" s="107">
        <v>0.0</v>
      </c>
      <c r="W3" s="107">
        <v>0.0</v>
      </c>
      <c r="X3" s="107">
        <v>0.0</v>
      </c>
      <c r="AA3" s="105">
        <v>3.0</v>
      </c>
      <c r="AB3" s="107">
        <v>0.0</v>
      </c>
      <c r="AC3" s="107">
        <v>1.0</v>
      </c>
      <c r="AD3" s="107">
        <v>0.0</v>
      </c>
      <c r="AE3" s="107">
        <v>0.0</v>
      </c>
      <c r="AF3" s="107">
        <v>0.0</v>
      </c>
    </row>
    <row r="4">
      <c r="A4" s="104" t="s">
        <v>249</v>
      </c>
      <c r="B4" s="104"/>
      <c r="D4" s="126" t="s">
        <v>171</v>
      </c>
      <c r="E4" s="178">
        <v>0.99</v>
      </c>
      <c r="F4" s="178">
        <v>0.95</v>
      </c>
      <c r="G4" s="105">
        <v>1.0</v>
      </c>
      <c r="H4" s="105"/>
      <c r="I4" s="105"/>
      <c r="K4" s="130" t="s">
        <v>190</v>
      </c>
      <c r="L4" s="135">
        <v>0.04155576</v>
      </c>
      <c r="M4" s="132">
        <v>2.0</v>
      </c>
      <c r="O4" s="130"/>
      <c r="P4" s="135"/>
      <c r="Q4" s="132"/>
      <c r="S4" s="105">
        <v>4.0</v>
      </c>
      <c r="T4" s="106">
        <v>0.0</v>
      </c>
      <c r="U4" s="107">
        <v>0.0</v>
      </c>
      <c r="V4" s="107">
        <v>1.0</v>
      </c>
      <c r="W4" s="107">
        <v>0.0</v>
      </c>
      <c r="X4" s="107">
        <v>0.0</v>
      </c>
      <c r="AA4" s="105">
        <v>4.0</v>
      </c>
      <c r="AB4" s="107">
        <v>0.0</v>
      </c>
      <c r="AC4" s="107">
        <v>0.0</v>
      </c>
      <c r="AD4" s="107">
        <v>1.0</v>
      </c>
      <c r="AE4" s="107">
        <v>0.0</v>
      </c>
      <c r="AF4" s="107">
        <v>0.0</v>
      </c>
      <c r="AN4" s="57"/>
    </row>
    <row r="5">
      <c r="A5" s="104" t="s">
        <v>250</v>
      </c>
      <c r="B5" s="104"/>
      <c r="D5" s="126" t="s">
        <v>172</v>
      </c>
      <c r="E5" s="178">
        <v>0.98</v>
      </c>
      <c r="F5" s="178">
        <v>0.96</v>
      </c>
      <c r="G5" s="178">
        <v>0.99</v>
      </c>
      <c r="H5" s="105">
        <v>1.0</v>
      </c>
      <c r="I5" s="105"/>
      <c r="K5" s="130" t="s">
        <v>260</v>
      </c>
      <c r="L5" s="135">
        <v>0.0</v>
      </c>
      <c r="M5" s="132" t="s">
        <v>259</v>
      </c>
      <c r="O5" s="130"/>
      <c r="P5" s="135"/>
      <c r="Q5" s="132"/>
      <c r="S5" s="105">
        <v>5.0</v>
      </c>
      <c r="T5" s="106">
        <v>0.0</v>
      </c>
      <c r="U5" s="107">
        <v>0.0</v>
      </c>
      <c r="V5" s="107">
        <v>1.0</v>
      </c>
      <c r="W5" s="107">
        <v>0.0</v>
      </c>
      <c r="X5" s="107">
        <v>0.0</v>
      </c>
      <c r="AA5" s="105">
        <v>5.0</v>
      </c>
      <c r="AB5" s="107">
        <v>0.0</v>
      </c>
      <c r="AC5" s="107">
        <v>0.0</v>
      </c>
      <c r="AD5" s="107">
        <v>1.0</v>
      </c>
      <c r="AE5" s="107">
        <v>0.0</v>
      </c>
      <c r="AF5" s="107">
        <v>0.0</v>
      </c>
    </row>
    <row r="6">
      <c r="A6" s="160" t="s">
        <v>251</v>
      </c>
      <c r="B6" s="160">
        <v>0.0335</v>
      </c>
      <c r="D6" s="126" t="s">
        <v>173</v>
      </c>
      <c r="E6" s="105">
        <v>0.35</v>
      </c>
      <c r="F6" s="105">
        <v>0.36</v>
      </c>
      <c r="G6" s="105">
        <v>0.33</v>
      </c>
      <c r="H6" s="105">
        <v>0.39</v>
      </c>
      <c r="I6" s="105">
        <v>1.0</v>
      </c>
      <c r="K6" s="130" t="s">
        <v>231</v>
      </c>
      <c r="L6" s="135">
        <v>0.0</v>
      </c>
      <c r="M6" s="132" t="s">
        <v>259</v>
      </c>
      <c r="O6" s="130"/>
      <c r="P6" s="135"/>
      <c r="Q6" s="132"/>
      <c r="S6" s="105">
        <v>6.0</v>
      </c>
      <c r="T6" s="106">
        <v>1.0</v>
      </c>
      <c r="U6" s="107">
        <v>0.0</v>
      </c>
      <c r="V6" s="107">
        <v>0.0</v>
      </c>
      <c r="W6" s="107">
        <v>0.0</v>
      </c>
      <c r="X6" s="107">
        <v>0.0</v>
      </c>
      <c r="AA6" s="105">
        <v>6.0</v>
      </c>
      <c r="AB6" s="107">
        <v>1.0</v>
      </c>
      <c r="AC6" s="107">
        <v>0.0</v>
      </c>
      <c r="AD6" s="107">
        <v>0.0</v>
      </c>
      <c r="AE6" s="107">
        <v>0.0</v>
      </c>
      <c r="AF6" s="107">
        <v>0.0</v>
      </c>
    </row>
    <row r="7">
      <c r="A7" s="42" t="s">
        <v>180</v>
      </c>
      <c r="B7" s="42">
        <v>0.0175</v>
      </c>
      <c r="K7" s="130" t="s">
        <v>192</v>
      </c>
      <c r="L7" s="131">
        <v>0.87759764</v>
      </c>
      <c r="M7" s="132">
        <v>189.0</v>
      </c>
      <c r="O7" s="130"/>
      <c r="P7" s="131"/>
      <c r="Q7" s="132"/>
      <c r="S7" s="105">
        <v>7.0</v>
      </c>
      <c r="T7" s="106">
        <v>0.0</v>
      </c>
      <c r="U7" s="107">
        <v>0.0</v>
      </c>
      <c r="V7" s="107">
        <v>1.0</v>
      </c>
      <c r="W7" s="107">
        <v>0.0</v>
      </c>
      <c r="X7" s="107">
        <v>0.0</v>
      </c>
      <c r="AA7" s="105">
        <v>7.0</v>
      </c>
      <c r="AB7" s="117" t="s">
        <v>174</v>
      </c>
      <c r="AC7" s="107">
        <v>0.0</v>
      </c>
      <c r="AD7" s="107">
        <v>1.0</v>
      </c>
      <c r="AE7" s="107">
        <v>0.0</v>
      </c>
      <c r="AF7" s="117" t="s">
        <v>174</v>
      </c>
    </row>
    <row r="8">
      <c r="D8" s="143" t="s">
        <v>169</v>
      </c>
      <c r="E8" s="143" t="s">
        <v>170</v>
      </c>
      <c r="F8" s="143" t="s">
        <v>171</v>
      </c>
      <c r="G8" s="143" t="s">
        <v>172</v>
      </c>
      <c r="H8" s="143" t="s">
        <v>173</v>
      </c>
      <c r="K8" s="130" t="s">
        <v>236</v>
      </c>
      <c r="L8" s="135">
        <v>0.0</v>
      </c>
      <c r="M8" s="132" t="s">
        <v>259</v>
      </c>
      <c r="O8" s="130"/>
      <c r="P8" s="135"/>
      <c r="Q8" s="132"/>
      <c r="S8" s="105">
        <v>8.0</v>
      </c>
      <c r="T8" s="106">
        <v>0.0</v>
      </c>
      <c r="U8" s="107">
        <v>1.0</v>
      </c>
      <c r="V8" s="107">
        <v>0.0</v>
      </c>
      <c r="W8" s="107">
        <v>0.0</v>
      </c>
      <c r="X8" s="107">
        <v>0.0</v>
      </c>
      <c r="AA8" s="105">
        <v>8.0</v>
      </c>
      <c r="AB8" s="107">
        <v>0.0</v>
      </c>
      <c r="AC8" s="107">
        <v>1.0</v>
      </c>
      <c r="AD8" s="107">
        <v>0.0</v>
      </c>
      <c r="AE8" s="107">
        <v>0.0</v>
      </c>
      <c r="AF8" s="107">
        <v>0.0</v>
      </c>
    </row>
    <row r="9">
      <c r="D9" s="144">
        <v>0.9364</v>
      </c>
      <c r="E9" s="144">
        <v>0.9113</v>
      </c>
      <c r="F9" s="144">
        <v>0.9386</v>
      </c>
      <c r="G9" s="144">
        <v>0.9486</v>
      </c>
      <c r="H9" s="144">
        <v>0.9753</v>
      </c>
      <c r="K9" s="130" t="s">
        <v>195</v>
      </c>
      <c r="L9" s="135">
        <v>0.38410667</v>
      </c>
      <c r="M9" s="132">
        <v>19.0</v>
      </c>
      <c r="O9" s="130"/>
      <c r="P9" s="135"/>
      <c r="Q9" s="132"/>
      <c r="S9" s="105">
        <v>9.0</v>
      </c>
      <c r="T9" s="106">
        <v>0.0</v>
      </c>
      <c r="U9" s="107">
        <v>0.0</v>
      </c>
      <c r="V9" s="107">
        <v>1.0</v>
      </c>
      <c r="W9" s="107">
        <v>0.0</v>
      </c>
      <c r="X9" s="107">
        <v>0.0</v>
      </c>
      <c r="AA9" s="105">
        <v>9.0</v>
      </c>
      <c r="AB9" s="107">
        <v>0.0</v>
      </c>
      <c r="AC9" s="107">
        <v>0.0</v>
      </c>
      <c r="AD9" s="107">
        <v>1.0</v>
      </c>
      <c r="AE9" s="107">
        <v>0.0</v>
      </c>
      <c r="AF9" s="107">
        <v>0.0</v>
      </c>
    </row>
    <row r="10">
      <c r="K10" s="130" t="s">
        <v>238</v>
      </c>
      <c r="L10" s="135">
        <v>0.0</v>
      </c>
      <c r="M10" s="132" t="s">
        <v>259</v>
      </c>
      <c r="O10" s="130"/>
      <c r="P10" s="135"/>
      <c r="Q10" s="132"/>
      <c r="S10" s="105">
        <v>10.0</v>
      </c>
      <c r="T10" s="106">
        <v>0.0</v>
      </c>
      <c r="U10" s="107">
        <v>0.0</v>
      </c>
      <c r="V10" s="107">
        <v>0.0</v>
      </c>
      <c r="W10" s="107">
        <v>1.0</v>
      </c>
      <c r="X10" s="107">
        <v>0.0</v>
      </c>
      <c r="AA10" s="105">
        <v>10.0</v>
      </c>
      <c r="AB10" s="107">
        <v>0.0</v>
      </c>
      <c r="AC10" s="107">
        <v>0.0</v>
      </c>
      <c r="AD10" s="107">
        <v>0.0</v>
      </c>
      <c r="AE10" s="107">
        <v>1.0</v>
      </c>
      <c r="AF10" s="107">
        <v>0.0</v>
      </c>
    </row>
    <row r="11">
      <c r="A11" s="170" t="s">
        <v>261</v>
      </c>
      <c r="F11" s="57"/>
      <c r="G11" s="57"/>
      <c r="H11" s="57"/>
      <c r="I11" s="57"/>
      <c r="J11" s="57"/>
      <c r="K11" s="130" t="s">
        <v>241</v>
      </c>
      <c r="L11" s="135">
        <v>0.0</v>
      </c>
      <c r="M11" s="132" t="s">
        <v>259</v>
      </c>
      <c r="O11" s="130"/>
      <c r="P11" s="135"/>
      <c r="Q11" s="132"/>
      <c r="S11" s="105">
        <v>11.0</v>
      </c>
      <c r="T11" s="106">
        <v>0.0</v>
      </c>
      <c r="U11" s="107">
        <v>0.0</v>
      </c>
      <c r="V11" s="107">
        <v>0.0</v>
      </c>
      <c r="W11" s="107">
        <v>1.0</v>
      </c>
      <c r="X11" s="107">
        <v>0.0</v>
      </c>
      <c r="AA11" s="105">
        <v>11.0</v>
      </c>
      <c r="AB11" s="107">
        <v>0.0</v>
      </c>
      <c r="AC11" s="107">
        <v>0.0</v>
      </c>
      <c r="AD11" s="107">
        <v>0.0</v>
      </c>
      <c r="AE11" s="107">
        <v>1.0</v>
      </c>
      <c r="AF11" s="107">
        <v>0.0</v>
      </c>
    </row>
    <row r="12">
      <c r="A12" s="170"/>
      <c r="F12" s="57"/>
      <c r="G12" s="57"/>
      <c r="H12" s="57"/>
      <c r="I12" s="57"/>
      <c r="J12" s="57"/>
      <c r="K12" s="130" t="s">
        <v>197</v>
      </c>
      <c r="L12" s="135">
        <v>0.24444962</v>
      </c>
      <c r="M12" s="132">
        <v>9.0</v>
      </c>
      <c r="O12" s="130"/>
      <c r="P12" s="135"/>
      <c r="Q12" s="132"/>
      <c r="S12" s="105">
        <v>12.0</v>
      </c>
      <c r="T12" s="106">
        <v>0.0</v>
      </c>
      <c r="U12" s="107">
        <v>0.0</v>
      </c>
      <c r="V12" s="107">
        <v>0.0</v>
      </c>
      <c r="W12" s="107">
        <v>1.0</v>
      </c>
      <c r="X12" s="107">
        <v>0.0</v>
      </c>
      <c r="AA12" s="105">
        <v>12.0</v>
      </c>
      <c r="AB12" s="107">
        <v>0.0</v>
      </c>
      <c r="AC12" s="107">
        <v>0.0</v>
      </c>
      <c r="AD12" s="107">
        <v>0.0</v>
      </c>
      <c r="AE12" s="107">
        <v>1.0</v>
      </c>
      <c r="AF12" s="107">
        <v>0.0</v>
      </c>
    </row>
    <row r="13">
      <c r="K13" s="130" t="s">
        <v>200</v>
      </c>
      <c r="L13" s="135">
        <v>0.24409706</v>
      </c>
      <c r="M13" s="132">
        <v>4.0</v>
      </c>
      <c r="O13" s="130"/>
      <c r="P13" s="135"/>
      <c r="Q13" s="132"/>
      <c r="S13" s="105">
        <v>13.0</v>
      </c>
      <c r="T13" s="106">
        <v>0.0</v>
      </c>
      <c r="U13" s="107">
        <v>0.0</v>
      </c>
      <c r="V13" s="107">
        <v>0.0</v>
      </c>
      <c r="W13" s="107">
        <v>1.0</v>
      </c>
      <c r="X13" s="107">
        <v>0.0</v>
      </c>
      <c r="AA13" s="105">
        <v>13.0</v>
      </c>
      <c r="AB13" s="117" t="s">
        <v>174</v>
      </c>
      <c r="AC13" s="107">
        <v>0.0</v>
      </c>
      <c r="AD13" s="117" t="s">
        <v>174</v>
      </c>
      <c r="AE13" s="107">
        <v>1.0</v>
      </c>
      <c r="AF13" s="117" t="s">
        <v>174</v>
      </c>
      <c r="AH13" s="57"/>
    </row>
    <row r="14">
      <c r="A14" s="105"/>
      <c r="B14" s="165" t="s">
        <v>252</v>
      </c>
      <c r="C14" s="165" t="s">
        <v>253</v>
      </c>
      <c r="D14" s="165" t="s">
        <v>254</v>
      </c>
      <c r="E14" s="165" t="s">
        <v>255</v>
      </c>
      <c r="K14" s="130" t="s">
        <v>262</v>
      </c>
      <c r="L14" s="135">
        <v>0.0</v>
      </c>
      <c r="M14" s="132" t="s">
        <v>259</v>
      </c>
      <c r="O14" s="130"/>
      <c r="P14" s="135"/>
      <c r="Q14" s="132"/>
      <c r="S14" s="105">
        <v>14.0</v>
      </c>
      <c r="T14" s="106">
        <v>1.0</v>
      </c>
      <c r="U14" s="107">
        <v>0.0</v>
      </c>
      <c r="V14" s="107">
        <v>0.0</v>
      </c>
      <c r="W14" s="107">
        <v>0.0</v>
      </c>
      <c r="X14" s="107">
        <v>0.0</v>
      </c>
      <c r="AA14" s="105">
        <v>14.0</v>
      </c>
      <c r="AB14" s="107">
        <v>1.0</v>
      </c>
      <c r="AC14" s="117" t="s">
        <v>174</v>
      </c>
      <c r="AD14" s="117" t="s">
        <v>174</v>
      </c>
      <c r="AE14" s="107">
        <v>0.0</v>
      </c>
      <c r="AF14" s="117" t="s">
        <v>174</v>
      </c>
    </row>
    <row r="15">
      <c r="A15" s="165">
        <v>3.0</v>
      </c>
      <c r="B15" s="107">
        <v>0.0824</v>
      </c>
      <c r="C15" s="117">
        <v>0.5216</v>
      </c>
      <c r="D15" s="107">
        <v>0.0101</v>
      </c>
      <c r="E15" s="107">
        <v>0.032</v>
      </c>
      <c r="K15" s="130" t="s">
        <v>202</v>
      </c>
      <c r="L15" s="135">
        <v>0.18624421</v>
      </c>
      <c r="M15" s="132">
        <v>4.0</v>
      </c>
      <c r="O15" s="130"/>
      <c r="P15" s="135"/>
      <c r="Q15" s="132"/>
      <c r="S15" s="105">
        <v>15.0</v>
      </c>
      <c r="T15" s="106">
        <v>0.0</v>
      </c>
      <c r="U15" s="107">
        <v>0.0</v>
      </c>
      <c r="V15" s="107">
        <v>0.0</v>
      </c>
      <c r="W15" s="107">
        <v>1.0</v>
      </c>
      <c r="X15" s="107">
        <v>0.0</v>
      </c>
      <c r="AA15" s="105">
        <v>15.0</v>
      </c>
      <c r="AB15" s="107">
        <v>0.0</v>
      </c>
      <c r="AC15" s="107">
        <v>0.0</v>
      </c>
      <c r="AD15" s="107">
        <v>0.0</v>
      </c>
      <c r="AE15" s="107">
        <v>1.0</v>
      </c>
      <c r="AF15" s="107">
        <v>0.0</v>
      </c>
    </row>
    <row r="16">
      <c r="A16" s="165">
        <v>4.0</v>
      </c>
      <c r="B16" s="179">
        <v>0.1616</v>
      </c>
      <c r="C16" s="107">
        <v>0.214</v>
      </c>
      <c r="D16" s="107">
        <v>0.0134</v>
      </c>
      <c r="E16" s="107">
        <v>0.0244</v>
      </c>
      <c r="G16" s="114"/>
      <c r="H16" s="114"/>
      <c r="K16" s="130" t="s">
        <v>205</v>
      </c>
      <c r="L16" s="135">
        <v>0.12609511</v>
      </c>
      <c r="M16" s="132">
        <v>1.0</v>
      </c>
      <c r="O16" s="130"/>
      <c r="P16" s="135"/>
      <c r="Q16" s="132"/>
      <c r="S16" s="105">
        <v>16.0</v>
      </c>
      <c r="T16" s="106">
        <v>1.0</v>
      </c>
      <c r="U16" s="107">
        <v>0.0</v>
      </c>
      <c r="V16" s="107">
        <v>0.0</v>
      </c>
      <c r="W16" s="107">
        <v>0.0</v>
      </c>
      <c r="X16" s="107">
        <v>0.0</v>
      </c>
      <c r="AA16" s="105">
        <v>16.0</v>
      </c>
      <c r="AB16" s="107">
        <v>1.0</v>
      </c>
      <c r="AC16" s="107">
        <v>0.0</v>
      </c>
      <c r="AD16" s="107">
        <v>0.0</v>
      </c>
      <c r="AE16" s="107">
        <v>0.0</v>
      </c>
      <c r="AF16" s="107">
        <v>0.0</v>
      </c>
    </row>
    <row r="17">
      <c r="A17" s="165">
        <v>5.0</v>
      </c>
      <c r="B17" s="179">
        <v>0.2555</v>
      </c>
      <c r="C17" s="107">
        <v>0.1766</v>
      </c>
      <c r="D17" s="107">
        <v>0.0153</v>
      </c>
      <c r="E17" s="107">
        <v>0.0227</v>
      </c>
      <c r="G17" s="114"/>
      <c r="H17" s="114"/>
      <c r="K17" s="130" t="s">
        <v>263</v>
      </c>
      <c r="L17" s="135">
        <v>0.0</v>
      </c>
      <c r="M17" s="132" t="s">
        <v>259</v>
      </c>
      <c r="O17" s="130"/>
      <c r="P17" s="135"/>
      <c r="Q17" s="132"/>
      <c r="S17" s="105">
        <v>17.0</v>
      </c>
      <c r="T17" s="106">
        <v>0.0</v>
      </c>
      <c r="U17" s="107">
        <v>0.0</v>
      </c>
      <c r="V17" s="107">
        <v>1.0</v>
      </c>
      <c r="W17" s="107">
        <v>0.0</v>
      </c>
      <c r="X17" s="107">
        <v>0.0</v>
      </c>
      <c r="AA17" s="105">
        <v>17.0</v>
      </c>
      <c r="AB17" s="107">
        <v>0.0</v>
      </c>
      <c r="AC17" s="107">
        <v>0.0</v>
      </c>
      <c r="AD17" s="107">
        <v>1.0</v>
      </c>
      <c r="AE17" s="107">
        <v>0.0</v>
      </c>
      <c r="AF17" s="117" t="s">
        <v>174</v>
      </c>
    </row>
    <row r="18">
      <c r="A18" s="165">
        <v>6.0</v>
      </c>
      <c r="B18" s="180">
        <v>0.3804</v>
      </c>
      <c r="C18" s="107">
        <v>0.1273</v>
      </c>
      <c r="D18" s="107">
        <v>0.0168</v>
      </c>
      <c r="E18" s="107">
        <v>0.021</v>
      </c>
      <c r="G18" s="114"/>
      <c r="H18" s="114"/>
      <c r="K18" s="130" t="s">
        <v>239</v>
      </c>
      <c r="L18" s="135">
        <v>0.0</v>
      </c>
      <c r="M18" s="132" t="s">
        <v>259</v>
      </c>
      <c r="O18" s="130"/>
      <c r="P18" s="135"/>
      <c r="Q18" s="132"/>
      <c r="S18" s="105">
        <v>18.0</v>
      </c>
      <c r="T18" s="106">
        <v>0.0</v>
      </c>
      <c r="U18" s="107">
        <v>0.0</v>
      </c>
      <c r="V18" s="107">
        <v>0.0</v>
      </c>
      <c r="W18" s="107">
        <v>0.0</v>
      </c>
      <c r="X18" s="107">
        <v>1.0</v>
      </c>
      <c r="AA18" s="105">
        <v>18.0</v>
      </c>
      <c r="AB18" s="107">
        <v>0.0</v>
      </c>
      <c r="AC18" s="107">
        <v>0.0</v>
      </c>
      <c r="AD18" s="107">
        <v>0.0</v>
      </c>
      <c r="AE18" s="107">
        <v>0.0</v>
      </c>
      <c r="AF18" s="107">
        <v>1.0</v>
      </c>
    </row>
    <row r="19">
      <c r="A19" s="165">
        <v>7.0</v>
      </c>
      <c r="B19" s="180">
        <v>0.3165</v>
      </c>
      <c r="C19" s="117">
        <v>0.5187</v>
      </c>
      <c r="D19" s="107">
        <v>0.0157</v>
      </c>
      <c r="E19" s="107">
        <v>0.0274</v>
      </c>
      <c r="G19" s="114"/>
      <c r="H19" s="114"/>
      <c r="K19" s="130" t="s">
        <v>243</v>
      </c>
      <c r="L19" s="135">
        <v>0.0</v>
      </c>
      <c r="M19" s="132" t="s">
        <v>259</v>
      </c>
      <c r="O19" s="130"/>
      <c r="P19" s="135"/>
      <c r="Q19" s="132"/>
      <c r="S19" s="105">
        <v>19.0</v>
      </c>
      <c r="T19" s="106">
        <v>1.0</v>
      </c>
      <c r="U19" s="107">
        <v>0.0</v>
      </c>
      <c r="V19" s="107">
        <v>0.0</v>
      </c>
      <c r="W19" s="107">
        <v>0.0</v>
      </c>
      <c r="X19" s="107">
        <v>0.0</v>
      </c>
      <c r="AA19" s="105">
        <v>19.0</v>
      </c>
      <c r="AB19" s="107">
        <v>1.0</v>
      </c>
      <c r="AC19" s="107">
        <v>0.0</v>
      </c>
      <c r="AD19" s="107">
        <v>0.0</v>
      </c>
      <c r="AE19" s="107">
        <v>0.0</v>
      </c>
      <c r="AF19" s="107">
        <v>0.0</v>
      </c>
    </row>
    <row r="20">
      <c r="A20" s="165">
        <v>8.0</v>
      </c>
      <c r="B20" s="179">
        <v>0.1879</v>
      </c>
      <c r="C20" s="117">
        <v>0.4859</v>
      </c>
      <c r="D20" s="107">
        <v>0.0136</v>
      </c>
      <c r="E20" s="107">
        <v>0.0317</v>
      </c>
      <c r="G20" s="114"/>
      <c r="H20" s="114"/>
      <c r="K20" s="130" t="s">
        <v>264</v>
      </c>
      <c r="L20" s="135">
        <v>0.0</v>
      </c>
      <c r="M20" s="132" t="s">
        <v>259</v>
      </c>
      <c r="O20" s="130"/>
      <c r="P20" s="135"/>
      <c r="Q20" s="132"/>
      <c r="S20" s="105">
        <v>20.0</v>
      </c>
      <c r="T20" s="106">
        <v>0.0</v>
      </c>
      <c r="U20" s="107">
        <v>1.0</v>
      </c>
      <c r="V20" s="107">
        <v>0.0</v>
      </c>
      <c r="W20" s="107">
        <v>0.0</v>
      </c>
      <c r="X20" s="107">
        <v>0.0</v>
      </c>
      <c r="AA20" s="105">
        <v>20.0</v>
      </c>
      <c r="AB20" s="107">
        <v>0.0</v>
      </c>
      <c r="AC20" s="107">
        <v>1.0</v>
      </c>
      <c r="AD20" s="107">
        <v>0.0</v>
      </c>
      <c r="AE20" s="107">
        <v>0.0</v>
      </c>
      <c r="AF20" s="107">
        <v>0.0</v>
      </c>
    </row>
    <row r="21">
      <c r="A21" s="165">
        <v>9.0</v>
      </c>
      <c r="B21" s="180">
        <v>0.5764</v>
      </c>
      <c r="C21" s="107">
        <v>0.1389</v>
      </c>
      <c r="D21" s="107">
        <v>0.0165</v>
      </c>
      <c r="E21" s="107">
        <v>0.0194</v>
      </c>
      <c r="G21" s="114"/>
      <c r="H21" s="114"/>
      <c r="K21" s="130" t="s">
        <v>208</v>
      </c>
      <c r="L21" s="135">
        <v>0.47554113</v>
      </c>
      <c r="M21" s="132">
        <v>51.0</v>
      </c>
      <c r="O21" s="130"/>
      <c r="P21" s="135"/>
      <c r="Q21" s="132"/>
      <c r="S21" s="105">
        <v>21.0</v>
      </c>
      <c r="T21" s="106">
        <v>0.0</v>
      </c>
      <c r="U21" s="107">
        <v>0.0</v>
      </c>
      <c r="V21" s="107">
        <v>1.0</v>
      </c>
      <c r="W21" s="107">
        <v>0.0</v>
      </c>
      <c r="X21" s="107">
        <v>0.0</v>
      </c>
      <c r="AA21" s="105">
        <v>21.0</v>
      </c>
      <c r="AB21" s="107">
        <v>0.0</v>
      </c>
      <c r="AC21" s="117" t="s">
        <v>174</v>
      </c>
      <c r="AD21" s="107">
        <v>1.0</v>
      </c>
      <c r="AE21" s="107">
        <v>0.0</v>
      </c>
      <c r="AF21" s="107">
        <v>0.0</v>
      </c>
    </row>
    <row r="22">
      <c r="A22" s="165">
        <v>10.0</v>
      </c>
      <c r="B22" s="179">
        <v>0.1741</v>
      </c>
      <c r="C22" s="107">
        <v>0.2722</v>
      </c>
      <c r="D22" s="107">
        <v>0.0132</v>
      </c>
      <c r="E22" s="107">
        <v>0.0264</v>
      </c>
      <c r="G22" s="114"/>
      <c r="K22" s="130" t="s">
        <v>211</v>
      </c>
      <c r="L22" s="135">
        <v>0.32486645</v>
      </c>
      <c r="M22" s="132">
        <v>3.0</v>
      </c>
      <c r="O22" s="130"/>
      <c r="P22" s="135"/>
      <c r="Q22" s="132"/>
      <c r="S22" s="105">
        <v>22.0</v>
      </c>
      <c r="T22" s="106">
        <v>1.0</v>
      </c>
      <c r="U22" s="107">
        <v>0.0</v>
      </c>
      <c r="V22" s="107">
        <v>0.0</v>
      </c>
      <c r="W22" s="107">
        <v>0.0</v>
      </c>
      <c r="X22" s="107">
        <v>0.0</v>
      </c>
      <c r="AA22" s="105">
        <v>22.0</v>
      </c>
      <c r="AB22" s="107">
        <v>1.0</v>
      </c>
      <c r="AC22" s="107">
        <v>0.0</v>
      </c>
      <c r="AD22" s="107">
        <v>0.0</v>
      </c>
      <c r="AE22" s="107">
        <v>0.0</v>
      </c>
      <c r="AF22" s="107">
        <v>0.0</v>
      </c>
    </row>
    <row r="23">
      <c r="A23" s="165">
        <v>11.0</v>
      </c>
      <c r="B23" s="179">
        <v>0.2421</v>
      </c>
      <c r="C23" s="107">
        <v>0.294</v>
      </c>
      <c r="D23" s="107">
        <v>0.0143</v>
      </c>
      <c r="E23" s="107">
        <v>0.0265</v>
      </c>
      <c r="G23" s="114"/>
      <c r="K23" s="130" t="s">
        <v>213</v>
      </c>
      <c r="L23" s="135">
        <v>0.10186592</v>
      </c>
      <c r="M23" s="132">
        <v>1.0</v>
      </c>
      <c r="O23" s="130"/>
      <c r="P23" s="135"/>
      <c r="Q23" s="132"/>
      <c r="S23" s="105">
        <v>23.0</v>
      </c>
      <c r="T23" s="106">
        <v>0.0</v>
      </c>
      <c r="U23" s="107">
        <v>0.0</v>
      </c>
      <c r="V23" s="107">
        <v>0.0</v>
      </c>
      <c r="W23" s="107">
        <v>1.0</v>
      </c>
      <c r="X23" s="107">
        <v>0.0</v>
      </c>
      <c r="AA23" s="105">
        <v>23.0</v>
      </c>
      <c r="AB23" s="107">
        <v>0.0</v>
      </c>
      <c r="AC23" s="107">
        <v>0.0</v>
      </c>
      <c r="AD23" s="107">
        <v>0.0</v>
      </c>
      <c r="AE23" s="107">
        <v>1.0</v>
      </c>
      <c r="AF23" s="107">
        <v>0.0</v>
      </c>
    </row>
    <row r="24">
      <c r="A24" s="165">
        <v>12.0</v>
      </c>
      <c r="B24" s="179">
        <v>0.2232</v>
      </c>
      <c r="C24" s="107">
        <v>0.2907</v>
      </c>
      <c r="D24" s="107">
        <v>0.0141</v>
      </c>
      <c r="E24" s="107">
        <v>0.0274</v>
      </c>
      <c r="G24" s="114"/>
      <c r="K24" s="130" t="s">
        <v>234</v>
      </c>
      <c r="L24" s="135">
        <v>0.0</v>
      </c>
      <c r="M24" s="132" t="s">
        <v>259</v>
      </c>
      <c r="O24" s="130"/>
      <c r="P24" s="135"/>
      <c r="Q24" s="132"/>
      <c r="S24" s="105">
        <v>24.0</v>
      </c>
      <c r="T24" s="106">
        <v>1.0</v>
      </c>
      <c r="U24" s="107">
        <v>0.0</v>
      </c>
      <c r="V24" s="107">
        <v>0.0</v>
      </c>
      <c r="W24" s="107">
        <v>0.0</v>
      </c>
      <c r="X24" s="107">
        <v>0.0</v>
      </c>
      <c r="AA24" s="105">
        <v>24.0</v>
      </c>
      <c r="AB24" s="107">
        <v>1.0</v>
      </c>
      <c r="AC24" s="117" t="s">
        <v>174</v>
      </c>
      <c r="AD24" s="107">
        <v>0.0</v>
      </c>
      <c r="AE24" s="107">
        <v>0.0</v>
      </c>
      <c r="AF24" s="107">
        <v>0.0</v>
      </c>
    </row>
    <row r="25">
      <c r="A25" s="165">
        <v>13.0</v>
      </c>
      <c r="B25" s="180">
        <v>0.3783</v>
      </c>
      <c r="C25" s="117">
        <v>0.6398</v>
      </c>
      <c r="D25" s="107">
        <v>0.0159</v>
      </c>
      <c r="E25" s="107">
        <v>0.0272</v>
      </c>
      <c r="G25" s="114"/>
      <c r="K25" s="130" t="s">
        <v>265</v>
      </c>
      <c r="L25" s="135">
        <v>0.0</v>
      </c>
      <c r="M25" s="132" t="s">
        <v>259</v>
      </c>
      <c r="O25" s="130"/>
      <c r="P25" s="135"/>
      <c r="Q25" s="132"/>
      <c r="T25" s="124"/>
      <c r="U25" s="124"/>
      <c r="V25" s="124"/>
      <c r="W25" s="124"/>
      <c r="X25" s="124"/>
    </row>
    <row r="26">
      <c r="A26" s="165">
        <v>14.0</v>
      </c>
      <c r="B26" s="180">
        <v>0.449</v>
      </c>
      <c r="C26" s="117">
        <v>0.4795</v>
      </c>
      <c r="D26" s="107">
        <v>0.0167</v>
      </c>
      <c r="E26" s="107">
        <v>0.0277</v>
      </c>
      <c r="G26" s="114"/>
      <c r="K26" s="130" t="s">
        <v>266</v>
      </c>
      <c r="L26" s="135">
        <v>0.0</v>
      </c>
      <c r="M26" s="132" t="s">
        <v>259</v>
      </c>
      <c r="O26" s="130"/>
      <c r="P26" s="135"/>
      <c r="Q26" s="132"/>
    </row>
    <row r="27">
      <c r="A27" s="165">
        <v>15.0</v>
      </c>
      <c r="B27" s="180">
        <v>0.4049</v>
      </c>
      <c r="C27" s="117">
        <v>0.3152</v>
      </c>
      <c r="D27" s="107">
        <v>0.0161</v>
      </c>
      <c r="E27" s="107">
        <v>0.0266</v>
      </c>
      <c r="G27" s="114"/>
      <c r="K27" s="130" t="s">
        <v>215</v>
      </c>
      <c r="L27" s="135">
        <v>0.10784588</v>
      </c>
      <c r="M27" s="132">
        <v>1.0</v>
      </c>
      <c r="O27" s="130"/>
      <c r="P27" s="135"/>
      <c r="Q27" s="132"/>
    </row>
    <row r="28">
      <c r="A28" s="165">
        <v>16.0</v>
      </c>
      <c r="B28" s="107">
        <v>0.2265</v>
      </c>
      <c r="C28" s="117">
        <v>0.3984</v>
      </c>
      <c r="D28" s="107">
        <v>0.0143</v>
      </c>
      <c r="E28" s="107">
        <v>0.0277</v>
      </c>
      <c r="G28" s="114"/>
      <c r="K28" s="130" t="s">
        <v>216</v>
      </c>
      <c r="L28" s="141">
        <v>0.76105717</v>
      </c>
      <c r="M28" s="132">
        <v>162.0</v>
      </c>
      <c r="O28" s="130"/>
      <c r="P28" s="141"/>
      <c r="Q28" s="132"/>
    </row>
    <row r="29">
      <c r="A29" s="165">
        <v>17.0</v>
      </c>
      <c r="B29" s="117">
        <v>0.2568</v>
      </c>
      <c r="C29" s="117">
        <v>0.5388</v>
      </c>
      <c r="D29" s="107">
        <v>0.0148</v>
      </c>
      <c r="E29" s="107">
        <v>0.0266</v>
      </c>
      <c r="G29" s="114"/>
      <c r="K29" s="130" t="s">
        <v>267</v>
      </c>
      <c r="L29" s="135">
        <v>0.0</v>
      </c>
      <c r="M29" s="132" t="s">
        <v>259</v>
      </c>
      <c r="O29" s="130"/>
      <c r="P29" s="135"/>
      <c r="Q29" s="132"/>
      <c r="T29" s="181"/>
      <c r="U29" s="182"/>
      <c r="V29" s="183"/>
      <c r="W29" s="183"/>
    </row>
    <row r="30">
      <c r="A30" s="165">
        <v>18.0</v>
      </c>
      <c r="B30" s="107">
        <v>1.0E-4</v>
      </c>
      <c r="C30" s="107">
        <v>0.0911</v>
      </c>
      <c r="D30" s="107">
        <v>0.0343</v>
      </c>
      <c r="E30" s="117">
        <v>0.0962</v>
      </c>
      <c r="G30" s="114"/>
      <c r="K30" s="130" t="s">
        <v>268</v>
      </c>
      <c r="L30" s="135">
        <v>0.0</v>
      </c>
      <c r="M30" s="132" t="s">
        <v>259</v>
      </c>
      <c r="O30" s="130"/>
      <c r="P30" s="135"/>
      <c r="Q30" s="132"/>
      <c r="T30" s="184"/>
      <c r="U30" s="184"/>
      <c r="V30" s="184"/>
      <c r="W30" s="183"/>
    </row>
    <row r="31">
      <c r="A31" s="165">
        <v>19.0</v>
      </c>
      <c r="B31" s="117">
        <v>0.4556</v>
      </c>
      <c r="C31" s="107">
        <v>0.1861</v>
      </c>
      <c r="D31" s="107">
        <v>0.0168</v>
      </c>
      <c r="E31" s="107">
        <v>0.0232</v>
      </c>
      <c r="G31" s="114"/>
      <c r="K31" s="130" t="s">
        <v>269</v>
      </c>
      <c r="L31" s="135">
        <v>0.0</v>
      </c>
      <c r="M31" s="132" t="s">
        <v>259</v>
      </c>
      <c r="O31" s="130"/>
      <c r="P31" s="135"/>
      <c r="Q31" s="132"/>
      <c r="U31" s="185"/>
      <c r="V31" s="186"/>
      <c r="W31" s="186"/>
    </row>
    <row r="32">
      <c r="A32" s="165">
        <v>20.0</v>
      </c>
      <c r="B32" s="107">
        <v>0.0958</v>
      </c>
      <c r="C32" s="117">
        <v>0.7359</v>
      </c>
      <c r="D32" s="107">
        <v>0.0102</v>
      </c>
      <c r="E32" s="107">
        <v>0.0269</v>
      </c>
      <c r="G32" s="114"/>
      <c r="K32" s="130" t="s">
        <v>270</v>
      </c>
      <c r="L32" s="135">
        <v>0.0</v>
      </c>
      <c r="M32" s="132" t="s">
        <v>259</v>
      </c>
      <c r="O32" s="130"/>
      <c r="P32" s="135"/>
      <c r="Q32" s="132"/>
      <c r="T32" s="187"/>
      <c r="U32" s="185"/>
      <c r="V32" s="186"/>
      <c r="W32" s="183"/>
    </row>
    <row r="33">
      <c r="A33" s="165">
        <v>21.0</v>
      </c>
      <c r="B33" s="107">
        <v>0.257</v>
      </c>
      <c r="C33" s="117">
        <v>0.4558</v>
      </c>
      <c r="D33" s="107">
        <v>0.0152</v>
      </c>
      <c r="E33" s="107">
        <v>0.0273</v>
      </c>
      <c r="G33" s="114"/>
      <c r="K33" s="130" t="s">
        <v>217</v>
      </c>
      <c r="L33" s="131">
        <v>0.87160746</v>
      </c>
      <c r="M33" s="132">
        <v>152.0</v>
      </c>
      <c r="O33" s="130"/>
      <c r="P33" s="131"/>
      <c r="Q33" s="132"/>
      <c r="T33" s="187"/>
      <c r="U33" s="185"/>
      <c r="V33" s="186"/>
      <c r="W33" s="183"/>
    </row>
    <row r="34">
      <c r="A34" s="165">
        <v>22.0</v>
      </c>
      <c r="B34" s="107">
        <v>0.265</v>
      </c>
      <c r="C34" s="107">
        <v>0.2972</v>
      </c>
      <c r="D34" s="107">
        <v>0.0151</v>
      </c>
      <c r="E34" s="107">
        <v>0.0267</v>
      </c>
      <c r="G34" s="114"/>
      <c r="M34" s="142">
        <f>sum(M2:M33)</f>
        <v>1409</v>
      </c>
      <c r="Q34" s="142">
        <f>sum(Q2:Q33)</f>
        <v>0</v>
      </c>
      <c r="T34" s="187"/>
      <c r="U34" s="185"/>
      <c r="V34" s="186"/>
      <c r="W34" s="183"/>
    </row>
    <row r="35">
      <c r="A35" s="165">
        <v>23.0</v>
      </c>
      <c r="B35" s="107">
        <v>0.1246</v>
      </c>
      <c r="C35" s="117">
        <v>0.3636</v>
      </c>
      <c r="D35" s="107">
        <v>0.0114</v>
      </c>
      <c r="E35" s="107">
        <v>0.0283</v>
      </c>
      <c r="G35" s="114"/>
      <c r="M35" s="188"/>
      <c r="T35" s="187"/>
      <c r="U35" s="185"/>
      <c r="V35" s="186"/>
      <c r="W35" s="183"/>
    </row>
    <row r="36">
      <c r="A36" s="165">
        <v>24.0</v>
      </c>
      <c r="B36" s="117">
        <v>0.6499</v>
      </c>
      <c r="C36" s="107">
        <v>0.2252</v>
      </c>
      <c r="D36" s="107">
        <v>0.0159</v>
      </c>
      <c r="E36" s="107">
        <v>0.0239</v>
      </c>
      <c r="G36" s="114"/>
      <c r="M36" s="188"/>
      <c r="T36" s="187"/>
      <c r="U36" s="185"/>
      <c r="V36" s="186"/>
      <c r="W36" s="183"/>
    </row>
    <row r="37">
      <c r="G37" s="114"/>
      <c r="M37" s="188"/>
      <c r="T37" s="187"/>
      <c r="U37" s="185"/>
      <c r="V37" s="186"/>
      <c r="W37" s="183"/>
    </row>
    <row r="38">
      <c r="G38" s="114"/>
      <c r="M38" s="188"/>
      <c r="T38" s="187"/>
      <c r="U38" s="185"/>
      <c r="V38" s="186"/>
      <c r="W38" s="183"/>
    </row>
    <row r="39">
      <c r="M39" s="188"/>
      <c r="T39" s="187"/>
      <c r="U39" s="185"/>
      <c r="V39" s="186"/>
      <c r="W39" s="183"/>
    </row>
    <row r="40">
      <c r="M40" s="188"/>
      <c r="T40" s="187"/>
      <c r="U40" s="185"/>
      <c r="V40" s="186"/>
      <c r="W40" s="186"/>
    </row>
    <row r="41">
      <c r="M41" s="188"/>
      <c r="T41" s="187"/>
      <c r="U41" s="185"/>
      <c r="V41" s="186"/>
      <c r="W41" s="186"/>
    </row>
    <row r="42">
      <c r="M42" s="188"/>
      <c r="T42" s="187"/>
      <c r="U42" s="185"/>
      <c r="V42" s="186"/>
      <c r="W42" s="186"/>
    </row>
    <row r="43">
      <c r="M43" s="188"/>
      <c r="T43" s="187"/>
      <c r="U43" s="185"/>
      <c r="V43" s="186"/>
      <c r="W43" s="186"/>
    </row>
    <row r="44">
      <c r="M44" s="188"/>
      <c r="T44" s="187"/>
      <c r="U44" s="185"/>
      <c r="V44" s="186"/>
      <c r="W44" s="186"/>
    </row>
    <row r="45">
      <c r="M45" s="188"/>
    </row>
    <row r="46">
      <c r="L46" s="183"/>
      <c r="M46" s="47"/>
    </row>
    <row r="47">
      <c r="L47" s="183"/>
      <c r="M47" s="47"/>
    </row>
    <row r="48">
      <c r="L48" s="183"/>
      <c r="M48" s="47"/>
    </row>
    <row r="49">
      <c r="L49" s="183"/>
      <c r="M49" s="47"/>
      <c r="T49" s="47"/>
      <c r="U49" s="47"/>
      <c r="V49" s="47"/>
      <c r="W49" s="47"/>
      <c r="X49" s="47"/>
    </row>
    <row r="50">
      <c r="L50" s="183"/>
      <c r="M50" s="47"/>
      <c r="T50" s="47"/>
      <c r="U50" s="47"/>
      <c r="V50" s="47"/>
      <c r="W50" s="47"/>
      <c r="X50" s="47"/>
    </row>
    <row r="51">
      <c r="L51" s="183"/>
      <c r="M51" s="47"/>
      <c r="T51" s="47"/>
      <c r="U51" s="47"/>
      <c r="V51" s="47"/>
      <c r="W51" s="47"/>
      <c r="X51" s="47"/>
    </row>
    <row r="52">
      <c r="L52" s="183"/>
      <c r="M52" s="47"/>
      <c r="T52" s="47"/>
      <c r="U52" s="47"/>
      <c r="V52" s="47"/>
      <c r="W52" s="47"/>
      <c r="X52" s="47"/>
    </row>
    <row r="53">
      <c r="L53" s="183"/>
      <c r="M53" s="47"/>
      <c r="T53" s="47"/>
      <c r="U53" s="47"/>
      <c r="V53" s="47"/>
      <c r="W53" s="47"/>
      <c r="X53" s="47"/>
    </row>
    <row r="54">
      <c r="L54" s="183"/>
      <c r="M54" s="47"/>
      <c r="T54" s="47"/>
      <c r="U54" s="47"/>
      <c r="V54" s="47"/>
      <c r="W54" s="47"/>
      <c r="X54" s="47"/>
    </row>
    <row r="55">
      <c r="L55" s="183"/>
      <c r="M55" s="47"/>
      <c r="T55" s="47"/>
      <c r="U55" s="47"/>
      <c r="V55" s="47"/>
      <c r="W55" s="47"/>
      <c r="X55" s="47"/>
    </row>
    <row r="56">
      <c r="L56" s="183"/>
      <c r="M56" s="47"/>
      <c r="T56" s="47"/>
      <c r="U56" s="47"/>
      <c r="V56" s="47"/>
      <c r="W56" s="47"/>
      <c r="X56" s="47"/>
    </row>
    <row r="57">
      <c r="L57" s="183"/>
      <c r="M57" s="47"/>
      <c r="T57" s="47"/>
      <c r="U57" s="47"/>
      <c r="V57" s="47"/>
      <c r="W57" s="47"/>
      <c r="X57" s="47"/>
    </row>
    <row r="58">
      <c r="L58" s="183"/>
      <c r="M58" s="47"/>
      <c r="T58" s="47"/>
      <c r="U58" s="47"/>
      <c r="V58" s="47"/>
      <c r="W58" s="47"/>
      <c r="X58" s="47"/>
    </row>
    <row r="59">
      <c r="L59" s="183"/>
      <c r="M59" s="47"/>
      <c r="T59" s="47"/>
      <c r="U59" s="47"/>
      <c r="V59" s="47"/>
      <c r="W59" s="47"/>
      <c r="X59" s="47"/>
    </row>
    <row r="60">
      <c r="L60" s="183"/>
      <c r="M60" s="47"/>
      <c r="T60" s="47"/>
      <c r="U60" s="47"/>
      <c r="V60" s="47"/>
      <c r="W60" s="47"/>
      <c r="X60" s="47"/>
    </row>
    <row r="61">
      <c r="L61" s="183"/>
      <c r="M61" s="47"/>
      <c r="T61" s="47"/>
      <c r="U61" s="47"/>
      <c r="V61" s="47"/>
      <c r="W61" s="47"/>
      <c r="X61" s="47"/>
    </row>
    <row r="62">
      <c r="L62" s="183"/>
      <c r="M62" s="47"/>
      <c r="T62" s="47"/>
      <c r="U62" s="47"/>
      <c r="V62" s="47"/>
      <c r="W62" s="47"/>
      <c r="X62" s="47"/>
    </row>
    <row r="63">
      <c r="L63" s="183"/>
      <c r="M63" s="47"/>
      <c r="T63" s="47"/>
      <c r="U63" s="47"/>
      <c r="V63" s="47"/>
      <c r="W63" s="47"/>
      <c r="X63" s="47"/>
    </row>
    <row r="64">
      <c r="L64" s="183"/>
      <c r="M64" s="47"/>
      <c r="T64" s="47"/>
      <c r="U64" s="47"/>
      <c r="V64" s="47"/>
      <c r="W64" s="47"/>
      <c r="X64" s="47"/>
    </row>
    <row r="65">
      <c r="L65" s="183"/>
      <c r="M65" s="47"/>
      <c r="T65" s="47"/>
      <c r="U65" s="47"/>
      <c r="V65" s="47"/>
      <c r="W65" s="47"/>
      <c r="X65" s="47"/>
    </row>
    <row r="66">
      <c r="L66" s="183"/>
      <c r="M66" s="47"/>
      <c r="T66" s="47"/>
      <c r="U66" s="47"/>
      <c r="V66" s="47"/>
      <c r="W66" s="47"/>
      <c r="X66" s="47"/>
    </row>
    <row r="67">
      <c r="L67" s="183"/>
      <c r="M67" s="47"/>
      <c r="T67" s="47"/>
      <c r="U67" s="47"/>
      <c r="V67" s="47"/>
      <c r="W67" s="47"/>
      <c r="X67" s="47"/>
    </row>
    <row r="68">
      <c r="L68" s="183"/>
      <c r="M68" s="47"/>
      <c r="T68" s="47"/>
      <c r="U68" s="47"/>
      <c r="V68" s="47"/>
      <c r="W68" s="47"/>
      <c r="X68" s="47"/>
    </row>
    <row r="69">
      <c r="L69" s="183"/>
      <c r="M69" s="47"/>
      <c r="T69" s="47"/>
      <c r="U69" s="47"/>
      <c r="V69" s="47"/>
      <c r="W69" s="47"/>
      <c r="X69" s="47"/>
    </row>
    <row r="70">
      <c r="L70" s="183"/>
      <c r="M70" s="47"/>
      <c r="T70" s="47"/>
      <c r="U70" s="47"/>
      <c r="V70" s="47"/>
      <c r="W70" s="47"/>
      <c r="X70" s="47"/>
    </row>
    <row r="71">
      <c r="L71" s="183"/>
      <c r="M71" s="47"/>
      <c r="T71" s="47"/>
      <c r="U71" s="47"/>
      <c r="V71" s="47"/>
      <c r="W71" s="47"/>
      <c r="X71" s="47"/>
    </row>
    <row r="72">
      <c r="L72" s="183"/>
      <c r="M72" s="47"/>
      <c r="T72" s="47"/>
      <c r="U72" s="47"/>
      <c r="V72" s="47"/>
      <c r="W72" s="47"/>
      <c r="X72" s="47"/>
    </row>
    <row r="73">
      <c r="L73" s="183"/>
      <c r="M73" s="47"/>
      <c r="T73" s="47"/>
      <c r="U73" s="47"/>
      <c r="V73" s="47"/>
      <c r="W73" s="47"/>
      <c r="X73" s="47"/>
    </row>
    <row r="74">
      <c r="L74" s="183"/>
      <c r="M74" s="47"/>
      <c r="T74" s="47"/>
      <c r="U74" s="47"/>
      <c r="V74" s="47"/>
      <c r="W74" s="47"/>
      <c r="X74" s="47"/>
    </row>
    <row r="75">
      <c r="L75" s="183"/>
      <c r="M75" s="47"/>
      <c r="T75" s="47"/>
      <c r="U75" s="47"/>
      <c r="V75" s="47"/>
      <c r="W75" s="47"/>
      <c r="X75" s="47"/>
    </row>
    <row r="76">
      <c r="L76" s="183"/>
      <c r="M76" s="47"/>
      <c r="T76" s="47"/>
      <c r="U76" s="47"/>
      <c r="V76" s="47"/>
      <c r="W76" s="47"/>
      <c r="X76" s="47"/>
    </row>
    <row r="77">
      <c r="L77" s="183"/>
      <c r="M77" s="47"/>
      <c r="T77" s="47"/>
      <c r="U77" s="47"/>
      <c r="V77" s="47"/>
      <c r="W77" s="47"/>
      <c r="X77" s="47"/>
    </row>
    <row r="78">
      <c r="L78" s="183"/>
      <c r="M78" s="47"/>
      <c r="T78" s="47"/>
      <c r="U78" s="47"/>
      <c r="V78" s="47"/>
      <c r="W78" s="47"/>
      <c r="X78" s="47"/>
    </row>
    <row r="79">
      <c r="L79" s="183"/>
      <c r="M79" s="47"/>
      <c r="T79" s="47"/>
      <c r="U79" s="47"/>
      <c r="V79" s="47"/>
      <c r="W79" s="47"/>
      <c r="X79" s="47"/>
    </row>
    <row r="80">
      <c r="L80" s="183"/>
      <c r="M80" s="47"/>
      <c r="T80" s="47"/>
      <c r="U80" s="47"/>
      <c r="V80" s="47"/>
      <c r="W80" s="47"/>
      <c r="X80" s="47"/>
    </row>
    <row r="81">
      <c r="L81" s="183"/>
      <c r="M81" s="47"/>
      <c r="T81" s="47"/>
      <c r="U81" s="47"/>
      <c r="V81" s="47"/>
      <c r="W81" s="47"/>
      <c r="X81" s="47"/>
    </row>
    <row r="82">
      <c r="L82" s="183"/>
      <c r="M82" s="47"/>
      <c r="T82" s="47"/>
      <c r="U82" s="47"/>
      <c r="V82" s="47"/>
      <c r="W82" s="47"/>
      <c r="X82" s="47"/>
    </row>
    <row r="83">
      <c r="L83" s="183"/>
      <c r="M83" s="47"/>
      <c r="T83" s="47"/>
      <c r="U83" s="47"/>
      <c r="V83" s="47"/>
      <c r="W83" s="47"/>
      <c r="X83" s="47"/>
    </row>
    <row r="84">
      <c r="L84" s="183"/>
      <c r="M84" s="47"/>
      <c r="T84" s="47"/>
      <c r="U84" s="47"/>
      <c r="V84" s="47"/>
      <c r="W84" s="47"/>
      <c r="X84" s="47"/>
    </row>
    <row r="85">
      <c r="L85" s="183"/>
      <c r="M85" s="47"/>
      <c r="T85" s="47"/>
      <c r="U85" s="47"/>
      <c r="V85" s="47"/>
      <c r="W85" s="47"/>
      <c r="X85" s="47"/>
    </row>
    <row r="86">
      <c r="L86" s="183"/>
      <c r="M86" s="47"/>
      <c r="T86" s="47"/>
      <c r="U86" s="47"/>
      <c r="V86" s="47"/>
      <c r="W86" s="47"/>
      <c r="X86" s="47"/>
    </row>
    <row r="87">
      <c r="L87" s="183"/>
      <c r="M87" s="47"/>
      <c r="T87" s="47"/>
      <c r="U87" s="47"/>
      <c r="V87" s="47"/>
      <c r="W87" s="47"/>
      <c r="X87" s="47"/>
    </row>
    <row r="88">
      <c r="L88" s="183"/>
      <c r="M88" s="47"/>
      <c r="T88" s="47"/>
      <c r="U88" s="47"/>
      <c r="V88" s="47"/>
      <c r="W88" s="47"/>
      <c r="X88" s="47"/>
    </row>
    <row r="89">
      <c r="L89" s="183"/>
      <c r="M89" s="47"/>
      <c r="T89" s="47"/>
      <c r="U89" s="47"/>
      <c r="V89" s="47"/>
      <c r="W89" s="47"/>
      <c r="X89" s="47"/>
    </row>
    <row r="90">
      <c r="L90" s="183"/>
      <c r="M90" s="47"/>
      <c r="T90" s="47"/>
      <c r="U90" s="47"/>
      <c r="V90" s="47"/>
      <c r="W90" s="47"/>
      <c r="X90" s="47"/>
    </row>
    <row r="91">
      <c r="L91" s="183"/>
      <c r="M91" s="47"/>
      <c r="T91" s="47"/>
      <c r="U91" s="47"/>
      <c r="V91" s="47"/>
      <c r="W91" s="47"/>
      <c r="X91" s="47"/>
    </row>
    <row r="92">
      <c r="L92" s="183"/>
      <c r="M92" s="47"/>
      <c r="T92" s="47"/>
      <c r="U92" s="47"/>
      <c r="V92" s="47"/>
      <c r="W92" s="47"/>
      <c r="X92" s="47"/>
    </row>
    <row r="93">
      <c r="L93" s="183"/>
      <c r="M93" s="47"/>
      <c r="T93" s="47"/>
      <c r="U93" s="47"/>
      <c r="V93" s="47"/>
      <c r="W93" s="47"/>
      <c r="X93" s="47"/>
    </row>
    <row r="94">
      <c r="L94" s="183"/>
      <c r="M94" s="47"/>
      <c r="T94" s="47"/>
      <c r="U94" s="47"/>
      <c r="V94" s="47"/>
      <c r="W94" s="47"/>
      <c r="X94" s="47"/>
    </row>
    <row r="95">
      <c r="L95" s="183"/>
      <c r="M95" s="47"/>
      <c r="T95" s="47"/>
      <c r="U95" s="47"/>
      <c r="V95" s="47"/>
      <c r="W95" s="47"/>
      <c r="X95" s="47"/>
    </row>
    <row r="96">
      <c r="L96" s="183"/>
      <c r="M96" s="47"/>
      <c r="T96" s="47"/>
      <c r="U96" s="47"/>
      <c r="V96" s="47"/>
      <c r="W96" s="47"/>
      <c r="X96" s="47"/>
    </row>
    <row r="97">
      <c r="L97" s="183"/>
      <c r="M97" s="47"/>
      <c r="T97" s="47"/>
      <c r="U97" s="47"/>
      <c r="V97" s="47"/>
      <c r="W97" s="47"/>
      <c r="X97" s="47"/>
    </row>
    <row r="98">
      <c r="L98" s="183"/>
      <c r="M98" s="47"/>
      <c r="T98" s="47"/>
      <c r="U98" s="47"/>
      <c r="V98" s="47"/>
      <c r="W98" s="47"/>
      <c r="X98" s="47"/>
    </row>
    <row r="99">
      <c r="L99" s="183"/>
      <c r="M99" s="47"/>
      <c r="T99" s="47"/>
      <c r="U99" s="47"/>
      <c r="V99" s="47"/>
      <c r="W99" s="47"/>
      <c r="X99" s="47"/>
    </row>
    <row r="100">
      <c r="L100" s="183"/>
      <c r="M100" s="47"/>
      <c r="T100" s="47"/>
      <c r="U100" s="47"/>
      <c r="V100" s="47"/>
      <c r="W100" s="47"/>
      <c r="X100" s="47"/>
    </row>
    <row r="101">
      <c r="L101" s="183"/>
      <c r="M101" s="47"/>
      <c r="T101" s="47"/>
      <c r="U101" s="47"/>
      <c r="V101" s="47"/>
      <c r="W101" s="47"/>
      <c r="X101" s="47"/>
    </row>
    <row r="102">
      <c r="L102" s="183"/>
      <c r="M102" s="47"/>
      <c r="T102" s="47"/>
      <c r="U102" s="47"/>
      <c r="V102" s="47"/>
      <c r="W102" s="47"/>
      <c r="X102" s="47"/>
    </row>
    <row r="103">
      <c r="L103" s="183"/>
      <c r="M103" s="47"/>
      <c r="T103" s="47"/>
      <c r="U103" s="47"/>
      <c r="V103" s="47"/>
      <c r="W103" s="47"/>
      <c r="X103" s="47"/>
    </row>
    <row r="104">
      <c r="L104" s="183"/>
      <c r="M104" s="47"/>
      <c r="T104" s="47"/>
      <c r="U104" s="47"/>
      <c r="V104" s="47"/>
      <c r="W104" s="47"/>
      <c r="X104" s="47"/>
    </row>
    <row r="105">
      <c r="L105" s="183"/>
      <c r="M105" s="47"/>
      <c r="T105" s="47"/>
      <c r="U105" s="47"/>
      <c r="V105" s="47"/>
      <c r="W105" s="47"/>
      <c r="X105" s="47"/>
    </row>
    <row r="106">
      <c r="L106" s="183"/>
      <c r="M106" s="47"/>
      <c r="T106" s="47"/>
      <c r="U106" s="47"/>
      <c r="V106" s="47"/>
      <c r="W106" s="47"/>
      <c r="X106" s="47"/>
    </row>
    <row r="107">
      <c r="L107" s="183"/>
      <c r="M107" s="47"/>
      <c r="T107" s="47"/>
      <c r="U107" s="47"/>
      <c r="V107" s="47"/>
      <c r="W107" s="47"/>
      <c r="X107" s="47"/>
    </row>
    <row r="108">
      <c r="L108" s="183"/>
      <c r="M108" s="47"/>
      <c r="T108" s="47"/>
      <c r="U108" s="47"/>
      <c r="V108" s="47"/>
      <c r="W108" s="47"/>
      <c r="X108" s="47"/>
    </row>
    <row r="109">
      <c r="L109" s="183"/>
      <c r="M109" s="47"/>
      <c r="T109" s="47"/>
      <c r="U109" s="47"/>
      <c r="V109" s="47"/>
      <c r="W109" s="47"/>
      <c r="X109" s="47"/>
    </row>
    <row r="110">
      <c r="L110" s="183"/>
      <c r="M110" s="47"/>
      <c r="T110" s="47"/>
      <c r="U110" s="47"/>
      <c r="V110" s="47"/>
      <c r="W110" s="47"/>
      <c r="X110" s="47"/>
    </row>
    <row r="111">
      <c r="L111" s="183"/>
      <c r="M111" s="47"/>
      <c r="T111" s="47"/>
      <c r="U111" s="47"/>
      <c r="V111" s="47"/>
      <c r="W111" s="47"/>
      <c r="X111" s="47"/>
    </row>
    <row r="112">
      <c r="L112" s="183"/>
      <c r="M112" s="47"/>
      <c r="T112" s="47"/>
      <c r="U112" s="47"/>
      <c r="V112" s="47"/>
      <c r="W112" s="47"/>
      <c r="X112" s="47"/>
    </row>
    <row r="113">
      <c r="L113" s="183"/>
      <c r="M113" s="47"/>
      <c r="T113" s="47"/>
      <c r="U113" s="47"/>
      <c r="V113" s="47"/>
      <c r="W113" s="47"/>
      <c r="X113" s="47"/>
    </row>
    <row r="114">
      <c r="L114" s="183"/>
      <c r="M114" s="47"/>
      <c r="T114" s="47"/>
      <c r="U114" s="47"/>
      <c r="V114" s="47"/>
      <c r="W114" s="47"/>
      <c r="X114" s="47"/>
    </row>
    <row r="115">
      <c r="L115" s="183"/>
      <c r="M115" s="47"/>
      <c r="T115" s="47"/>
      <c r="U115" s="47"/>
      <c r="V115" s="47"/>
      <c r="W115" s="47"/>
      <c r="X115" s="47"/>
    </row>
    <row r="116">
      <c r="L116" s="183"/>
      <c r="M116" s="47"/>
      <c r="T116" s="47"/>
      <c r="U116" s="47"/>
      <c r="V116" s="47"/>
      <c r="W116" s="47"/>
      <c r="X116" s="47"/>
    </row>
    <row r="117">
      <c r="L117" s="183"/>
      <c r="M117" s="47"/>
      <c r="T117" s="47"/>
      <c r="U117" s="47"/>
      <c r="V117" s="47"/>
      <c r="W117" s="47"/>
      <c r="X117" s="47"/>
    </row>
    <row r="118">
      <c r="L118" s="183"/>
      <c r="M118" s="47"/>
      <c r="T118" s="47"/>
      <c r="U118" s="47"/>
      <c r="V118" s="47"/>
      <c r="W118" s="47"/>
      <c r="X118" s="47"/>
    </row>
    <row r="119">
      <c r="L119" s="183"/>
      <c r="M119" s="47"/>
      <c r="T119" s="47"/>
      <c r="U119" s="47"/>
      <c r="V119" s="47"/>
      <c r="W119" s="47"/>
      <c r="X119" s="47"/>
    </row>
    <row r="120">
      <c r="L120" s="183"/>
      <c r="M120" s="47"/>
      <c r="T120" s="47"/>
      <c r="U120" s="47"/>
      <c r="V120" s="47"/>
      <c r="W120" s="47"/>
      <c r="X120" s="47"/>
    </row>
    <row r="121">
      <c r="L121" s="183"/>
      <c r="M121" s="47"/>
      <c r="T121" s="47"/>
      <c r="U121" s="47"/>
      <c r="V121" s="47"/>
      <c r="W121" s="47"/>
      <c r="X121" s="47"/>
    </row>
    <row r="122">
      <c r="L122" s="183"/>
      <c r="M122" s="47"/>
      <c r="T122" s="47"/>
      <c r="U122" s="47"/>
      <c r="V122" s="47"/>
      <c r="W122" s="47"/>
      <c r="X122" s="47"/>
    </row>
    <row r="123">
      <c r="L123" s="183"/>
      <c r="M123" s="47"/>
      <c r="T123" s="47"/>
      <c r="U123" s="47"/>
      <c r="V123" s="47"/>
      <c r="W123" s="47"/>
      <c r="X123" s="47"/>
    </row>
    <row r="124">
      <c r="L124" s="183"/>
      <c r="M124" s="47"/>
      <c r="T124" s="47"/>
      <c r="U124" s="47"/>
      <c r="V124" s="47"/>
      <c r="W124" s="47"/>
      <c r="X124" s="47"/>
    </row>
    <row r="125">
      <c r="L125" s="183"/>
      <c r="M125" s="47"/>
      <c r="T125" s="47"/>
      <c r="U125" s="47"/>
      <c r="V125" s="47"/>
      <c r="W125" s="47"/>
      <c r="X125" s="47"/>
    </row>
    <row r="126">
      <c r="L126" s="183"/>
      <c r="M126" s="47"/>
      <c r="T126" s="47"/>
      <c r="U126" s="47"/>
      <c r="V126" s="47"/>
      <c r="W126" s="47"/>
      <c r="X126" s="47"/>
    </row>
    <row r="127">
      <c r="L127" s="183"/>
      <c r="M127" s="47"/>
      <c r="T127" s="47"/>
      <c r="U127" s="47"/>
      <c r="V127" s="47"/>
      <c r="W127" s="47"/>
      <c r="X127" s="47"/>
    </row>
    <row r="128">
      <c r="L128" s="183"/>
      <c r="M128" s="47"/>
      <c r="T128" s="47"/>
      <c r="U128" s="47"/>
      <c r="V128" s="47"/>
      <c r="W128" s="47"/>
      <c r="X128" s="47"/>
    </row>
    <row r="129">
      <c r="L129" s="183"/>
      <c r="M129" s="47"/>
      <c r="T129" s="47"/>
      <c r="U129" s="47"/>
      <c r="V129" s="47"/>
      <c r="W129" s="47"/>
      <c r="X129" s="47"/>
    </row>
    <row r="130">
      <c r="L130" s="183"/>
      <c r="M130" s="47"/>
      <c r="T130" s="47"/>
      <c r="U130" s="47"/>
      <c r="V130" s="47"/>
      <c r="W130" s="47"/>
      <c r="X130" s="47"/>
    </row>
    <row r="131">
      <c r="L131" s="183"/>
      <c r="M131" s="47"/>
      <c r="T131" s="47"/>
      <c r="U131" s="47"/>
      <c r="V131" s="47"/>
      <c r="W131" s="47"/>
      <c r="X131" s="47"/>
    </row>
    <row r="132">
      <c r="L132" s="183"/>
      <c r="M132" s="47"/>
      <c r="T132" s="47"/>
      <c r="U132" s="47"/>
      <c r="V132" s="47"/>
      <c r="W132" s="47"/>
      <c r="X132" s="47"/>
    </row>
    <row r="133">
      <c r="L133" s="183"/>
      <c r="M133" s="47"/>
      <c r="T133" s="47"/>
      <c r="U133" s="47"/>
      <c r="V133" s="47"/>
      <c r="W133" s="47"/>
      <c r="X133" s="47"/>
    </row>
    <row r="134">
      <c r="L134" s="183"/>
      <c r="M134" s="47"/>
      <c r="T134" s="47"/>
      <c r="U134" s="47"/>
      <c r="V134" s="47"/>
      <c r="W134" s="47"/>
      <c r="X134" s="47"/>
    </row>
    <row r="135">
      <c r="L135" s="183"/>
      <c r="M135" s="47"/>
      <c r="T135" s="47"/>
      <c r="U135" s="47"/>
      <c r="V135" s="47"/>
      <c r="W135" s="47"/>
      <c r="X135" s="47"/>
    </row>
    <row r="136">
      <c r="L136" s="183"/>
      <c r="M136" s="47"/>
      <c r="T136" s="47"/>
      <c r="U136" s="47"/>
      <c r="V136" s="47"/>
      <c r="W136" s="47"/>
      <c r="X136" s="47"/>
    </row>
    <row r="137">
      <c r="L137" s="183"/>
      <c r="M137" s="47"/>
      <c r="T137" s="47"/>
      <c r="U137" s="47"/>
      <c r="V137" s="47"/>
      <c r="W137" s="47"/>
      <c r="X137" s="47"/>
    </row>
    <row r="138">
      <c r="L138" s="183"/>
      <c r="M138" s="47"/>
      <c r="T138" s="47"/>
      <c r="U138" s="47"/>
      <c r="V138" s="47"/>
      <c r="W138" s="47"/>
      <c r="X138" s="47"/>
    </row>
    <row r="139">
      <c r="L139" s="183"/>
      <c r="M139" s="47"/>
      <c r="T139" s="47"/>
      <c r="U139" s="47"/>
      <c r="V139" s="47"/>
      <c r="W139" s="47"/>
      <c r="X139" s="47"/>
    </row>
    <row r="140">
      <c r="L140" s="183"/>
      <c r="M140" s="47"/>
      <c r="T140" s="47"/>
      <c r="U140" s="47"/>
      <c r="V140" s="47"/>
      <c r="W140" s="47"/>
      <c r="X140" s="47"/>
    </row>
    <row r="141">
      <c r="L141" s="183"/>
      <c r="M141" s="47"/>
      <c r="T141" s="47"/>
      <c r="U141" s="47"/>
      <c r="V141" s="47"/>
      <c r="W141" s="47"/>
      <c r="X141" s="47"/>
    </row>
    <row r="142">
      <c r="L142" s="183"/>
      <c r="M142" s="47"/>
      <c r="T142" s="47"/>
      <c r="U142" s="47"/>
      <c r="V142" s="47"/>
      <c r="W142" s="47"/>
      <c r="X142" s="47"/>
    </row>
    <row r="143">
      <c r="L143" s="183"/>
      <c r="M143" s="47"/>
      <c r="T143" s="47"/>
      <c r="U143" s="47"/>
      <c r="V143" s="47"/>
      <c r="W143" s="47"/>
      <c r="X143" s="47"/>
    </row>
    <row r="144">
      <c r="L144" s="183"/>
      <c r="M144" s="47"/>
      <c r="T144" s="47"/>
      <c r="U144" s="47"/>
      <c r="V144" s="47"/>
      <c r="W144" s="47"/>
      <c r="X144" s="47"/>
    </row>
    <row r="145">
      <c r="L145" s="183"/>
      <c r="M145" s="47"/>
      <c r="T145" s="47"/>
      <c r="U145" s="47"/>
      <c r="V145" s="47"/>
      <c r="W145" s="47"/>
      <c r="X145" s="47"/>
    </row>
    <row r="146">
      <c r="L146" s="183"/>
      <c r="M146" s="47"/>
      <c r="T146" s="47"/>
      <c r="U146" s="47"/>
      <c r="V146" s="47"/>
      <c r="W146" s="47"/>
      <c r="X146" s="47"/>
    </row>
    <row r="147">
      <c r="L147" s="183"/>
      <c r="M147" s="47"/>
      <c r="T147" s="47"/>
      <c r="U147" s="47"/>
      <c r="V147" s="47"/>
      <c r="W147" s="47"/>
      <c r="X147" s="47"/>
    </row>
    <row r="148">
      <c r="L148" s="183"/>
      <c r="M148" s="47"/>
      <c r="T148" s="47"/>
      <c r="U148" s="47"/>
      <c r="V148" s="47"/>
      <c r="W148" s="47"/>
      <c r="X148" s="47"/>
    </row>
    <row r="149">
      <c r="L149" s="183"/>
      <c r="M149" s="47"/>
      <c r="T149" s="47"/>
      <c r="U149" s="47"/>
      <c r="V149" s="47"/>
      <c r="W149" s="47"/>
      <c r="X149" s="47"/>
    </row>
    <row r="150">
      <c r="L150" s="183"/>
      <c r="M150" s="47"/>
      <c r="T150" s="47"/>
      <c r="U150" s="47"/>
      <c r="V150" s="47"/>
      <c r="W150" s="47"/>
      <c r="X150" s="47"/>
    </row>
    <row r="151">
      <c r="L151" s="183"/>
      <c r="M151" s="47"/>
      <c r="T151" s="47"/>
      <c r="U151" s="47"/>
      <c r="V151" s="47"/>
      <c r="W151" s="47"/>
      <c r="X151" s="47"/>
    </row>
    <row r="152">
      <c r="L152" s="183"/>
      <c r="M152" s="47"/>
      <c r="T152" s="47"/>
      <c r="U152" s="47"/>
      <c r="V152" s="47"/>
      <c r="W152" s="47"/>
      <c r="X152" s="47"/>
    </row>
    <row r="153">
      <c r="L153" s="183"/>
      <c r="M153" s="47"/>
      <c r="T153" s="47"/>
      <c r="U153" s="47"/>
      <c r="V153" s="47"/>
      <c r="W153" s="47"/>
      <c r="X153" s="47"/>
    </row>
    <row r="154">
      <c r="L154" s="183"/>
      <c r="M154" s="47"/>
      <c r="T154" s="47"/>
      <c r="U154" s="47"/>
      <c r="V154" s="47"/>
      <c r="W154" s="47"/>
      <c r="X154" s="47"/>
    </row>
    <row r="155">
      <c r="L155" s="183"/>
      <c r="M155" s="47"/>
      <c r="T155" s="47"/>
      <c r="U155" s="47"/>
      <c r="V155" s="47"/>
      <c r="W155" s="47"/>
      <c r="X155" s="47"/>
    </row>
    <row r="156">
      <c r="L156" s="183"/>
      <c r="M156" s="47"/>
      <c r="T156" s="47"/>
      <c r="U156" s="47"/>
      <c r="V156" s="47"/>
      <c r="W156" s="47"/>
      <c r="X156" s="47"/>
    </row>
    <row r="157">
      <c r="L157" s="183"/>
      <c r="M157" s="47"/>
      <c r="T157" s="47"/>
      <c r="U157" s="47"/>
      <c r="V157" s="47"/>
      <c r="W157" s="47"/>
      <c r="X157" s="47"/>
    </row>
    <row r="158">
      <c r="L158" s="183"/>
      <c r="M158" s="47"/>
      <c r="T158" s="47"/>
      <c r="U158" s="47"/>
      <c r="V158" s="47"/>
      <c r="W158" s="47"/>
      <c r="X158" s="47"/>
    </row>
    <row r="159">
      <c r="L159" s="183"/>
      <c r="M159" s="47"/>
      <c r="T159" s="47"/>
      <c r="U159" s="47"/>
      <c r="V159" s="47"/>
      <c r="W159" s="47"/>
      <c r="X159" s="47"/>
    </row>
    <row r="160">
      <c r="L160" s="183"/>
      <c r="M160" s="47"/>
      <c r="T160" s="47"/>
      <c r="U160" s="47"/>
      <c r="V160" s="47"/>
      <c r="W160" s="47"/>
      <c r="X160" s="47"/>
    </row>
    <row r="161">
      <c r="L161" s="183"/>
      <c r="M161" s="47"/>
      <c r="T161" s="47"/>
      <c r="U161" s="47"/>
      <c r="V161" s="47"/>
      <c r="W161" s="47"/>
      <c r="X161" s="47"/>
    </row>
    <row r="162">
      <c r="L162" s="183"/>
      <c r="M162" s="47"/>
      <c r="T162" s="47"/>
      <c r="U162" s="47"/>
      <c r="V162" s="47"/>
      <c r="W162" s="47"/>
      <c r="X162" s="47"/>
    </row>
    <row r="163">
      <c r="L163" s="183"/>
      <c r="M163" s="47"/>
      <c r="T163" s="47"/>
      <c r="U163" s="47"/>
      <c r="V163" s="47"/>
      <c r="W163" s="47"/>
      <c r="X163" s="47"/>
    </row>
    <row r="164">
      <c r="L164" s="183"/>
      <c r="M164" s="47"/>
      <c r="T164" s="47"/>
      <c r="U164" s="47"/>
      <c r="V164" s="47"/>
      <c r="W164" s="47"/>
      <c r="X164" s="47"/>
    </row>
    <row r="165">
      <c r="L165" s="183"/>
      <c r="M165" s="47"/>
      <c r="T165" s="47"/>
      <c r="U165" s="47"/>
      <c r="V165" s="47"/>
      <c r="W165" s="47"/>
      <c r="X165" s="47"/>
    </row>
    <row r="166">
      <c r="L166" s="183"/>
      <c r="M166" s="47"/>
      <c r="T166" s="47"/>
      <c r="U166" s="47"/>
      <c r="V166" s="47"/>
      <c r="W166" s="47"/>
      <c r="X166" s="47"/>
    </row>
    <row r="167">
      <c r="L167" s="183"/>
      <c r="M167" s="47"/>
      <c r="T167" s="47"/>
      <c r="U167" s="47"/>
      <c r="V167" s="47"/>
      <c r="W167" s="47"/>
      <c r="X167" s="47"/>
    </row>
    <row r="168">
      <c r="L168" s="183"/>
      <c r="M168" s="47"/>
      <c r="T168" s="47"/>
      <c r="U168" s="47"/>
      <c r="V168" s="47"/>
      <c r="W168" s="47"/>
      <c r="X168" s="47"/>
    </row>
    <row r="169">
      <c r="L169" s="183"/>
      <c r="M169" s="47"/>
      <c r="T169" s="47"/>
      <c r="U169" s="47"/>
      <c r="V169" s="47"/>
      <c r="W169" s="47"/>
      <c r="X169" s="47"/>
    </row>
    <row r="170">
      <c r="L170" s="183"/>
      <c r="M170" s="47"/>
      <c r="T170" s="47"/>
      <c r="U170" s="47"/>
      <c r="V170" s="47"/>
      <c r="W170" s="47"/>
      <c r="X170" s="47"/>
    </row>
    <row r="171">
      <c r="L171" s="183"/>
      <c r="M171" s="47"/>
      <c r="T171" s="47"/>
      <c r="U171" s="47"/>
      <c r="V171" s="47"/>
      <c r="W171" s="47"/>
      <c r="X171" s="47"/>
    </row>
    <row r="172">
      <c r="L172" s="183"/>
      <c r="M172" s="47"/>
      <c r="T172" s="47"/>
      <c r="U172" s="47"/>
      <c r="V172" s="47"/>
      <c r="W172" s="47"/>
      <c r="X172" s="47"/>
    </row>
    <row r="173">
      <c r="L173" s="183"/>
      <c r="M173" s="47"/>
      <c r="T173" s="47"/>
      <c r="U173" s="47"/>
      <c r="V173" s="47"/>
      <c r="W173" s="47"/>
      <c r="X173" s="47"/>
    </row>
    <row r="174">
      <c r="L174" s="183"/>
      <c r="M174" s="47"/>
      <c r="T174" s="47"/>
      <c r="U174" s="47"/>
      <c r="V174" s="47"/>
      <c r="W174" s="47"/>
      <c r="X174" s="47"/>
    </row>
    <row r="175">
      <c r="L175" s="183"/>
      <c r="M175" s="47"/>
      <c r="T175" s="47"/>
      <c r="U175" s="47"/>
      <c r="V175" s="47"/>
      <c r="W175" s="47"/>
      <c r="X175" s="47"/>
    </row>
    <row r="176">
      <c r="L176" s="183"/>
      <c r="M176" s="47"/>
      <c r="T176" s="47"/>
      <c r="U176" s="47"/>
      <c r="V176" s="47"/>
      <c r="W176" s="47"/>
      <c r="X176" s="47"/>
    </row>
    <row r="177">
      <c r="L177" s="183"/>
      <c r="M177" s="47"/>
      <c r="T177" s="47"/>
      <c r="U177" s="47"/>
      <c r="V177" s="47"/>
      <c r="W177" s="47"/>
      <c r="X177" s="47"/>
    </row>
    <row r="178">
      <c r="L178" s="183"/>
      <c r="M178" s="47"/>
      <c r="T178" s="47"/>
      <c r="U178" s="47"/>
      <c r="V178" s="47"/>
      <c r="W178" s="47"/>
      <c r="X178" s="47"/>
    </row>
    <row r="179">
      <c r="L179" s="183"/>
      <c r="M179" s="47"/>
      <c r="T179" s="47"/>
      <c r="U179" s="47"/>
      <c r="V179" s="47"/>
      <c r="W179" s="47"/>
      <c r="X179" s="47"/>
    </row>
    <row r="180">
      <c r="L180" s="183"/>
      <c r="M180" s="47"/>
      <c r="T180" s="47"/>
      <c r="U180" s="47"/>
      <c r="V180" s="47"/>
      <c r="W180" s="47"/>
      <c r="X180" s="47"/>
    </row>
    <row r="181">
      <c r="L181" s="183"/>
      <c r="M181" s="47"/>
      <c r="T181" s="47"/>
      <c r="U181" s="47"/>
      <c r="V181" s="47"/>
      <c r="W181" s="47"/>
      <c r="X181" s="47"/>
    </row>
    <row r="182">
      <c r="L182" s="183"/>
      <c r="M182" s="47"/>
      <c r="T182" s="47"/>
      <c r="U182" s="47"/>
      <c r="V182" s="47"/>
      <c r="W182" s="47"/>
      <c r="X182" s="47"/>
    </row>
    <row r="183">
      <c r="L183" s="183"/>
      <c r="M183" s="47"/>
      <c r="T183" s="47"/>
      <c r="U183" s="47"/>
      <c r="V183" s="47"/>
      <c r="W183" s="47"/>
      <c r="X183" s="47"/>
    </row>
    <row r="184">
      <c r="L184" s="183"/>
      <c r="M184" s="47"/>
      <c r="T184" s="47"/>
      <c r="U184" s="47"/>
      <c r="V184" s="47"/>
      <c r="W184" s="47"/>
      <c r="X184" s="47"/>
    </row>
    <row r="185">
      <c r="L185" s="183"/>
      <c r="M185" s="47"/>
      <c r="T185" s="47"/>
      <c r="U185" s="47"/>
      <c r="V185" s="47"/>
      <c r="W185" s="47"/>
      <c r="X185" s="47"/>
    </row>
    <row r="186">
      <c r="L186" s="183"/>
      <c r="M186" s="47"/>
      <c r="T186" s="47"/>
      <c r="U186" s="47"/>
      <c r="V186" s="47"/>
      <c r="W186" s="47"/>
      <c r="X186" s="47"/>
    </row>
    <row r="187">
      <c r="L187" s="183"/>
      <c r="M187" s="47"/>
      <c r="T187" s="47"/>
      <c r="U187" s="47"/>
      <c r="V187" s="47"/>
      <c r="W187" s="47"/>
      <c r="X187" s="47"/>
    </row>
    <row r="188">
      <c r="L188" s="183"/>
      <c r="M188" s="47"/>
      <c r="T188" s="47"/>
      <c r="U188" s="47"/>
      <c r="V188" s="47"/>
      <c r="W188" s="47"/>
      <c r="X188" s="47"/>
    </row>
    <row r="189">
      <c r="L189" s="183"/>
      <c r="M189" s="47"/>
      <c r="T189" s="47"/>
      <c r="U189" s="47"/>
      <c r="V189" s="47"/>
      <c r="W189" s="47"/>
      <c r="X189" s="47"/>
    </row>
    <row r="190">
      <c r="L190" s="183"/>
      <c r="M190" s="47"/>
      <c r="T190" s="47"/>
      <c r="U190" s="47"/>
      <c r="V190" s="47"/>
      <c r="W190" s="47"/>
      <c r="X190" s="47"/>
    </row>
    <row r="191">
      <c r="L191" s="183"/>
      <c r="M191" s="47"/>
      <c r="T191" s="47"/>
      <c r="U191" s="47"/>
      <c r="V191" s="47"/>
      <c r="W191" s="47"/>
      <c r="X191" s="47"/>
    </row>
    <row r="192">
      <c r="L192" s="183"/>
      <c r="M192" s="47"/>
      <c r="T192" s="47"/>
      <c r="U192" s="47"/>
      <c r="V192" s="47"/>
      <c r="W192" s="47"/>
      <c r="X192" s="47"/>
    </row>
    <row r="193">
      <c r="L193" s="183"/>
      <c r="M193" s="47"/>
      <c r="T193" s="47"/>
      <c r="U193" s="47"/>
      <c r="V193" s="47"/>
      <c r="W193" s="47"/>
      <c r="X193" s="47"/>
    </row>
    <row r="194">
      <c r="L194" s="183"/>
      <c r="M194" s="47"/>
      <c r="T194" s="47"/>
      <c r="U194" s="47"/>
      <c r="V194" s="47"/>
      <c r="W194" s="47"/>
      <c r="X194" s="47"/>
    </row>
    <row r="195">
      <c r="L195" s="183"/>
      <c r="M195" s="47"/>
      <c r="T195" s="47"/>
      <c r="U195" s="47"/>
      <c r="V195" s="47"/>
      <c r="W195" s="47"/>
      <c r="X195" s="47"/>
    </row>
    <row r="196">
      <c r="L196" s="183"/>
      <c r="M196" s="47"/>
      <c r="T196" s="47"/>
      <c r="U196" s="47"/>
      <c r="V196" s="47"/>
      <c r="W196" s="47"/>
      <c r="X196" s="47"/>
    </row>
    <row r="197">
      <c r="L197" s="183"/>
      <c r="M197" s="47"/>
      <c r="T197" s="47"/>
      <c r="U197" s="47"/>
      <c r="V197" s="47"/>
      <c r="W197" s="47"/>
      <c r="X197" s="47"/>
    </row>
    <row r="198">
      <c r="L198" s="183"/>
      <c r="M198" s="47"/>
      <c r="T198" s="47"/>
      <c r="U198" s="47"/>
      <c r="V198" s="47"/>
      <c r="W198" s="47"/>
      <c r="X198" s="47"/>
    </row>
    <row r="199">
      <c r="L199" s="183"/>
      <c r="M199" s="47"/>
      <c r="T199" s="47"/>
      <c r="U199" s="47"/>
      <c r="V199" s="47"/>
      <c r="W199" s="47"/>
      <c r="X199" s="47"/>
    </row>
    <row r="200">
      <c r="L200" s="183"/>
      <c r="M200" s="47"/>
      <c r="T200" s="47"/>
      <c r="U200" s="47"/>
      <c r="V200" s="47"/>
      <c r="W200" s="47"/>
      <c r="X200" s="47"/>
    </row>
    <row r="201">
      <c r="L201" s="183"/>
      <c r="M201" s="47"/>
      <c r="T201" s="47"/>
      <c r="U201" s="47"/>
      <c r="V201" s="47"/>
      <c r="W201" s="47"/>
      <c r="X201" s="47"/>
    </row>
    <row r="202">
      <c r="L202" s="183"/>
      <c r="M202" s="47"/>
      <c r="T202" s="47"/>
      <c r="U202" s="47"/>
      <c r="V202" s="47"/>
      <c r="W202" s="47"/>
      <c r="X202" s="47"/>
    </row>
    <row r="203">
      <c r="L203" s="183"/>
      <c r="M203" s="47"/>
      <c r="T203" s="47"/>
      <c r="U203" s="47"/>
      <c r="V203" s="47"/>
      <c r="W203" s="47"/>
      <c r="X203" s="47"/>
    </row>
    <row r="204">
      <c r="L204" s="183"/>
      <c r="M204" s="47"/>
      <c r="T204" s="47"/>
      <c r="U204" s="47"/>
      <c r="V204" s="47"/>
      <c r="W204" s="47"/>
      <c r="X204" s="47"/>
    </row>
    <row r="205">
      <c r="L205" s="183"/>
      <c r="M205" s="47"/>
      <c r="T205" s="47"/>
      <c r="U205" s="47"/>
      <c r="V205" s="47"/>
      <c r="W205" s="47"/>
      <c r="X205" s="47"/>
    </row>
    <row r="206">
      <c r="L206" s="183"/>
      <c r="M206" s="47"/>
      <c r="T206" s="47"/>
      <c r="U206" s="47"/>
      <c r="V206" s="47"/>
      <c r="W206" s="47"/>
      <c r="X206" s="47"/>
    </row>
    <row r="207">
      <c r="L207" s="183"/>
      <c r="M207" s="47"/>
      <c r="T207" s="47"/>
      <c r="U207" s="47"/>
      <c r="V207" s="47"/>
      <c r="W207" s="47"/>
      <c r="X207" s="47"/>
    </row>
    <row r="208">
      <c r="L208" s="183"/>
      <c r="M208" s="47"/>
      <c r="T208" s="47"/>
      <c r="U208" s="47"/>
      <c r="V208" s="47"/>
      <c r="W208" s="47"/>
      <c r="X208" s="47"/>
    </row>
    <row r="209">
      <c r="L209" s="183"/>
      <c r="M209" s="47"/>
      <c r="T209" s="47"/>
      <c r="U209" s="47"/>
      <c r="V209" s="47"/>
      <c r="W209" s="47"/>
      <c r="X209" s="47"/>
    </row>
    <row r="210">
      <c r="L210" s="183"/>
      <c r="M210" s="47"/>
      <c r="T210" s="47"/>
      <c r="U210" s="47"/>
      <c r="V210" s="47"/>
      <c r="W210" s="47"/>
      <c r="X210" s="47"/>
    </row>
    <row r="211">
      <c r="L211" s="183"/>
      <c r="M211" s="47"/>
      <c r="T211" s="47"/>
      <c r="U211" s="47"/>
      <c r="V211" s="47"/>
      <c r="W211" s="47"/>
      <c r="X211" s="47"/>
    </row>
    <row r="212">
      <c r="L212" s="183"/>
      <c r="M212" s="47"/>
      <c r="T212" s="47"/>
      <c r="U212" s="47"/>
      <c r="V212" s="47"/>
      <c r="W212" s="47"/>
      <c r="X212" s="47"/>
    </row>
    <row r="213">
      <c r="L213" s="183"/>
      <c r="M213" s="47"/>
      <c r="T213" s="47"/>
      <c r="U213" s="47"/>
      <c r="V213" s="47"/>
      <c r="W213" s="47"/>
      <c r="X213" s="47"/>
    </row>
    <row r="214">
      <c r="L214" s="183"/>
      <c r="M214" s="47"/>
      <c r="T214" s="47"/>
      <c r="U214" s="47"/>
      <c r="V214" s="47"/>
      <c r="W214" s="47"/>
      <c r="X214" s="47"/>
    </row>
    <row r="215">
      <c r="L215" s="183"/>
      <c r="M215" s="47"/>
      <c r="T215" s="47"/>
      <c r="U215" s="47"/>
      <c r="V215" s="47"/>
      <c r="W215" s="47"/>
      <c r="X215" s="47"/>
    </row>
    <row r="216">
      <c r="L216" s="183"/>
      <c r="M216" s="47"/>
      <c r="T216" s="47"/>
      <c r="U216" s="47"/>
      <c r="V216" s="47"/>
      <c r="W216" s="47"/>
      <c r="X216" s="47"/>
    </row>
    <row r="217">
      <c r="L217" s="183"/>
      <c r="M217" s="47"/>
      <c r="T217" s="47"/>
      <c r="U217" s="47"/>
      <c r="V217" s="47"/>
      <c r="W217" s="47"/>
      <c r="X217" s="47"/>
    </row>
    <row r="218">
      <c r="L218" s="183"/>
      <c r="M218" s="47"/>
      <c r="T218" s="47"/>
      <c r="U218" s="47"/>
      <c r="V218" s="47"/>
      <c r="W218" s="47"/>
      <c r="X218" s="47"/>
    </row>
    <row r="219">
      <c r="L219" s="183"/>
      <c r="M219" s="47"/>
      <c r="T219" s="47"/>
      <c r="U219" s="47"/>
      <c r="V219" s="47"/>
      <c r="W219" s="47"/>
      <c r="X219" s="47"/>
    </row>
    <row r="220">
      <c r="L220" s="183"/>
      <c r="M220" s="47"/>
      <c r="T220" s="47"/>
      <c r="U220" s="47"/>
      <c r="V220" s="47"/>
      <c r="W220" s="47"/>
      <c r="X220" s="47"/>
    </row>
    <row r="221">
      <c r="L221" s="183"/>
      <c r="M221" s="47"/>
      <c r="T221" s="47"/>
      <c r="U221" s="47"/>
      <c r="V221" s="47"/>
      <c r="W221" s="47"/>
      <c r="X221" s="47"/>
    </row>
    <row r="222">
      <c r="L222" s="183"/>
      <c r="M222" s="47"/>
      <c r="T222" s="47"/>
      <c r="U222" s="47"/>
      <c r="V222" s="47"/>
      <c r="W222" s="47"/>
      <c r="X222" s="47"/>
    </row>
    <row r="223">
      <c r="L223" s="183"/>
      <c r="M223" s="47"/>
      <c r="T223" s="47"/>
      <c r="U223" s="47"/>
      <c r="V223" s="47"/>
      <c r="W223" s="47"/>
      <c r="X223" s="47"/>
    </row>
    <row r="224">
      <c r="L224" s="183"/>
      <c r="M224" s="47"/>
      <c r="T224" s="47"/>
      <c r="U224" s="47"/>
      <c r="V224" s="47"/>
      <c r="W224" s="47"/>
      <c r="X224" s="47"/>
    </row>
    <row r="225">
      <c r="L225" s="183"/>
      <c r="M225" s="47"/>
      <c r="T225" s="47"/>
      <c r="U225" s="47"/>
      <c r="V225" s="47"/>
      <c r="W225" s="47"/>
      <c r="X225" s="47"/>
    </row>
    <row r="226">
      <c r="L226" s="183"/>
      <c r="M226" s="47"/>
      <c r="T226" s="47"/>
      <c r="U226" s="47"/>
      <c r="V226" s="47"/>
      <c r="W226" s="47"/>
      <c r="X226" s="47"/>
    </row>
    <row r="227">
      <c r="L227" s="183"/>
      <c r="M227" s="47"/>
      <c r="T227" s="47"/>
      <c r="U227" s="47"/>
      <c r="V227" s="47"/>
      <c r="W227" s="47"/>
      <c r="X227" s="47"/>
    </row>
    <row r="228">
      <c r="L228" s="183"/>
      <c r="M228" s="47"/>
      <c r="T228" s="47"/>
      <c r="U228" s="47"/>
      <c r="V228" s="47"/>
      <c r="W228" s="47"/>
      <c r="X228" s="47"/>
    </row>
    <row r="229">
      <c r="L229" s="183"/>
      <c r="M229" s="47"/>
      <c r="T229" s="47"/>
      <c r="U229" s="47"/>
      <c r="V229" s="47"/>
      <c r="W229" s="47"/>
      <c r="X229" s="47"/>
    </row>
    <row r="230">
      <c r="L230" s="183"/>
      <c r="M230" s="47"/>
      <c r="T230" s="47"/>
      <c r="U230" s="47"/>
      <c r="V230" s="47"/>
      <c r="W230" s="47"/>
      <c r="X230" s="47"/>
    </row>
    <row r="231">
      <c r="L231" s="183"/>
      <c r="M231" s="47"/>
      <c r="T231" s="47"/>
      <c r="U231" s="47"/>
      <c r="V231" s="47"/>
      <c r="W231" s="47"/>
      <c r="X231" s="47"/>
    </row>
    <row r="232">
      <c r="L232" s="183"/>
      <c r="M232" s="47"/>
      <c r="T232" s="47"/>
      <c r="U232" s="47"/>
      <c r="V232" s="47"/>
      <c r="W232" s="47"/>
      <c r="X232" s="47"/>
    </row>
    <row r="233">
      <c r="L233" s="183"/>
      <c r="M233" s="47"/>
      <c r="T233" s="47"/>
      <c r="U233" s="47"/>
      <c r="V233" s="47"/>
      <c r="W233" s="47"/>
      <c r="X233" s="47"/>
    </row>
    <row r="234">
      <c r="L234" s="183"/>
      <c r="M234" s="47"/>
      <c r="T234" s="47"/>
      <c r="U234" s="47"/>
      <c r="V234" s="47"/>
      <c r="W234" s="47"/>
      <c r="X234" s="47"/>
    </row>
    <row r="235">
      <c r="L235" s="183"/>
      <c r="M235" s="47"/>
      <c r="T235" s="47"/>
      <c r="U235" s="47"/>
      <c r="V235" s="47"/>
      <c r="W235" s="47"/>
      <c r="X235" s="47"/>
    </row>
    <row r="236">
      <c r="L236" s="183"/>
      <c r="M236" s="47"/>
      <c r="T236" s="47"/>
      <c r="U236" s="47"/>
      <c r="V236" s="47"/>
      <c r="W236" s="47"/>
      <c r="X236" s="47"/>
    </row>
    <row r="237">
      <c r="L237" s="183"/>
      <c r="M237" s="47"/>
      <c r="T237" s="47"/>
      <c r="U237" s="47"/>
      <c r="V237" s="47"/>
      <c r="W237" s="47"/>
      <c r="X237" s="47"/>
    </row>
    <row r="238">
      <c r="L238" s="183"/>
      <c r="M238" s="47"/>
      <c r="T238" s="47"/>
      <c r="U238" s="47"/>
      <c r="V238" s="47"/>
      <c r="W238" s="47"/>
      <c r="X238" s="47"/>
    </row>
    <row r="239">
      <c r="L239" s="183"/>
      <c r="M239" s="47"/>
      <c r="T239" s="47"/>
      <c r="U239" s="47"/>
      <c r="V239" s="47"/>
      <c r="W239" s="47"/>
      <c r="X239" s="47"/>
    </row>
    <row r="240">
      <c r="L240" s="183"/>
      <c r="M240" s="47"/>
      <c r="T240" s="47"/>
      <c r="U240" s="47"/>
      <c r="V240" s="47"/>
      <c r="W240" s="47"/>
      <c r="X240" s="47"/>
    </row>
    <row r="241">
      <c r="L241" s="183"/>
      <c r="M241" s="47"/>
      <c r="T241" s="47"/>
      <c r="U241" s="47"/>
      <c r="V241" s="47"/>
      <c r="W241" s="47"/>
      <c r="X241" s="47"/>
    </row>
    <row r="242">
      <c r="L242" s="183"/>
      <c r="M242" s="47"/>
      <c r="T242" s="47"/>
      <c r="U242" s="47"/>
      <c r="V242" s="47"/>
      <c r="W242" s="47"/>
      <c r="X242" s="47"/>
    </row>
    <row r="243">
      <c r="L243" s="183"/>
      <c r="M243" s="47"/>
      <c r="T243" s="47"/>
      <c r="U243" s="47"/>
      <c r="V243" s="47"/>
      <c r="W243" s="47"/>
      <c r="X243" s="47"/>
    </row>
    <row r="244">
      <c r="L244" s="183"/>
      <c r="M244" s="47"/>
      <c r="T244" s="47"/>
      <c r="U244" s="47"/>
      <c r="V244" s="47"/>
      <c r="W244" s="47"/>
      <c r="X244" s="47"/>
    </row>
    <row r="245">
      <c r="L245" s="183"/>
      <c r="M245" s="47"/>
      <c r="T245" s="47"/>
      <c r="U245" s="47"/>
      <c r="V245" s="47"/>
      <c r="W245" s="47"/>
      <c r="X245" s="47"/>
    </row>
    <row r="246">
      <c r="L246" s="183"/>
      <c r="M246" s="47"/>
      <c r="T246" s="47"/>
      <c r="U246" s="47"/>
      <c r="V246" s="47"/>
      <c r="W246" s="47"/>
      <c r="X246" s="47"/>
    </row>
    <row r="247">
      <c r="L247" s="183"/>
      <c r="M247" s="47"/>
      <c r="T247" s="47"/>
      <c r="U247" s="47"/>
      <c r="V247" s="47"/>
      <c r="W247" s="47"/>
      <c r="X247" s="47"/>
    </row>
    <row r="248">
      <c r="L248" s="183"/>
      <c r="M248" s="47"/>
      <c r="T248" s="47"/>
      <c r="U248" s="47"/>
      <c r="V248" s="47"/>
      <c r="W248" s="47"/>
      <c r="X248" s="47"/>
    </row>
    <row r="249">
      <c r="L249" s="183"/>
      <c r="M249" s="47"/>
      <c r="T249" s="47"/>
      <c r="U249" s="47"/>
      <c r="V249" s="47"/>
      <c r="W249" s="47"/>
      <c r="X249" s="47"/>
    </row>
    <row r="250">
      <c r="L250" s="183"/>
      <c r="M250" s="47"/>
      <c r="T250" s="47"/>
      <c r="U250" s="47"/>
      <c r="V250" s="47"/>
      <c r="W250" s="47"/>
      <c r="X250" s="47"/>
    </row>
    <row r="251">
      <c r="L251" s="183"/>
      <c r="M251" s="47"/>
      <c r="T251" s="47"/>
      <c r="U251" s="47"/>
      <c r="V251" s="47"/>
      <c r="W251" s="47"/>
      <c r="X251" s="47"/>
    </row>
    <row r="252">
      <c r="L252" s="183"/>
      <c r="M252" s="47"/>
      <c r="T252" s="47"/>
      <c r="U252" s="47"/>
      <c r="V252" s="47"/>
      <c r="W252" s="47"/>
      <c r="X252" s="47"/>
    </row>
    <row r="253">
      <c r="L253" s="183"/>
      <c r="M253" s="47"/>
      <c r="T253" s="47"/>
      <c r="U253" s="47"/>
      <c r="V253" s="47"/>
      <c r="W253" s="47"/>
      <c r="X253" s="47"/>
    </row>
    <row r="254">
      <c r="L254" s="183"/>
      <c r="M254" s="47"/>
      <c r="T254" s="47"/>
      <c r="U254" s="47"/>
      <c r="V254" s="47"/>
      <c r="W254" s="47"/>
      <c r="X254" s="47"/>
    </row>
    <row r="255">
      <c r="L255" s="183"/>
      <c r="M255" s="47"/>
      <c r="T255" s="47"/>
      <c r="U255" s="47"/>
      <c r="V255" s="47"/>
      <c r="W255" s="47"/>
      <c r="X255" s="47"/>
    </row>
    <row r="256">
      <c r="L256" s="183"/>
      <c r="M256" s="47"/>
      <c r="T256" s="47"/>
      <c r="U256" s="47"/>
      <c r="V256" s="47"/>
      <c r="W256" s="47"/>
      <c r="X256" s="47"/>
    </row>
    <row r="257">
      <c r="L257" s="183"/>
      <c r="M257" s="47"/>
      <c r="T257" s="47"/>
      <c r="U257" s="47"/>
      <c r="V257" s="47"/>
      <c r="W257" s="47"/>
      <c r="X257" s="47"/>
    </row>
    <row r="258">
      <c r="L258" s="183"/>
      <c r="M258" s="47"/>
      <c r="T258" s="47"/>
      <c r="U258" s="47"/>
      <c r="V258" s="47"/>
      <c r="W258" s="47"/>
      <c r="X258" s="47"/>
    </row>
    <row r="259">
      <c r="L259" s="183"/>
      <c r="M259" s="47"/>
      <c r="T259" s="47"/>
      <c r="U259" s="47"/>
      <c r="V259" s="47"/>
      <c r="W259" s="47"/>
      <c r="X259" s="47"/>
    </row>
    <row r="260">
      <c r="L260" s="183"/>
      <c r="M260" s="47"/>
      <c r="T260" s="47"/>
      <c r="U260" s="47"/>
      <c r="V260" s="47"/>
      <c r="W260" s="47"/>
      <c r="X260" s="47"/>
    </row>
    <row r="261">
      <c r="L261" s="183"/>
      <c r="M261" s="47"/>
      <c r="T261" s="47"/>
      <c r="U261" s="47"/>
      <c r="V261" s="47"/>
      <c r="W261" s="47"/>
      <c r="X261" s="47"/>
    </row>
    <row r="262">
      <c r="L262" s="183"/>
      <c r="M262" s="47"/>
      <c r="T262" s="47"/>
      <c r="U262" s="47"/>
      <c r="V262" s="47"/>
      <c r="W262" s="47"/>
      <c r="X262" s="47"/>
    </row>
    <row r="263">
      <c r="L263" s="183"/>
      <c r="M263" s="47"/>
      <c r="T263" s="47"/>
      <c r="U263" s="47"/>
      <c r="V263" s="47"/>
      <c r="W263" s="47"/>
      <c r="X263" s="47"/>
    </row>
    <row r="264">
      <c r="L264" s="183"/>
      <c r="M264" s="47"/>
      <c r="T264" s="47"/>
      <c r="U264" s="47"/>
      <c r="V264" s="47"/>
      <c r="W264" s="47"/>
      <c r="X264" s="47"/>
    </row>
    <row r="265">
      <c r="L265" s="183"/>
      <c r="M265" s="47"/>
      <c r="T265" s="47"/>
      <c r="U265" s="47"/>
      <c r="V265" s="47"/>
      <c r="W265" s="47"/>
      <c r="X265" s="47"/>
    </row>
    <row r="266">
      <c r="L266" s="183"/>
      <c r="M266" s="47"/>
      <c r="T266" s="47"/>
      <c r="U266" s="47"/>
      <c r="V266" s="47"/>
      <c r="W266" s="47"/>
      <c r="X266" s="47"/>
    </row>
    <row r="267">
      <c r="L267" s="183"/>
      <c r="M267" s="47"/>
      <c r="T267" s="47"/>
      <c r="U267" s="47"/>
      <c r="V267" s="47"/>
      <c r="W267" s="47"/>
      <c r="X267" s="47"/>
    </row>
    <row r="268">
      <c r="L268" s="183"/>
      <c r="M268" s="47"/>
      <c r="T268" s="47"/>
      <c r="U268" s="47"/>
      <c r="V268" s="47"/>
      <c r="W268" s="47"/>
      <c r="X268" s="47"/>
    </row>
    <row r="269">
      <c r="L269" s="183"/>
      <c r="M269" s="47"/>
      <c r="T269" s="47"/>
      <c r="U269" s="47"/>
      <c r="V269" s="47"/>
      <c r="W269" s="47"/>
      <c r="X269" s="47"/>
    </row>
    <row r="270">
      <c r="L270" s="183"/>
      <c r="M270" s="47"/>
      <c r="T270" s="47"/>
      <c r="U270" s="47"/>
      <c r="V270" s="47"/>
      <c r="W270" s="47"/>
      <c r="X270" s="47"/>
    </row>
    <row r="271">
      <c r="L271" s="183"/>
      <c r="M271" s="47"/>
      <c r="T271" s="47"/>
      <c r="U271" s="47"/>
      <c r="V271" s="47"/>
      <c r="W271" s="47"/>
      <c r="X271" s="47"/>
    </row>
    <row r="272">
      <c r="L272" s="183"/>
      <c r="M272" s="47"/>
      <c r="T272" s="47"/>
      <c r="U272" s="47"/>
      <c r="V272" s="47"/>
      <c r="W272" s="47"/>
      <c r="X272" s="47"/>
    </row>
    <row r="273">
      <c r="L273" s="183"/>
      <c r="M273" s="47"/>
      <c r="T273" s="47"/>
      <c r="U273" s="47"/>
      <c r="V273" s="47"/>
      <c r="W273" s="47"/>
      <c r="X273" s="47"/>
    </row>
    <row r="274">
      <c r="L274" s="183"/>
      <c r="M274" s="47"/>
      <c r="T274" s="47"/>
      <c r="U274" s="47"/>
      <c r="V274" s="47"/>
      <c r="W274" s="47"/>
      <c r="X274" s="47"/>
    </row>
    <row r="275">
      <c r="L275" s="183"/>
      <c r="M275" s="47"/>
      <c r="T275" s="47"/>
      <c r="U275" s="47"/>
      <c r="V275" s="47"/>
      <c r="W275" s="47"/>
      <c r="X275" s="47"/>
    </row>
    <row r="276">
      <c r="L276" s="183"/>
      <c r="M276" s="47"/>
      <c r="T276" s="47"/>
      <c r="U276" s="47"/>
      <c r="V276" s="47"/>
      <c r="W276" s="47"/>
      <c r="X276" s="47"/>
    </row>
    <row r="277">
      <c r="L277" s="183"/>
      <c r="M277" s="47"/>
      <c r="T277" s="47"/>
      <c r="U277" s="47"/>
      <c r="V277" s="47"/>
      <c r="W277" s="47"/>
      <c r="X277" s="47"/>
    </row>
    <row r="278">
      <c r="L278" s="183"/>
      <c r="M278" s="47"/>
      <c r="T278" s="47"/>
      <c r="U278" s="47"/>
      <c r="V278" s="47"/>
      <c r="W278" s="47"/>
      <c r="X278" s="47"/>
    </row>
    <row r="279">
      <c r="L279" s="183"/>
      <c r="M279" s="47"/>
      <c r="T279" s="47"/>
      <c r="U279" s="47"/>
      <c r="V279" s="47"/>
      <c r="W279" s="47"/>
      <c r="X279" s="47"/>
    </row>
    <row r="280">
      <c r="L280" s="183"/>
      <c r="M280" s="47"/>
      <c r="T280" s="47"/>
      <c r="U280" s="47"/>
      <c r="V280" s="47"/>
      <c r="W280" s="47"/>
      <c r="X280" s="47"/>
    </row>
    <row r="281">
      <c r="L281" s="183"/>
      <c r="M281" s="47"/>
      <c r="T281" s="47"/>
      <c r="U281" s="47"/>
      <c r="V281" s="47"/>
      <c r="W281" s="47"/>
      <c r="X281" s="47"/>
    </row>
    <row r="282">
      <c r="L282" s="183"/>
      <c r="M282" s="47"/>
      <c r="T282" s="47"/>
      <c r="U282" s="47"/>
      <c r="V282" s="47"/>
      <c r="W282" s="47"/>
      <c r="X282" s="47"/>
    </row>
    <row r="283">
      <c r="L283" s="183"/>
      <c r="M283" s="47"/>
      <c r="T283" s="47"/>
      <c r="U283" s="47"/>
      <c r="V283" s="47"/>
      <c r="W283" s="47"/>
      <c r="X283" s="47"/>
    </row>
    <row r="284">
      <c r="L284" s="183"/>
      <c r="M284" s="47"/>
      <c r="T284" s="47"/>
      <c r="U284" s="47"/>
      <c r="V284" s="47"/>
      <c r="W284" s="47"/>
      <c r="X284" s="47"/>
    </row>
    <row r="285">
      <c r="L285" s="183"/>
      <c r="M285" s="47"/>
      <c r="T285" s="47"/>
      <c r="U285" s="47"/>
      <c r="V285" s="47"/>
      <c r="W285" s="47"/>
      <c r="X285" s="47"/>
    </row>
    <row r="286">
      <c r="L286" s="183"/>
      <c r="M286" s="47"/>
      <c r="T286" s="47"/>
      <c r="U286" s="47"/>
      <c r="V286" s="47"/>
      <c r="W286" s="47"/>
      <c r="X286" s="47"/>
    </row>
    <row r="287">
      <c r="L287" s="183"/>
      <c r="M287" s="47"/>
      <c r="T287" s="47"/>
      <c r="U287" s="47"/>
      <c r="V287" s="47"/>
      <c r="W287" s="47"/>
      <c r="X287" s="47"/>
    </row>
    <row r="288">
      <c r="L288" s="183"/>
      <c r="M288" s="47"/>
      <c r="T288" s="47"/>
      <c r="U288" s="47"/>
      <c r="V288" s="47"/>
      <c r="W288" s="47"/>
      <c r="X288" s="47"/>
    </row>
    <row r="289">
      <c r="L289" s="183"/>
      <c r="M289" s="47"/>
      <c r="T289" s="47"/>
      <c r="U289" s="47"/>
      <c r="V289" s="47"/>
      <c r="W289" s="47"/>
      <c r="X289" s="47"/>
    </row>
    <row r="290">
      <c r="L290" s="183"/>
      <c r="M290" s="47"/>
      <c r="T290" s="47"/>
      <c r="U290" s="47"/>
      <c r="V290" s="47"/>
      <c r="W290" s="47"/>
      <c r="X290" s="47"/>
    </row>
    <row r="291">
      <c r="L291" s="183"/>
      <c r="M291" s="47"/>
      <c r="T291" s="47"/>
      <c r="U291" s="47"/>
      <c r="V291" s="47"/>
      <c r="W291" s="47"/>
      <c r="X291" s="47"/>
    </row>
    <row r="292">
      <c r="L292" s="183"/>
      <c r="M292" s="47"/>
      <c r="T292" s="47"/>
      <c r="U292" s="47"/>
      <c r="V292" s="47"/>
      <c r="W292" s="47"/>
      <c r="X292" s="47"/>
    </row>
    <row r="293">
      <c r="L293" s="183"/>
      <c r="M293" s="47"/>
      <c r="T293" s="47"/>
      <c r="U293" s="47"/>
      <c r="V293" s="47"/>
      <c r="W293" s="47"/>
      <c r="X293" s="47"/>
    </row>
    <row r="294">
      <c r="L294" s="183"/>
      <c r="M294" s="47"/>
      <c r="T294" s="47"/>
      <c r="U294" s="47"/>
      <c r="V294" s="47"/>
      <c r="W294" s="47"/>
      <c r="X294" s="47"/>
    </row>
    <row r="295">
      <c r="L295" s="183"/>
      <c r="M295" s="47"/>
      <c r="T295" s="47"/>
      <c r="U295" s="47"/>
      <c r="V295" s="47"/>
      <c r="W295" s="47"/>
      <c r="X295" s="47"/>
    </row>
    <row r="296">
      <c r="L296" s="183"/>
      <c r="M296" s="47"/>
      <c r="T296" s="47"/>
      <c r="U296" s="47"/>
      <c r="V296" s="47"/>
      <c r="W296" s="47"/>
      <c r="X296" s="47"/>
    </row>
    <row r="297">
      <c r="L297" s="183"/>
      <c r="M297" s="47"/>
      <c r="T297" s="47"/>
      <c r="U297" s="47"/>
      <c r="V297" s="47"/>
      <c r="W297" s="47"/>
      <c r="X297" s="47"/>
    </row>
    <row r="298">
      <c r="L298" s="183"/>
      <c r="M298" s="47"/>
      <c r="T298" s="47"/>
      <c r="U298" s="47"/>
      <c r="V298" s="47"/>
      <c r="W298" s="47"/>
      <c r="X298" s="47"/>
    </row>
    <row r="299">
      <c r="L299" s="183"/>
      <c r="M299" s="47"/>
      <c r="T299" s="47"/>
      <c r="U299" s="47"/>
      <c r="V299" s="47"/>
      <c r="W299" s="47"/>
      <c r="X299" s="47"/>
    </row>
    <row r="300">
      <c r="L300" s="183"/>
      <c r="M300" s="47"/>
      <c r="T300" s="47"/>
      <c r="U300" s="47"/>
      <c r="V300" s="47"/>
      <c r="W300" s="47"/>
      <c r="X300" s="47"/>
    </row>
    <row r="301">
      <c r="L301" s="183"/>
      <c r="M301" s="47"/>
      <c r="T301" s="47"/>
      <c r="U301" s="47"/>
      <c r="V301" s="47"/>
      <c r="W301" s="47"/>
      <c r="X301" s="47"/>
    </row>
    <row r="302">
      <c r="L302" s="183"/>
      <c r="M302" s="47"/>
      <c r="T302" s="47"/>
      <c r="U302" s="47"/>
      <c r="V302" s="47"/>
      <c r="W302" s="47"/>
      <c r="X302" s="47"/>
    </row>
    <row r="303">
      <c r="L303" s="183"/>
      <c r="M303" s="47"/>
      <c r="T303" s="47"/>
      <c r="U303" s="47"/>
      <c r="V303" s="47"/>
      <c r="W303" s="47"/>
      <c r="X303" s="47"/>
    </row>
    <row r="304">
      <c r="L304" s="183"/>
      <c r="M304" s="47"/>
      <c r="T304" s="47"/>
      <c r="U304" s="47"/>
      <c r="V304" s="47"/>
      <c r="W304" s="47"/>
      <c r="X304" s="47"/>
    </row>
    <row r="305">
      <c r="L305" s="183"/>
      <c r="M305" s="47"/>
      <c r="T305" s="47"/>
      <c r="U305" s="47"/>
      <c r="V305" s="47"/>
      <c r="W305" s="47"/>
      <c r="X305" s="47"/>
    </row>
    <row r="306">
      <c r="L306" s="183"/>
      <c r="M306" s="47"/>
      <c r="T306" s="47"/>
      <c r="U306" s="47"/>
      <c r="V306" s="47"/>
      <c r="W306" s="47"/>
      <c r="X306" s="47"/>
    </row>
    <row r="307">
      <c r="L307" s="183"/>
      <c r="M307" s="47"/>
      <c r="T307" s="47"/>
      <c r="U307" s="47"/>
      <c r="V307" s="47"/>
      <c r="W307" s="47"/>
      <c r="X307" s="47"/>
    </row>
    <row r="308">
      <c r="L308" s="183"/>
      <c r="M308" s="47"/>
      <c r="T308" s="47"/>
      <c r="U308" s="47"/>
      <c r="V308" s="47"/>
      <c r="W308" s="47"/>
      <c r="X308" s="47"/>
    </row>
    <row r="309">
      <c r="L309" s="183"/>
      <c r="M309" s="47"/>
      <c r="T309" s="47"/>
      <c r="U309" s="47"/>
      <c r="V309" s="47"/>
      <c r="W309" s="47"/>
      <c r="X309" s="47"/>
    </row>
    <row r="310">
      <c r="L310" s="183"/>
      <c r="M310" s="47"/>
      <c r="T310" s="47"/>
      <c r="U310" s="47"/>
      <c r="V310" s="47"/>
      <c r="W310" s="47"/>
      <c r="X310" s="47"/>
    </row>
    <row r="311">
      <c r="L311" s="183"/>
      <c r="M311" s="47"/>
      <c r="T311" s="47"/>
      <c r="U311" s="47"/>
      <c r="V311" s="47"/>
      <c r="W311" s="47"/>
      <c r="X311" s="47"/>
    </row>
    <row r="312">
      <c r="L312" s="183"/>
      <c r="M312" s="47"/>
      <c r="T312" s="47"/>
      <c r="U312" s="47"/>
      <c r="V312" s="47"/>
      <c r="W312" s="47"/>
      <c r="X312" s="47"/>
    </row>
    <row r="313">
      <c r="L313" s="183"/>
      <c r="M313" s="47"/>
      <c r="T313" s="47"/>
      <c r="U313" s="47"/>
      <c r="V313" s="47"/>
      <c r="W313" s="47"/>
      <c r="X313" s="47"/>
    </row>
    <row r="314">
      <c r="L314" s="183"/>
      <c r="M314" s="47"/>
      <c r="T314" s="47"/>
      <c r="U314" s="47"/>
      <c r="V314" s="47"/>
      <c r="W314" s="47"/>
      <c r="X314" s="47"/>
    </row>
    <row r="315">
      <c r="L315" s="183"/>
      <c r="M315" s="47"/>
      <c r="T315" s="47"/>
      <c r="U315" s="47"/>
      <c r="V315" s="47"/>
      <c r="W315" s="47"/>
      <c r="X315" s="47"/>
    </row>
    <row r="316">
      <c r="L316" s="183"/>
      <c r="M316" s="47"/>
      <c r="T316" s="47"/>
      <c r="U316" s="47"/>
      <c r="V316" s="47"/>
      <c r="W316" s="47"/>
      <c r="X316" s="47"/>
    </row>
    <row r="317">
      <c r="L317" s="183"/>
      <c r="M317" s="47"/>
      <c r="T317" s="47"/>
      <c r="U317" s="47"/>
      <c r="V317" s="47"/>
      <c r="W317" s="47"/>
      <c r="X317" s="47"/>
    </row>
    <row r="318">
      <c r="L318" s="183"/>
      <c r="M318" s="47"/>
      <c r="T318" s="47"/>
      <c r="U318" s="47"/>
      <c r="V318" s="47"/>
      <c r="W318" s="47"/>
      <c r="X318" s="47"/>
    </row>
    <row r="319">
      <c r="L319" s="183"/>
      <c r="M319" s="47"/>
      <c r="T319" s="47"/>
      <c r="U319" s="47"/>
      <c r="V319" s="47"/>
      <c r="W319" s="47"/>
      <c r="X319" s="47"/>
    </row>
    <row r="320">
      <c r="L320" s="183"/>
      <c r="M320" s="47"/>
      <c r="T320" s="47"/>
      <c r="U320" s="47"/>
      <c r="V320" s="47"/>
      <c r="W320" s="47"/>
      <c r="X320" s="47"/>
    </row>
    <row r="321">
      <c r="L321" s="183"/>
      <c r="M321" s="47"/>
      <c r="T321" s="47"/>
      <c r="U321" s="47"/>
      <c r="V321" s="47"/>
      <c r="W321" s="47"/>
      <c r="X321" s="47"/>
    </row>
    <row r="322">
      <c r="L322" s="183"/>
      <c r="M322" s="47"/>
      <c r="T322" s="47"/>
      <c r="U322" s="47"/>
      <c r="V322" s="47"/>
      <c r="W322" s="47"/>
      <c r="X322" s="47"/>
    </row>
    <row r="323">
      <c r="L323" s="183"/>
      <c r="M323" s="47"/>
      <c r="T323" s="47"/>
      <c r="U323" s="47"/>
      <c r="V323" s="47"/>
      <c r="W323" s="47"/>
      <c r="X323" s="47"/>
    </row>
    <row r="324">
      <c r="L324" s="183"/>
      <c r="M324" s="47"/>
      <c r="T324" s="47"/>
      <c r="U324" s="47"/>
      <c r="V324" s="47"/>
      <c r="W324" s="47"/>
      <c r="X324" s="47"/>
    </row>
    <row r="325">
      <c r="L325" s="183"/>
      <c r="M325" s="47"/>
      <c r="T325" s="47"/>
      <c r="U325" s="47"/>
      <c r="V325" s="47"/>
      <c r="W325" s="47"/>
      <c r="X325" s="47"/>
    </row>
    <row r="326">
      <c r="L326" s="183"/>
      <c r="M326" s="47"/>
      <c r="T326" s="47"/>
      <c r="U326" s="47"/>
      <c r="V326" s="47"/>
      <c r="W326" s="47"/>
      <c r="X326" s="47"/>
    </row>
    <row r="327">
      <c r="L327" s="183"/>
      <c r="M327" s="47"/>
      <c r="T327" s="47"/>
      <c r="U327" s="47"/>
      <c r="V327" s="47"/>
      <c r="W327" s="47"/>
      <c r="X327" s="47"/>
    </row>
    <row r="328">
      <c r="L328" s="183"/>
      <c r="M328" s="47"/>
      <c r="T328" s="47"/>
      <c r="U328" s="47"/>
      <c r="V328" s="47"/>
      <c r="W328" s="47"/>
      <c r="X328" s="47"/>
    </row>
    <row r="329">
      <c r="L329" s="183"/>
      <c r="M329" s="47"/>
      <c r="T329" s="47"/>
      <c r="U329" s="47"/>
      <c r="V329" s="47"/>
      <c r="W329" s="47"/>
      <c r="X329" s="47"/>
    </row>
    <row r="330">
      <c r="L330" s="183"/>
      <c r="M330" s="47"/>
      <c r="T330" s="47"/>
      <c r="U330" s="47"/>
      <c r="V330" s="47"/>
      <c r="W330" s="47"/>
      <c r="X330" s="47"/>
    </row>
    <row r="331">
      <c r="L331" s="183"/>
      <c r="M331" s="47"/>
      <c r="T331" s="47"/>
      <c r="U331" s="47"/>
      <c r="V331" s="47"/>
      <c r="W331" s="47"/>
      <c r="X331" s="47"/>
    </row>
    <row r="332">
      <c r="L332" s="183"/>
      <c r="M332" s="47"/>
      <c r="T332" s="47"/>
      <c r="U332" s="47"/>
      <c r="V332" s="47"/>
      <c r="W332" s="47"/>
      <c r="X332" s="47"/>
    </row>
    <row r="333">
      <c r="L333" s="183"/>
      <c r="M333" s="47"/>
      <c r="T333" s="47"/>
      <c r="U333" s="47"/>
      <c r="V333" s="47"/>
      <c r="W333" s="47"/>
      <c r="X333" s="47"/>
    </row>
    <row r="334">
      <c r="L334" s="183"/>
      <c r="M334" s="47"/>
      <c r="T334" s="47"/>
      <c r="U334" s="47"/>
      <c r="V334" s="47"/>
      <c r="W334" s="47"/>
      <c r="X334" s="47"/>
    </row>
    <row r="335">
      <c r="L335" s="183"/>
      <c r="M335" s="47"/>
      <c r="T335" s="47"/>
      <c r="U335" s="47"/>
      <c r="V335" s="47"/>
      <c r="W335" s="47"/>
      <c r="X335" s="47"/>
    </row>
    <row r="336">
      <c r="L336" s="183"/>
      <c r="M336" s="47"/>
      <c r="T336" s="47"/>
      <c r="U336" s="47"/>
      <c r="V336" s="47"/>
      <c r="W336" s="47"/>
      <c r="X336" s="47"/>
    </row>
    <row r="337">
      <c r="L337" s="183"/>
      <c r="M337" s="47"/>
      <c r="T337" s="47"/>
      <c r="U337" s="47"/>
      <c r="V337" s="47"/>
      <c r="W337" s="47"/>
      <c r="X337" s="47"/>
    </row>
    <row r="338">
      <c r="L338" s="183"/>
      <c r="M338" s="47"/>
      <c r="T338" s="47"/>
      <c r="U338" s="47"/>
      <c r="V338" s="47"/>
      <c r="W338" s="47"/>
      <c r="X338" s="47"/>
    </row>
    <row r="339">
      <c r="L339" s="183"/>
      <c r="M339" s="47"/>
      <c r="T339" s="47"/>
      <c r="U339" s="47"/>
      <c r="V339" s="47"/>
      <c r="W339" s="47"/>
      <c r="X339" s="47"/>
    </row>
    <row r="340">
      <c r="L340" s="183"/>
      <c r="M340" s="47"/>
      <c r="T340" s="47"/>
      <c r="U340" s="47"/>
      <c r="V340" s="47"/>
      <c r="W340" s="47"/>
      <c r="X340" s="47"/>
    </row>
    <row r="341">
      <c r="L341" s="183"/>
      <c r="M341" s="47"/>
      <c r="T341" s="47"/>
      <c r="U341" s="47"/>
      <c r="V341" s="47"/>
      <c r="W341" s="47"/>
      <c r="X341" s="47"/>
    </row>
    <row r="342">
      <c r="L342" s="183"/>
      <c r="M342" s="47"/>
      <c r="T342" s="47"/>
      <c r="U342" s="47"/>
      <c r="V342" s="47"/>
      <c r="W342" s="47"/>
      <c r="X342" s="47"/>
    </row>
    <row r="343">
      <c r="L343" s="183"/>
      <c r="M343" s="47"/>
      <c r="T343" s="47"/>
      <c r="U343" s="47"/>
      <c r="V343" s="47"/>
      <c r="W343" s="47"/>
      <c r="X343" s="47"/>
    </row>
    <row r="344">
      <c r="L344" s="183"/>
      <c r="M344" s="47"/>
      <c r="T344" s="47"/>
      <c r="U344" s="47"/>
      <c r="V344" s="47"/>
      <c r="W344" s="47"/>
      <c r="X344" s="47"/>
    </row>
    <row r="345">
      <c r="L345" s="183"/>
      <c r="M345" s="47"/>
      <c r="T345" s="47"/>
      <c r="U345" s="47"/>
      <c r="V345" s="47"/>
      <c r="W345" s="47"/>
      <c r="X345" s="47"/>
    </row>
    <row r="346">
      <c r="L346" s="183"/>
      <c r="M346" s="47"/>
      <c r="T346" s="47"/>
      <c r="U346" s="47"/>
      <c r="V346" s="47"/>
      <c r="W346" s="47"/>
      <c r="X346" s="47"/>
    </row>
    <row r="347">
      <c r="L347" s="183"/>
      <c r="M347" s="47"/>
      <c r="T347" s="47"/>
      <c r="U347" s="47"/>
      <c r="V347" s="47"/>
      <c r="W347" s="47"/>
      <c r="X347" s="47"/>
    </row>
    <row r="348">
      <c r="L348" s="183"/>
      <c r="M348" s="47"/>
      <c r="T348" s="47"/>
      <c r="U348" s="47"/>
      <c r="V348" s="47"/>
      <c r="W348" s="47"/>
      <c r="X348" s="47"/>
    </row>
    <row r="349">
      <c r="L349" s="183"/>
      <c r="M349" s="47"/>
      <c r="T349" s="47"/>
      <c r="U349" s="47"/>
      <c r="V349" s="47"/>
      <c r="W349" s="47"/>
      <c r="X349" s="47"/>
    </row>
    <row r="350">
      <c r="L350" s="183"/>
      <c r="M350" s="47"/>
      <c r="T350" s="47"/>
      <c r="U350" s="47"/>
      <c r="V350" s="47"/>
      <c r="W350" s="47"/>
      <c r="X350" s="47"/>
    </row>
    <row r="351">
      <c r="L351" s="183"/>
      <c r="M351" s="47"/>
      <c r="T351" s="47"/>
      <c r="U351" s="47"/>
      <c r="V351" s="47"/>
      <c r="W351" s="47"/>
      <c r="X351" s="47"/>
    </row>
    <row r="352">
      <c r="L352" s="183"/>
      <c r="M352" s="47"/>
      <c r="T352" s="47"/>
      <c r="U352" s="47"/>
      <c r="V352" s="47"/>
      <c r="W352" s="47"/>
      <c r="X352" s="47"/>
    </row>
    <row r="353">
      <c r="L353" s="183"/>
      <c r="M353" s="47"/>
      <c r="T353" s="47"/>
      <c r="U353" s="47"/>
      <c r="V353" s="47"/>
      <c r="W353" s="47"/>
      <c r="X353" s="47"/>
    </row>
    <row r="354">
      <c r="L354" s="183"/>
      <c r="M354" s="47"/>
      <c r="T354" s="47"/>
      <c r="U354" s="47"/>
      <c r="V354" s="47"/>
      <c r="W354" s="47"/>
      <c r="X354" s="47"/>
    </row>
    <row r="355">
      <c r="L355" s="183"/>
      <c r="M355" s="47"/>
      <c r="T355" s="47"/>
      <c r="U355" s="47"/>
      <c r="V355" s="47"/>
      <c r="W355" s="47"/>
      <c r="X355" s="47"/>
    </row>
    <row r="356">
      <c r="L356" s="183"/>
      <c r="M356" s="47"/>
      <c r="T356" s="47"/>
      <c r="U356" s="47"/>
      <c r="V356" s="47"/>
      <c r="W356" s="47"/>
      <c r="X356" s="47"/>
    </row>
    <row r="357">
      <c r="L357" s="183"/>
      <c r="M357" s="47"/>
      <c r="T357" s="47"/>
      <c r="U357" s="47"/>
      <c r="V357" s="47"/>
      <c r="W357" s="47"/>
      <c r="X357" s="47"/>
    </row>
    <row r="358">
      <c r="L358" s="183"/>
      <c r="M358" s="47"/>
      <c r="T358" s="47"/>
      <c r="U358" s="47"/>
      <c r="V358" s="47"/>
      <c r="W358" s="47"/>
      <c r="X358" s="47"/>
    </row>
    <row r="359">
      <c r="L359" s="183"/>
      <c r="M359" s="47"/>
      <c r="T359" s="47"/>
      <c r="U359" s="47"/>
      <c r="V359" s="47"/>
      <c r="W359" s="47"/>
      <c r="X359" s="47"/>
    </row>
    <row r="360">
      <c r="L360" s="183"/>
      <c r="M360" s="47"/>
      <c r="T360" s="47"/>
      <c r="U360" s="47"/>
      <c r="V360" s="47"/>
      <c r="W360" s="47"/>
      <c r="X360" s="47"/>
    </row>
    <row r="361">
      <c r="L361" s="183"/>
      <c r="M361" s="47"/>
      <c r="T361" s="47"/>
      <c r="U361" s="47"/>
      <c r="V361" s="47"/>
      <c r="W361" s="47"/>
      <c r="X361" s="47"/>
    </row>
    <row r="362">
      <c r="L362" s="183"/>
      <c r="M362" s="47"/>
      <c r="T362" s="47"/>
      <c r="U362" s="47"/>
      <c r="V362" s="47"/>
      <c r="W362" s="47"/>
      <c r="X362" s="47"/>
    </row>
    <row r="363">
      <c r="L363" s="183"/>
      <c r="M363" s="47"/>
      <c r="T363" s="47"/>
      <c r="U363" s="47"/>
      <c r="V363" s="47"/>
      <c r="W363" s="47"/>
      <c r="X363" s="47"/>
    </row>
    <row r="364">
      <c r="L364" s="183"/>
      <c r="M364" s="47"/>
      <c r="T364" s="47"/>
      <c r="U364" s="47"/>
      <c r="V364" s="47"/>
      <c r="W364" s="47"/>
      <c r="X364" s="47"/>
    </row>
    <row r="365">
      <c r="L365" s="183"/>
      <c r="M365" s="47"/>
      <c r="T365" s="47"/>
      <c r="U365" s="47"/>
      <c r="V365" s="47"/>
      <c r="W365" s="47"/>
      <c r="X365" s="47"/>
    </row>
    <row r="366">
      <c r="L366" s="183"/>
      <c r="M366" s="47"/>
      <c r="T366" s="47"/>
      <c r="U366" s="47"/>
      <c r="V366" s="47"/>
      <c r="W366" s="47"/>
      <c r="X366" s="47"/>
    </row>
    <row r="367">
      <c r="L367" s="183"/>
      <c r="M367" s="47"/>
      <c r="T367" s="47"/>
      <c r="U367" s="47"/>
      <c r="V367" s="47"/>
      <c r="W367" s="47"/>
      <c r="X367" s="47"/>
    </row>
    <row r="368">
      <c r="L368" s="183"/>
      <c r="M368" s="47"/>
      <c r="T368" s="47"/>
      <c r="U368" s="47"/>
      <c r="V368" s="47"/>
      <c r="W368" s="47"/>
      <c r="X368" s="47"/>
    </row>
    <row r="369">
      <c r="L369" s="183"/>
      <c r="M369" s="47"/>
      <c r="T369" s="47"/>
      <c r="U369" s="47"/>
      <c r="V369" s="47"/>
      <c r="W369" s="47"/>
      <c r="X369" s="47"/>
    </row>
    <row r="370">
      <c r="L370" s="183"/>
      <c r="M370" s="47"/>
      <c r="T370" s="47"/>
      <c r="U370" s="47"/>
      <c r="V370" s="47"/>
      <c r="W370" s="47"/>
      <c r="X370" s="47"/>
    </row>
    <row r="371">
      <c r="L371" s="183"/>
      <c r="M371" s="47"/>
      <c r="T371" s="47"/>
      <c r="U371" s="47"/>
      <c r="V371" s="47"/>
      <c r="W371" s="47"/>
      <c r="X371" s="47"/>
    </row>
    <row r="372">
      <c r="L372" s="183"/>
      <c r="M372" s="47"/>
      <c r="T372" s="47"/>
      <c r="U372" s="47"/>
      <c r="V372" s="47"/>
      <c r="W372" s="47"/>
      <c r="X372" s="47"/>
    </row>
    <row r="373">
      <c r="L373" s="183"/>
      <c r="M373" s="47"/>
      <c r="T373" s="47"/>
      <c r="U373" s="47"/>
      <c r="V373" s="47"/>
      <c r="W373" s="47"/>
      <c r="X373" s="47"/>
    </row>
    <row r="374">
      <c r="L374" s="183"/>
      <c r="M374" s="47"/>
      <c r="T374" s="47"/>
      <c r="U374" s="47"/>
      <c r="V374" s="47"/>
      <c r="W374" s="47"/>
      <c r="X374" s="47"/>
    </row>
    <row r="375">
      <c r="L375" s="183"/>
      <c r="M375" s="47"/>
      <c r="T375" s="47"/>
      <c r="U375" s="47"/>
      <c r="V375" s="47"/>
      <c r="W375" s="47"/>
      <c r="X375" s="47"/>
    </row>
    <row r="376">
      <c r="L376" s="183"/>
      <c r="M376" s="47"/>
      <c r="T376" s="47"/>
      <c r="U376" s="47"/>
      <c r="V376" s="47"/>
      <c r="W376" s="47"/>
      <c r="X376" s="47"/>
    </row>
    <row r="377">
      <c r="L377" s="183"/>
      <c r="M377" s="47"/>
      <c r="T377" s="47"/>
      <c r="U377" s="47"/>
      <c r="V377" s="47"/>
      <c r="W377" s="47"/>
      <c r="X377" s="47"/>
    </row>
    <row r="378">
      <c r="L378" s="183"/>
      <c r="M378" s="47"/>
      <c r="T378" s="47"/>
      <c r="U378" s="47"/>
      <c r="V378" s="47"/>
      <c r="W378" s="47"/>
      <c r="X378" s="47"/>
    </row>
    <row r="379">
      <c r="L379" s="183"/>
      <c r="M379" s="47"/>
      <c r="T379" s="47"/>
      <c r="U379" s="47"/>
      <c r="V379" s="47"/>
      <c r="W379" s="47"/>
      <c r="X379" s="47"/>
    </row>
    <row r="380">
      <c r="L380" s="183"/>
      <c r="M380" s="47"/>
      <c r="T380" s="47"/>
      <c r="U380" s="47"/>
      <c r="V380" s="47"/>
      <c r="W380" s="47"/>
      <c r="X380" s="47"/>
    </row>
    <row r="381">
      <c r="L381" s="183"/>
      <c r="M381" s="47"/>
      <c r="T381" s="47"/>
      <c r="U381" s="47"/>
      <c r="V381" s="47"/>
      <c r="W381" s="47"/>
      <c r="X381" s="47"/>
    </row>
    <row r="382">
      <c r="L382" s="183"/>
      <c r="M382" s="47"/>
      <c r="T382" s="47"/>
      <c r="U382" s="47"/>
      <c r="V382" s="47"/>
      <c r="W382" s="47"/>
      <c r="X382" s="47"/>
    </row>
    <row r="383">
      <c r="L383" s="183"/>
      <c r="M383" s="47"/>
      <c r="T383" s="47"/>
      <c r="U383" s="47"/>
      <c r="V383" s="47"/>
      <c r="W383" s="47"/>
      <c r="X383" s="47"/>
    </row>
    <row r="384">
      <c r="L384" s="183"/>
      <c r="M384" s="47"/>
      <c r="T384" s="47"/>
      <c r="U384" s="47"/>
      <c r="V384" s="47"/>
      <c r="W384" s="47"/>
      <c r="X384" s="47"/>
    </row>
    <row r="385">
      <c r="L385" s="183"/>
      <c r="M385" s="47"/>
      <c r="T385" s="47"/>
      <c r="U385" s="47"/>
      <c r="V385" s="47"/>
      <c r="W385" s="47"/>
      <c r="X385" s="47"/>
    </row>
    <row r="386">
      <c r="L386" s="183"/>
      <c r="M386" s="47"/>
      <c r="T386" s="47"/>
      <c r="U386" s="47"/>
      <c r="V386" s="47"/>
      <c r="W386" s="47"/>
      <c r="X386" s="47"/>
    </row>
    <row r="387">
      <c r="L387" s="183"/>
      <c r="M387" s="47"/>
      <c r="T387" s="47"/>
      <c r="U387" s="47"/>
      <c r="V387" s="47"/>
      <c r="W387" s="47"/>
      <c r="X387" s="47"/>
    </row>
    <row r="388">
      <c r="L388" s="183"/>
      <c r="M388" s="47"/>
      <c r="T388" s="47"/>
      <c r="U388" s="47"/>
      <c r="V388" s="47"/>
      <c r="W388" s="47"/>
      <c r="X388" s="47"/>
    </row>
    <row r="389">
      <c r="L389" s="183"/>
      <c r="M389" s="47"/>
      <c r="T389" s="47"/>
      <c r="U389" s="47"/>
      <c r="V389" s="47"/>
      <c r="W389" s="47"/>
      <c r="X389" s="47"/>
    </row>
    <row r="390">
      <c r="L390" s="183"/>
      <c r="M390" s="47"/>
      <c r="T390" s="47"/>
      <c r="U390" s="47"/>
      <c r="V390" s="47"/>
      <c r="W390" s="47"/>
      <c r="X390" s="47"/>
    </row>
    <row r="391">
      <c r="L391" s="183"/>
      <c r="M391" s="47"/>
      <c r="T391" s="47"/>
      <c r="U391" s="47"/>
      <c r="V391" s="47"/>
      <c r="W391" s="47"/>
      <c r="X391" s="47"/>
    </row>
    <row r="392">
      <c r="L392" s="183"/>
      <c r="M392" s="47"/>
      <c r="T392" s="47"/>
      <c r="U392" s="47"/>
      <c r="V392" s="47"/>
      <c r="W392" s="47"/>
      <c r="X392" s="47"/>
    </row>
    <row r="393">
      <c r="L393" s="183"/>
      <c r="M393" s="47"/>
      <c r="T393" s="47"/>
      <c r="U393" s="47"/>
      <c r="V393" s="47"/>
      <c r="W393" s="47"/>
      <c r="X393" s="47"/>
    </row>
    <row r="394">
      <c r="L394" s="183"/>
      <c r="M394" s="47"/>
      <c r="T394" s="47"/>
      <c r="U394" s="47"/>
      <c r="V394" s="47"/>
      <c r="W394" s="47"/>
      <c r="X394" s="47"/>
    </row>
    <row r="395">
      <c r="L395" s="183"/>
      <c r="M395" s="47"/>
      <c r="T395" s="47"/>
      <c r="U395" s="47"/>
      <c r="V395" s="47"/>
      <c r="W395" s="47"/>
      <c r="X395" s="47"/>
    </row>
    <row r="396">
      <c r="L396" s="183"/>
      <c r="M396" s="47"/>
      <c r="T396" s="47"/>
      <c r="U396" s="47"/>
      <c r="V396" s="47"/>
      <c r="W396" s="47"/>
      <c r="X396" s="47"/>
    </row>
    <row r="397">
      <c r="L397" s="183"/>
      <c r="M397" s="47"/>
      <c r="T397" s="47"/>
      <c r="U397" s="47"/>
      <c r="V397" s="47"/>
      <c r="W397" s="47"/>
      <c r="X397" s="47"/>
    </row>
    <row r="398">
      <c r="L398" s="183"/>
      <c r="M398" s="47"/>
      <c r="T398" s="47"/>
      <c r="U398" s="47"/>
      <c r="V398" s="47"/>
      <c r="W398" s="47"/>
      <c r="X398" s="47"/>
    </row>
    <row r="399">
      <c r="L399" s="183"/>
      <c r="M399" s="47"/>
      <c r="T399" s="47"/>
      <c r="U399" s="47"/>
      <c r="V399" s="47"/>
      <c r="W399" s="47"/>
      <c r="X399" s="47"/>
    </row>
    <row r="400">
      <c r="L400" s="183"/>
      <c r="M400" s="47"/>
      <c r="T400" s="47"/>
      <c r="U400" s="47"/>
      <c r="V400" s="47"/>
      <c r="W400" s="47"/>
      <c r="X400" s="47"/>
    </row>
    <row r="401">
      <c r="L401" s="183"/>
      <c r="M401" s="47"/>
      <c r="T401" s="47"/>
      <c r="U401" s="47"/>
      <c r="V401" s="47"/>
      <c r="W401" s="47"/>
      <c r="X401" s="47"/>
    </row>
    <row r="402">
      <c r="L402" s="183"/>
      <c r="M402" s="47"/>
      <c r="T402" s="47"/>
      <c r="U402" s="47"/>
      <c r="V402" s="47"/>
      <c r="W402" s="47"/>
      <c r="X402" s="47"/>
    </row>
    <row r="403">
      <c r="L403" s="183"/>
      <c r="M403" s="47"/>
      <c r="T403" s="47"/>
      <c r="U403" s="47"/>
      <c r="V403" s="47"/>
      <c r="W403" s="47"/>
      <c r="X403" s="47"/>
    </row>
    <row r="404">
      <c r="L404" s="183"/>
      <c r="M404" s="47"/>
      <c r="T404" s="47"/>
      <c r="U404" s="47"/>
      <c r="V404" s="47"/>
      <c r="W404" s="47"/>
      <c r="X404" s="47"/>
    </row>
    <row r="405">
      <c r="L405" s="183"/>
      <c r="M405" s="47"/>
      <c r="T405" s="47"/>
      <c r="U405" s="47"/>
      <c r="V405" s="47"/>
      <c r="W405" s="47"/>
      <c r="X405" s="47"/>
    </row>
    <row r="406">
      <c r="L406" s="183"/>
      <c r="M406" s="47"/>
      <c r="T406" s="47"/>
      <c r="U406" s="47"/>
      <c r="V406" s="47"/>
      <c r="W406" s="47"/>
      <c r="X406" s="47"/>
    </row>
    <row r="407">
      <c r="L407" s="183"/>
      <c r="M407" s="47"/>
      <c r="T407" s="47"/>
      <c r="U407" s="47"/>
      <c r="V407" s="47"/>
      <c r="W407" s="47"/>
      <c r="X407" s="47"/>
    </row>
    <row r="408">
      <c r="L408" s="183"/>
      <c r="M408" s="47"/>
      <c r="T408" s="47"/>
      <c r="U408" s="47"/>
      <c r="V408" s="47"/>
      <c r="W408" s="47"/>
      <c r="X408" s="47"/>
    </row>
    <row r="409">
      <c r="L409" s="183"/>
      <c r="M409" s="47"/>
      <c r="T409" s="47"/>
      <c r="U409" s="47"/>
      <c r="V409" s="47"/>
      <c r="W409" s="47"/>
      <c r="X409" s="47"/>
    </row>
    <row r="410">
      <c r="L410" s="183"/>
      <c r="M410" s="47"/>
      <c r="T410" s="47"/>
      <c r="U410" s="47"/>
      <c r="V410" s="47"/>
      <c r="W410" s="47"/>
      <c r="X410" s="47"/>
    </row>
    <row r="411">
      <c r="L411" s="183"/>
      <c r="M411" s="47"/>
      <c r="T411" s="47"/>
      <c r="U411" s="47"/>
      <c r="V411" s="47"/>
      <c r="W411" s="47"/>
      <c r="X411" s="47"/>
    </row>
    <row r="412">
      <c r="L412" s="183"/>
      <c r="M412" s="47"/>
      <c r="T412" s="47"/>
      <c r="U412" s="47"/>
      <c r="V412" s="47"/>
      <c r="W412" s="47"/>
      <c r="X412" s="47"/>
    </row>
    <row r="413">
      <c r="L413" s="183"/>
      <c r="M413" s="47"/>
      <c r="T413" s="47"/>
      <c r="U413" s="47"/>
      <c r="V413" s="47"/>
      <c r="W413" s="47"/>
      <c r="X413" s="47"/>
    </row>
    <row r="414">
      <c r="L414" s="183"/>
      <c r="M414" s="47"/>
      <c r="T414" s="47"/>
      <c r="U414" s="47"/>
      <c r="V414" s="47"/>
      <c r="W414" s="47"/>
      <c r="X414" s="47"/>
    </row>
    <row r="415">
      <c r="L415" s="183"/>
      <c r="M415" s="47"/>
      <c r="T415" s="47"/>
      <c r="U415" s="47"/>
      <c r="V415" s="47"/>
      <c r="W415" s="47"/>
      <c r="X415" s="47"/>
    </row>
    <row r="416">
      <c r="L416" s="183"/>
      <c r="M416" s="47"/>
      <c r="T416" s="47"/>
      <c r="U416" s="47"/>
      <c r="V416" s="47"/>
      <c r="W416" s="47"/>
      <c r="X416" s="47"/>
    </row>
    <row r="417">
      <c r="L417" s="183"/>
      <c r="M417" s="47"/>
      <c r="T417" s="47"/>
      <c r="U417" s="47"/>
      <c r="V417" s="47"/>
      <c r="W417" s="47"/>
      <c r="X417" s="47"/>
    </row>
    <row r="418">
      <c r="L418" s="183"/>
      <c r="M418" s="47"/>
      <c r="T418" s="47"/>
      <c r="U418" s="47"/>
      <c r="V418" s="47"/>
      <c r="W418" s="47"/>
      <c r="X418" s="47"/>
    </row>
    <row r="419">
      <c r="L419" s="183"/>
      <c r="M419" s="47"/>
      <c r="T419" s="47"/>
      <c r="U419" s="47"/>
      <c r="V419" s="47"/>
      <c r="W419" s="47"/>
      <c r="X419" s="47"/>
    </row>
    <row r="420">
      <c r="L420" s="183"/>
      <c r="M420" s="47"/>
      <c r="T420" s="47"/>
      <c r="U420" s="47"/>
      <c r="V420" s="47"/>
      <c r="W420" s="47"/>
      <c r="X420" s="47"/>
    </row>
    <row r="421">
      <c r="L421" s="183"/>
      <c r="M421" s="47"/>
      <c r="T421" s="47"/>
      <c r="U421" s="47"/>
      <c r="V421" s="47"/>
      <c r="W421" s="47"/>
      <c r="X421" s="47"/>
    </row>
    <row r="422">
      <c r="L422" s="183"/>
      <c r="M422" s="47"/>
      <c r="T422" s="47"/>
      <c r="U422" s="47"/>
      <c r="V422" s="47"/>
      <c r="W422" s="47"/>
      <c r="X422" s="47"/>
    </row>
    <row r="423">
      <c r="L423" s="183"/>
      <c r="M423" s="47"/>
      <c r="T423" s="47"/>
      <c r="U423" s="47"/>
      <c r="V423" s="47"/>
      <c r="W423" s="47"/>
      <c r="X423" s="47"/>
    </row>
    <row r="424">
      <c r="L424" s="183"/>
      <c r="M424" s="47"/>
      <c r="T424" s="47"/>
      <c r="U424" s="47"/>
      <c r="V424" s="47"/>
      <c r="W424" s="47"/>
      <c r="X424" s="47"/>
    </row>
    <row r="425">
      <c r="L425" s="183"/>
      <c r="M425" s="47"/>
      <c r="T425" s="47"/>
      <c r="U425" s="47"/>
      <c r="V425" s="47"/>
      <c r="W425" s="47"/>
      <c r="X425" s="47"/>
    </row>
    <row r="426">
      <c r="L426" s="183"/>
      <c r="M426" s="47"/>
      <c r="T426" s="47"/>
      <c r="U426" s="47"/>
      <c r="V426" s="47"/>
      <c r="W426" s="47"/>
      <c r="X426" s="47"/>
    </row>
    <row r="427">
      <c r="L427" s="183"/>
      <c r="M427" s="47"/>
      <c r="T427" s="47"/>
      <c r="U427" s="47"/>
      <c r="V427" s="47"/>
      <c r="W427" s="47"/>
      <c r="X427" s="47"/>
    </row>
    <row r="428">
      <c r="L428" s="183"/>
      <c r="M428" s="47"/>
      <c r="T428" s="47"/>
      <c r="U428" s="47"/>
      <c r="V428" s="47"/>
      <c r="W428" s="47"/>
      <c r="X428" s="47"/>
    </row>
    <row r="429">
      <c r="L429" s="183"/>
      <c r="M429" s="47"/>
      <c r="T429" s="47"/>
      <c r="U429" s="47"/>
      <c r="V429" s="47"/>
      <c r="W429" s="47"/>
      <c r="X429" s="47"/>
    </row>
    <row r="430">
      <c r="L430" s="183"/>
      <c r="M430" s="47"/>
      <c r="T430" s="47"/>
      <c r="U430" s="47"/>
      <c r="V430" s="47"/>
      <c r="W430" s="47"/>
      <c r="X430" s="47"/>
    </row>
    <row r="431">
      <c r="L431" s="183"/>
      <c r="M431" s="47"/>
      <c r="T431" s="47"/>
      <c r="U431" s="47"/>
      <c r="V431" s="47"/>
      <c r="W431" s="47"/>
      <c r="X431" s="47"/>
    </row>
    <row r="432">
      <c r="L432" s="183"/>
      <c r="M432" s="47"/>
      <c r="T432" s="47"/>
      <c r="U432" s="47"/>
      <c r="V432" s="47"/>
      <c r="W432" s="47"/>
      <c r="X432" s="47"/>
    </row>
    <row r="433">
      <c r="L433" s="183"/>
      <c r="M433" s="47"/>
      <c r="T433" s="47"/>
      <c r="U433" s="47"/>
      <c r="V433" s="47"/>
      <c r="W433" s="47"/>
      <c r="X433" s="47"/>
    </row>
    <row r="434">
      <c r="L434" s="183"/>
      <c r="M434" s="47"/>
      <c r="T434" s="47"/>
      <c r="U434" s="47"/>
      <c r="V434" s="47"/>
      <c r="W434" s="47"/>
      <c r="X434" s="47"/>
    </row>
    <row r="435">
      <c r="L435" s="183"/>
      <c r="M435" s="47"/>
      <c r="T435" s="47"/>
      <c r="U435" s="47"/>
      <c r="V435" s="47"/>
      <c r="W435" s="47"/>
      <c r="X435" s="47"/>
    </row>
    <row r="436">
      <c r="L436" s="183"/>
      <c r="M436" s="47"/>
      <c r="T436" s="47"/>
      <c r="U436" s="47"/>
      <c r="V436" s="47"/>
      <c r="W436" s="47"/>
      <c r="X436" s="47"/>
    </row>
    <row r="437">
      <c r="L437" s="183"/>
      <c r="M437" s="47"/>
      <c r="T437" s="47"/>
      <c r="U437" s="47"/>
      <c r="V437" s="47"/>
      <c r="W437" s="47"/>
      <c r="X437" s="47"/>
    </row>
    <row r="438">
      <c r="L438" s="183"/>
      <c r="M438" s="47"/>
      <c r="T438" s="47"/>
      <c r="U438" s="47"/>
      <c r="V438" s="47"/>
      <c r="W438" s="47"/>
      <c r="X438" s="47"/>
    </row>
    <row r="439">
      <c r="L439" s="183"/>
      <c r="M439" s="47"/>
      <c r="T439" s="47"/>
      <c r="U439" s="47"/>
      <c r="V439" s="47"/>
      <c r="W439" s="47"/>
      <c r="X439" s="47"/>
    </row>
    <row r="440">
      <c r="L440" s="183"/>
      <c r="M440" s="47"/>
      <c r="T440" s="47"/>
      <c r="U440" s="47"/>
      <c r="V440" s="47"/>
      <c r="W440" s="47"/>
      <c r="X440" s="47"/>
    </row>
    <row r="441">
      <c r="L441" s="183"/>
      <c r="M441" s="47"/>
      <c r="T441" s="47"/>
      <c r="U441" s="47"/>
      <c r="V441" s="47"/>
      <c r="W441" s="47"/>
      <c r="X441" s="47"/>
    </row>
    <row r="442">
      <c r="L442" s="183"/>
      <c r="M442" s="47"/>
      <c r="T442" s="47"/>
      <c r="U442" s="47"/>
      <c r="V442" s="47"/>
      <c r="W442" s="47"/>
      <c r="X442" s="47"/>
    </row>
    <row r="443">
      <c r="L443" s="183"/>
      <c r="M443" s="47"/>
      <c r="T443" s="47"/>
      <c r="U443" s="47"/>
      <c r="V443" s="47"/>
      <c r="W443" s="47"/>
      <c r="X443" s="47"/>
    </row>
    <row r="444">
      <c r="L444" s="183"/>
      <c r="M444" s="47"/>
      <c r="T444" s="47"/>
      <c r="U444" s="47"/>
      <c r="V444" s="47"/>
      <c r="W444" s="47"/>
      <c r="X444" s="47"/>
    </row>
    <row r="445">
      <c r="L445" s="183"/>
      <c r="M445" s="47"/>
      <c r="T445" s="47"/>
      <c r="U445" s="47"/>
      <c r="V445" s="47"/>
      <c r="W445" s="47"/>
      <c r="X445" s="47"/>
    </row>
    <row r="446">
      <c r="L446" s="183"/>
      <c r="M446" s="47"/>
      <c r="T446" s="47"/>
      <c r="U446" s="47"/>
      <c r="V446" s="47"/>
      <c r="W446" s="47"/>
      <c r="X446" s="47"/>
    </row>
    <row r="447">
      <c r="L447" s="183"/>
      <c r="M447" s="47"/>
      <c r="T447" s="47"/>
      <c r="U447" s="47"/>
      <c r="V447" s="47"/>
      <c r="W447" s="47"/>
      <c r="X447" s="47"/>
    </row>
    <row r="448">
      <c r="L448" s="183"/>
      <c r="M448" s="47"/>
      <c r="T448" s="47"/>
      <c r="U448" s="47"/>
      <c r="V448" s="47"/>
      <c r="W448" s="47"/>
      <c r="X448" s="47"/>
    </row>
    <row r="449">
      <c r="L449" s="183"/>
      <c r="M449" s="47"/>
      <c r="T449" s="47"/>
      <c r="U449" s="47"/>
      <c r="V449" s="47"/>
      <c r="W449" s="47"/>
      <c r="X449" s="47"/>
    </row>
    <row r="450">
      <c r="L450" s="183"/>
      <c r="M450" s="47"/>
      <c r="T450" s="47"/>
      <c r="U450" s="47"/>
      <c r="V450" s="47"/>
      <c r="W450" s="47"/>
      <c r="X450" s="47"/>
    </row>
    <row r="451">
      <c r="L451" s="183"/>
      <c r="M451" s="47"/>
      <c r="T451" s="47"/>
      <c r="U451" s="47"/>
      <c r="V451" s="47"/>
      <c r="W451" s="47"/>
      <c r="X451" s="47"/>
    </row>
    <row r="452">
      <c r="L452" s="183"/>
      <c r="M452" s="47"/>
      <c r="T452" s="47"/>
      <c r="U452" s="47"/>
      <c r="V452" s="47"/>
      <c r="W452" s="47"/>
      <c r="X452" s="47"/>
    </row>
    <row r="453">
      <c r="L453" s="183"/>
      <c r="M453" s="47"/>
      <c r="T453" s="47"/>
      <c r="U453" s="47"/>
      <c r="V453" s="47"/>
      <c r="W453" s="47"/>
      <c r="X453" s="47"/>
    </row>
    <row r="454">
      <c r="L454" s="183"/>
      <c r="M454" s="47"/>
      <c r="T454" s="47"/>
      <c r="U454" s="47"/>
      <c r="V454" s="47"/>
      <c r="W454" s="47"/>
      <c r="X454" s="47"/>
    </row>
    <row r="455">
      <c r="L455" s="183"/>
      <c r="M455" s="47"/>
      <c r="T455" s="47"/>
      <c r="U455" s="47"/>
      <c r="V455" s="47"/>
      <c r="W455" s="47"/>
      <c r="X455" s="47"/>
    </row>
    <row r="456">
      <c r="L456" s="183"/>
      <c r="M456" s="47"/>
      <c r="T456" s="47"/>
      <c r="U456" s="47"/>
      <c r="V456" s="47"/>
      <c r="W456" s="47"/>
      <c r="X456" s="47"/>
    </row>
    <row r="457">
      <c r="L457" s="183"/>
      <c r="M457" s="47"/>
      <c r="T457" s="47"/>
      <c r="U457" s="47"/>
      <c r="V457" s="47"/>
      <c r="W457" s="47"/>
      <c r="X457" s="47"/>
    </row>
    <row r="458">
      <c r="L458" s="183"/>
      <c r="M458" s="47"/>
      <c r="T458" s="47"/>
      <c r="U458" s="47"/>
      <c r="V458" s="47"/>
      <c r="W458" s="47"/>
      <c r="X458" s="47"/>
    </row>
    <row r="459">
      <c r="L459" s="183"/>
      <c r="M459" s="47"/>
      <c r="T459" s="47"/>
      <c r="U459" s="47"/>
      <c r="V459" s="47"/>
      <c r="W459" s="47"/>
      <c r="X459" s="47"/>
    </row>
    <row r="460">
      <c r="L460" s="183"/>
      <c r="M460" s="47"/>
      <c r="T460" s="47"/>
      <c r="U460" s="47"/>
      <c r="V460" s="47"/>
      <c r="W460" s="47"/>
      <c r="X460" s="47"/>
    </row>
    <row r="461">
      <c r="L461" s="183"/>
      <c r="M461" s="47"/>
      <c r="T461" s="47"/>
      <c r="U461" s="47"/>
      <c r="V461" s="47"/>
      <c r="W461" s="47"/>
      <c r="X461" s="47"/>
    </row>
    <row r="462">
      <c r="L462" s="183"/>
      <c r="M462" s="47"/>
      <c r="T462" s="47"/>
      <c r="U462" s="47"/>
      <c r="V462" s="47"/>
      <c r="W462" s="47"/>
      <c r="X462" s="47"/>
    </row>
    <row r="463">
      <c r="L463" s="183"/>
      <c r="M463" s="47"/>
      <c r="T463" s="47"/>
      <c r="U463" s="47"/>
      <c r="V463" s="47"/>
      <c r="W463" s="47"/>
      <c r="X463" s="47"/>
    </row>
    <row r="464">
      <c r="L464" s="183"/>
      <c r="M464" s="47"/>
      <c r="T464" s="47"/>
      <c r="U464" s="47"/>
      <c r="V464" s="47"/>
      <c r="W464" s="47"/>
      <c r="X464" s="47"/>
    </row>
    <row r="465">
      <c r="L465" s="183"/>
      <c r="M465" s="47"/>
      <c r="T465" s="47"/>
      <c r="U465" s="47"/>
      <c r="V465" s="47"/>
      <c r="W465" s="47"/>
      <c r="X465" s="47"/>
    </row>
    <row r="466">
      <c r="L466" s="183"/>
      <c r="M466" s="47"/>
      <c r="T466" s="47"/>
      <c r="U466" s="47"/>
      <c r="V466" s="47"/>
      <c r="W466" s="47"/>
      <c r="X466" s="47"/>
    </row>
    <row r="467">
      <c r="L467" s="183"/>
      <c r="M467" s="47"/>
      <c r="T467" s="47"/>
      <c r="U467" s="47"/>
      <c r="V467" s="47"/>
      <c r="W467" s="47"/>
      <c r="X467" s="47"/>
    </row>
    <row r="468">
      <c r="L468" s="183"/>
      <c r="M468" s="47"/>
      <c r="T468" s="47"/>
      <c r="U468" s="47"/>
      <c r="V468" s="47"/>
      <c r="W468" s="47"/>
      <c r="X468" s="47"/>
    </row>
    <row r="469">
      <c r="L469" s="183"/>
      <c r="M469" s="47"/>
      <c r="T469" s="47"/>
      <c r="U469" s="47"/>
      <c r="V469" s="47"/>
      <c r="W469" s="47"/>
      <c r="X469" s="47"/>
    </row>
    <row r="470">
      <c r="L470" s="183"/>
      <c r="M470" s="47"/>
      <c r="T470" s="47"/>
      <c r="U470" s="47"/>
      <c r="V470" s="47"/>
      <c r="W470" s="47"/>
      <c r="X470" s="47"/>
    </row>
    <row r="471">
      <c r="L471" s="183"/>
      <c r="M471" s="47"/>
      <c r="T471" s="47"/>
      <c r="U471" s="47"/>
      <c r="V471" s="47"/>
      <c r="W471" s="47"/>
      <c r="X471" s="47"/>
    </row>
    <row r="472">
      <c r="L472" s="183"/>
      <c r="M472" s="47"/>
      <c r="T472" s="47"/>
      <c r="U472" s="47"/>
      <c r="V472" s="47"/>
      <c r="W472" s="47"/>
      <c r="X472" s="47"/>
    </row>
    <row r="473">
      <c r="L473" s="183"/>
      <c r="M473" s="47"/>
      <c r="T473" s="47"/>
      <c r="U473" s="47"/>
      <c r="V473" s="47"/>
      <c r="W473" s="47"/>
      <c r="X473" s="47"/>
    </row>
    <row r="474">
      <c r="L474" s="183"/>
      <c r="M474" s="47"/>
      <c r="T474" s="47"/>
      <c r="U474" s="47"/>
      <c r="V474" s="47"/>
      <c r="W474" s="47"/>
      <c r="X474" s="47"/>
    </row>
    <row r="475">
      <c r="L475" s="183"/>
      <c r="M475" s="47"/>
      <c r="T475" s="47"/>
      <c r="U475" s="47"/>
      <c r="V475" s="47"/>
      <c r="W475" s="47"/>
      <c r="X475" s="47"/>
    </row>
    <row r="476">
      <c r="L476" s="183"/>
      <c r="M476" s="47"/>
      <c r="T476" s="47"/>
      <c r="U476" s="47"/>
      <c r="V476" s="47"/>
      <c r="W476" s="47"/>
      <c r="X476" s="47"/>
    </row>
    <row r="477">
      <c r="L477" s="183"/>
      <c r="M477" s="47"/>
      <c r="T477" s="47"/>
      <c r="U477" s="47"/>
      <c r="V477" s="47"/>
      <c r="W477" s="47"/>
      <c r="X477" s="47"/>
    </row>
    <row r="478">
      <c r="L478" s="183"/>
      <c r="M478" s="47"/>
      <c r="T478" s="47"/>
      <c r="U478" s="47"/>
      <c r="V478" s="47"/>
      <c r="W478" s="47"/>
      <c r="X478" s="47"/>
    </row>
    <row r="479">
      <c r="L479" s="183"/>
      <c r="M479" s="47"/>
      <c r="T479" s="47"/>
      <c r="U479" s="47"/>
      <c r="V479" s="47"/>
      <c r="W479" s="47"/>
      <c r="X479" s="47"/>
    </row>
    <row r="480">
      <c r="L480" s="183"/>
      <c r="M480" s="47"/>
      <c r="T480" s="47"/>
      <c r="U480" s="47"/>
      <c r="V480" s="47"/>
      <c r="W480" s="47"/>
      <c r="X480" s="47"/>
    </row>
    <row r="481">
      <c r="L481" s="183"/>
      <c r="M481" s="47"/>
      <c r="T481" s="47"/>
      <c r="U481" s="47"/>
      <c r="V481" s="47"/>
      <c r="W481" s="47"/>
      <c r="X481" s="47"/>
    </row>
    <row r="482">
      <c r="L482" s="183"/>
      <c r="M482" s="47"/>
      <c r="T482" s="47"/>
      <c r="U482" s="47"/>
      <c r="V482" s="47"/>
      <c r="W482" s="47"/>
      <c r="X482" s="47"/>
    </row>
    <row r="483">
      <c r="L483" s="183"/>
      <c r="M483" s="47"/>
      <c r="T483" s="47"/>
      <c r="U483" s="47"/>
      <c r="V483" s="47"/>
      <c r="W483" s="47"/>
      <c r="X483" s="47"/>
    </row>
    <row r="484">
      <c r="L484" s="183"/>
      <c r="M484" s="47"/>
      <c r="T484" s="47"/>
      <c r="U484" s="47"/>
      <c r="V484" s="47"/>
      <c r="W484" s="47"/>
      <c r="X484" s="47"/>
    </row>
    <row r="485">
      <c r="L485" s="183"/>
      <c r="M485" s="47"/>
      <c r="T485" s="47"/>
      <c r="U485" s="47"/>
      <c r="V485" s="47"/>
      <c r="W485" s="47"/>
      <c r="X485" s="47"/>
    </row>
    <row r="486">
      <c r="L486" s="183"/>
      <c r="M486" s="47"/>
      <c r="T486" s="47"/>
      <c r="U486" s="47"/>
      <c r="V486" s="47"/>
      <c r="W486" s="47"/>
      <c r="X486" s="47"/>
    </row>
    <row r="487">
      <c r="L487" s="183"/>
      <c r="M487" s="47"/>
      <c r="T487" s="47"/>
      <c r="U487" s="47"/>
      <c r="V487" s="47"/>
      <c r="W487" s="47"/>
      <c r="X487" s="47"/>
    </row>
    <row r="488">
      <c r="L488" s="183"/>
      <c r="M488" s="47"/>
      <c r="T488" s="47"/>
      <c r="U488" s="47"/>
      <c r="V488" s="47"/>
      <c r="W488" s="47"/>
      <c r="X488" s="47"/>
    </row>
    <row r="489">
      <c r="L489" s="183"/>
      <c r="M489" s="47"/>
      <c r="T489" s="47"/>
      <c r="U489" s="47"/>
      <c r="V489" s="47"/>
      <c r="W489" s="47"/>
      <c r="X489" s="47"/>
    </row>
    <row r="490">
      <c r="L490" s="183"/>
      <c r="M490" s="47"/>
      <c r="T490" s="47"/>
      <c r="U490" s="47"/>
      <c r="V490" s="47"/>
      <c r="W490" s="47"/>
      <c r="X490" s="47"/>
    </row>
    <row r="491">
      <c r="L491" s="183"/>
      <c r="M491" s="47"/>
      <c r="T491" s="47"/>
      <c r="U491" s="47"/>
      <c r="V491" s="47"/>
      <c r="W491" s="47"/>
      <c r="X491" s="47"/>
    </row>
    <row r="492">
      <c r="L492" s="183"/>
      <c r="M492" s="47"/>
      <c r="T492" s="47"/>
      <c r="U492" s="47"/>
      <c r="V492" s="47"/>
      <c r="W492" s="47"/>
      <c r="X492" s="47"/>
    </row>
    <row r="493">
      <c r="L493" s="183"/>
      <c r="M493" s="47"/>
      <c r="T493" s="47"/>
      <c r="U493" s="47"/>
      <c r="V493" s="47"/>
      <c r="W493" s="47"/>
      <c r="X493" s="47"/>
    </row>
    <row r="494">
      <c r="L494" s="183"/>
      <c r="M494" s="47"/>
      <c r="T494" s="47"/>
      <c r="U494" s="47"/>
      <c r="V494" s="47"/>
      <c r="W494" s="47"/>
      <c r="X494" s="47"/>
    </row>
    <row r="495">
      <c r="L495" s="183"/>
      <c r="M495" s="47"/>
      <c r="T495" s="47"/>
      <c r="U495" s="47"/>
      <c r="V495" s="47"/>
      <c r="W495" s="47"/>
      <c r="X495" s="47"/>
    </row>
    <row r="496">
      <c r="L496" s="183"/>
      <c r="M496" s="47"/>
      <c r="T496" s="47"/>
      <c r="U496" s="47"/>
      <c r="V496" s="47"/>
      <c r="W496" s="47"/>
      <c r="X496" s="47"/>
    </row>
    <row r="497">
      <c r="L497" s="183"/>
      <c r="M497" s="47"/>
      <c r="T497" s="47"/>
      <c r="U497" s="47"/>
      <c r="V497" s="47"/>
      <c r="W497" s="47"/>
      <c r="X497" s="47"/>
    </row>
    <row r="498">
      <c r="L498" s="183"/>
      <c r="M498" s="47"/>
      <c r="T498" s="47"/>
      <c r="U498" s="47"/>
      <c r="V498" s="47"/>
      <c r="W498" s="47"/>
      <c r="X498" s="47"/>
    </row>
    <row r="499">
      <c r="L499" s="183"/>
      <c r="M499" s="47"/>
      <c r="T499" s="47"/>
      <c r="U499" s="47"/>
      <c r="V499" s="47"/>
      <c r="W499" s="47"/>
      <c r="X499" s="47"/>
    </row>
    <row r="500">
      <c r="L500" s="183"/>
      <c r="M500" s="47"/>
      <c r="T500" s="47"/>
      <c r="U500" s="47"/>
      <c r="V500" s="47"/>
      <c r="W500" s="47"/>
      <c r="X500" s="47"/>
    </row>
    <row r="501">
      <c r="L501" s="183"/>
      <c r="M501" s="47"/>
      <c r="T501" s="47"/>
      <c r="U501" s="47"/>
      <c r="V501" s="47"/>
      <c r="W501" s="47"/>
      <c r="X501" s="47"/>
    </row>
    <row r="502">
      <c r="L502" s="183"/>
      <c r="M502" s="47"/>
      <c r="T502" s="47"/>
      <c r="U502" s="47"/>
      <c r="V502" s="47"/>
      <c r="W502" s="47"/>
      <c r="X502" s="47"/>
    </row>
    <row r="503">
      <c r="L503" s="183"/>
      <c r="M503" s="47"/>
      <c r="T503" s="47"/>
      <c r="U503" s="47"/>
      <c r="V503" s="47"/>
      <c r="W503" s="47"/>
      <c r="X503" s="47"/>
    </row>
    <row r="504">
      <c r="L504" s="183"/>
      <c r="M504" s="47"/>
      <c r="T504" s="47"/>
      <c r="U504" s="47"/>
      <c r="V504" s="47"/>
      <c r="W504" s="47"/>
      <c r="X504" s="47"/>
    </row>
    <row r="505">
      <c r="L505" s="183"/>
      <c r="M505" s="47"/>
      <c r="T505" s="47"/>
      <c r="U505" s="47"/>
      <c r="V505" s="47"/>
      <c r="W505" s="47"/>
      <c r="X505" s="47"/>
    </row>
    <row r="506">
      <c r="L506" s="183"/>
      <c r="M506" s="47"/>
      <c r="T506" s="47"/>
      <c r="U506" s="47"/>
      <c r="V506" s="47"/>
      <c r="W506" s="47"/>
      <c r="X506" s="47"/>
    </row>
    <row r="507">
      <c r="L507" s="183"/>
      <c r="M507" s="47"/>
      <c r="T507" s="47"/>
      <c r="U507" s="47"/>
      <c r="V507" s="47"/>
      <c r="W507" s="47"/>
      <c r="X507" s="47"/>
    </row>
    <row r="508">
      <c r="L508" s="183"/>
      <c r="M508" s="47"/>
      <c r="T508" s="47"/>
      <c r="U508" s="47"/>
      <c r="V508" s="47"/>
      <c r="W508" s="47"/>
      <c r="X508" s="47"/>
    </row>
    <row r="509">
      <c r="L509" s="183"/>
      <c r="M509" s="47"/>
      <c r="T509" s="47"/>
      <c r="U509" s="47"/>
      <c r="V509" s="47"/>
      <c r="W509" s="47"/>
      <c r="X509" s="47"/>
    </row>
    <row r="510">
      <c r="L510" s="183"/>
      <c r="M510" s="47"/>
      <c r="T510" s="47"/>
      <c r="U510" s="47"/>
      <c r="V510" s="47"/>
      <c r="W510" s="47"/>
      <c r="X510" s="47"/>
    </row>
    <row r="511">
      <c r="L511" s="183"/>
      <c r="M511" s="47"/>
      <c r="T511" s="47"/>
      <c r="U511" s="47"/>
      <c r="V511" s="47"/>
      <c r="W511" s="47"/>
      <c r="X511" s="47"/>
    </row>
    <row r="512">
      <c r="L512" s="183"/>
      <c r="M512" s="47"/>
      <c r="T512" s="47"/>
      <c r="U512" s="47"/>
      <c r="V512" s="47"/>
      <c r="W512" s="47"/>
      <c r="X512" s="47"/>
    </row>
    <row r="513">
      <c r="L513" s="183"/>
      <c r="M513" s="47"/>
      <c r="T513" s="47"/>
      <c r="U513" s="47"/>
      <c r="V513" s="47"/>
      <c r="W513" s="47"/>
      <c r="X513" s="47"/>
    </row>
    <row r="514">
      <c r="L514" s="183"/>
      <c r="M514" s="47"/>
      <c r="T514" s="47"/>
      <c r="U514" s="47"/>
      <c r="V514" s="47"/>
      <c r="W514" s="47"/>
      <c r="X514" s="47"/>
    </row>
    <row r="515">
      <c r="L515" s="183"/>
      <c r="M515" s="47"/>
      <c r="T515" s="47"/>
      <c r="U515" s="47"/>
      <c r="V515" s="47"/>
      <c r="W515" s="47"/>
      <c r="X515" s="47"/>
    </row>
    <row r="516">
      <c r="L516" s="183"/>
      <c r="M516" s="47"/>
      <c r="T516" s="47"/>
      <c r="U516" s="47"/>
      <c r="V516" s="47"/>
      <c r="W516" s="47"/>
      <c r="X516" s="47"/>
    </row>
    <row r="517">
      <c r="L517" s="183"/>
      <c r="M517" s="47"/>
      <c r="T517" s="47"/>
      <c r="U517" s="47"/>
      <c r="V517" s="47"/>
      <c r="W517" s="47"/>
      <c r="X517" s="47"/>
    </row>
    <row r="518">
      <c r="L518" s="183"/>
      <c r="M518" s="47"/>
      <c r="T518" s="47"/>
      <c r="U518" s="47"/>
      <c r="V518" s="47"/>
      <c r="W518" s="47"/>
      <c r="X518" s="47"/>
    </row>
    <row r="519">
      <c r="L519" s="183"/>
      <c r="M519" s="47"/>
      <c r="T519" s="47"/>
      <c r="U519" s="47"/>
      <c r="V519" s="47"/>
      <c r="W519" s="47"/>
      <c r="X519" s="47"/>
    </row>
    <row r="520">
      <c r="L520" s="183"/>
      <c r="M520" s="47"/>
      <c r="T520" s="47"/>
      <c r="U520" s="47"/>
      <c r="V520" s="47"/>
      <c r="W520" s="47"/>
      <c r="X520" s="47"/>
    </row>
    <row r="521">
      <c r="L521" s="183"/>
      <c r="M521" s="47"/>
      <c r="T521" s="47"/>
      <c r="U521" s="47"/>
      <c r="V521" s="47"/>
      <c r="W521" s="47"/>
      <c r="X521" s="47"/>
    </row>
    <row r="522">
      <c r="L522" s="183"/>
      <c r="M522" s="47"/>
      <c r="T522" s="47"/>
      <c r="U522" s="47"/>
      <c r="V522" s="47"/>
      <c r="W522" s="47"/>
      <c r="X522" s="47"/>
    </row>
    <row r="523">
      <c r="L523" s="183"/>
      <c r="M523" s="47"/>
      <c r="T523" s="47"/>
      <c r="U523" s="47"/>
      <c r="V523" s="47"/>
      <c r="W523" s="47"/>
      <c r="X523" s="47"/>
    </row>
    <row r="524">
      <c r="L524" s="183"/>
      <c r="M524" s="47"/>
      <c r="T524" s="47"/>
      <c r="U524" s="47"/>
      <c r="V524" s="47"/>
      <c r="W524" s="47"/>
      <c r="X524" s="47"/>
    </row>
    <row r="525">
      <c r="L525" s="183"/>
      <c r="M525" s="47"/>
      <c r="T525" s="47"/>
      <c r="U525" s="47"/>
      <c r="V525" s="47"/>
      <c r="W525" s="47"/>
      <c r="X525" s="47"/>
    </row>
    <row r="526">
      <c r="L526" s="183"/>
      <c r="M526" s="47"/>
      <c r="T526" s="47"/>
      <c r="U526" s="47"/>
      <c r="V526" s="47"/>
      <c r="W526" s="47"/>
      <c r="X526" s="47"/>
    </row>
    <row r="527">
      <c r="L527" s="183"/>
      <c r="M527" s="47"/>
      <c r="T527" s="47"/>
      <c r="U527" s="47"/>
      <c r="V527" s="47"/>
      <c r="W527" s="47"/>
      <c r="X527" s="47"/>
    </row>
    <row r="528">
      <c r="L528" s="183"/>
      <c r="M528" s="47"/>
      <c r="T528" s="47"/>
      <c r="U528" s="47"/>
      <c r="V528" s="47"/>
      <c r="W528" s="47"/>
      <c r="X528" s="47"/>
    </row>
    <row r="529">
      <c r="L529" s="183"/>
      <c r="M529" s="47"/>
      <c r="T529" s="47"/>
      <c r="U529" s="47"/>
      <c r="V529" s="47"/>
      <c r="W529" s="47"/>
      <c r="X529" s="47"/>
    </row>
    <row r="530">
      <c r="L530" s="183"/>
      <c r="M530" s="47"/>
      <c r="T530" s="47"/>
      <c r="U530" s="47"/>
      <c r="V530" s="47"/>
      <c r="W530" s="47"/>
      <c r="X530" s="47"/>
    </row>
    <row r="531">
      <c r="L531" s="183"/>
      <c r="M531" s="47"/>
      <c r="T531" s="47"/>
      <c r="U531" s="47"/>
      <c r="V531" s="47"/>
      <c r="W531" s="47"/>
      <c r="X531" s="47"/>
    </row>
    <row r="532">
      <c r="L532" s="183"/>
      <c r="M532" s="47"/>
      <c r="T532" s="47"/>
      <c r="U532" s="47"/>
      <c r="V532" s="47"/>
      <c r="W532" s="47"/>
      <c r="X532" s="47"/>
    </row>
    <row r="533">
      <c r="L533" s="183"/>
      <c r="M533" s="47"/>
      <c r="T533" s="47"/>
      <c r="U533" s="47"/>
      <c r="V533" s="47"/>
      <c r="W533" s="47"/>
      <c r="X533" s="47"/>
    </row>
    <row r="534">
      <c r="L534" s="183"/>
      <c r="M534" s="47"/>
      <c r="T534" s="47"/>
      <c r="U534" s="47"/>
      <c r="V534" s="47"/>
      <c r="W534" s="47"/>
      <c r="X534" s="47"/>
    </row>
    <row r="535">
      <c r="L535" s="183"/>
      <c r="M535" s="47"/>
      <c r="T535" s="47"/>
      <c r="U535" s="47"/>
      <c r="V535" s="47"/>
      <c r="W535" s="47"/>
      <c r="X535" s="47"/>
    </row>
    <row r="536">
      <c r="L536" s="183"/>
      <c r="M536" s="47"/>
      <c r="T536" s="47"/>
      <c r="U536" s="47"/>
      <c r="V536" s="47"/>
      <c r="W536" s="47"/>
      <c r="X536" s="47"/>
    </row>
    <row r="537">
      <c r="L537" s="183"/>
      <c r="M537" s="47"/>
      <c r="T537" s="47"/>
      <c r="U537" s="47"/>
      <c r="V537" s="47"/>
      <c r="W537" s="47"/>
      <c r="X537" s="47"/>
    </row>
    <row r="538">
      <c r="L538" s="183"/>
      <c r="M538" s="47"/>
      <c r="T538" s="47"/>
      <c r="U538" s="47"/>
      <c r="V538" s="47"/>
      <c r="W538" s="47"/>
      <c r="X538" s="47"/>
    </row>
    <row r="539">
      <c r="L539" s="183"/>
      <c r="M539" s="47"/>
      <c r="T539" s="47"/>
      <c r="U539" s="47"/>
      <c r="V539" s="47"/>
      <c r="W539" s="47"/>
      <c r="X539" s="47"/>
    </row>
    <row r="540">
      <c r="L540" s="183"/>
      <c r="M540" s="47"/>
      <c r="T540" s="47"/>
      <c r="U540" s="47"/>
      <c r="V540" s="47"/>
      <c r="W540" s="47"/>
      <c r="X540" s="47"/>
    </row>
    <row r="541">
      <c r="L541" s="183"/>
      <c r="M541" s="47"/>
      <c r="T541" s="47"/>
      <c r="U541" s="47"/>
      <c r="V541" s="47"/>
      <c r="W541" s="47"/>
      <c r="X541" s="47"/>
    </row>
    <row r="542">
      <c r="L542" s="183"/>
      <c r="M542" s="47"/>
      <c r="T542" s="47"/>
      <c r="U542" s="47"/>
      <c r="V542" s="47"/>
      <c r="W542" s="47"/>
      <c r="X542" s="47"/>
    </row>
    <row r="543">
      <c r="L543" s="183"/>
      <c r="M543" s="47"/>
      <c r="T543" s="47"/>
      <c r="U543" s="47"/>
      <c r="V543" s="47"/>
      <c r="W543" s="47"/>
      <c r="X543" s="47"/>
    </row>
    <row r="544">
      <c r="L544" s="183"/>
      <c r="M544" s="47"/>
      <c r="T544" s="47"/>
      <c r="U544" s="47"/>
      <c r="V544" s="47"/>
      <c r="W544" s="47"/>
      <c r="X544" s="47"/>
    </row>
    <row r="545">
      <c r="L545" s="183"/>
      <c r="M545" s="47"/>
      <c r="T545" s="47"/>
      <c r="U545" s="47"/>
      <c r="V545" s="47"/>
      <c r="W545" s="47"/>
      <c r="X545" s="47"/>
    </row>
    <row r="546">
      <c r="L546" s="183"/>
      <c r="M546" s="47"/>
      <c r="T546" s="47"/>
      <c r="U546" s="47"/>
      <c r="V546" s="47"/>
      <c r="W546" s="47"/>
      <c r="X546" s="47"/>
    </row>
    <row r="547">
      <c r="L547" s="183"/>
      <c r="M547" s="47"/>
      <c r="T547" s="47"/>
      <c r="U547" s="47"/>
      <c r="V547" s="47"/>
      <c r="W547" s="47"/>
      <c r="X547" s="47"/>
    </row>
    <row r="548">
      <c r="L548" s="183"/>
      <c r="M548" s="47"/>
      <c r="T548" s="47"/>
      <c r="U548" s="47"/>
      <c r="V548" s="47"/>
      <c r="W548" s="47"/>
      <c r="X548" s="47"/>
    </row>
    <row r="549">
      <c r="L549" s="183"/>
      <c r="M549" s="47"/>
      <c r="T549" s="47"/>
      <c r="U549" s="47"/>
      <c r="V549" s="47"/>
      <c r="W549" s="47"/>
      <c r="X549" s="47"/>
    </row>
    <row r="550">
      <c r="L550" s="183"/>
      <c r="M550" s="47"/>
      <c r="T550" s="47"/>
      <c r="U550" s="47"/>
      <c r="V550" s="47"/>
      <c r="W550" s="47"/>
      <c r="X550" s="47"/>
    </row>
    <row r="551">
      <c r="L551" s="183"/>
      <c r="M551" s="47"/>
      <c r="T551" s="47"/>
      <c r="U551" s="47"/>
      <c r="V551" s="47"/>
      <c r="W551" s="47"/>
      <c r="X551" s="47"/>
    </row>
    <row r="552">
      <c r="L552" s="183"/>
      <c r="M552" s="47"/>
      <c r="T552" s="47"/>
      <c r="U552" s="47"/>
      <c r="V552" s="47"/>
      <c r="W552" s="47"/>
      <c r="X552" s="47"/>
    </row>
    <row r="553">
      <c r="L553" s="183"/>
      <c r="M553" s="47"/>
      <c r="T553" s="47"/>
      <c r="U553" s="47"/>
      <c r="V553" s="47"/>
      <c r="W553" s="47"/>
      <c r="X553" s="47"/>
    </row>
    <row r="554">
      <c r="L554" s="183"/>
      <c r="M554" s="47"/>
      <c r="T554" s="47"/>
      <c r="U554" s="47"/>
      <c r="V554" s="47"/>
      <c r="W554" s="47"/>
      <c r="X554" s="47"/>
    </row>
    <row r="555">
      <c r="L555" s="183"/>
      <c r="M555" s="47"/>
      <c r="T555" s="47"/>
      <c r="U555" s="47"/>
      <c r="V555" s="47"/>
      <c r="W555" s="47"/>
      <c r="X555" s="47"/>
    </row>
    <row r="556">
      <c r="L556" s="183"/>
      <c r="M556" s="47"/>
      <c r="T556" s="47"/>
      <c r="U556" s="47"/>
      <c r="V556" s="47"/>
      <c r="W556" s="47"/>
      <c r="X556" s="47"/>
    </row>
    <row r="557">
      <c r="L557" s="183"/>
      <c r="M557" s="47"/>
      <c r="T557" s="47"/>
      <c r="U557" s="47"/>
      <c r="V557" s="47"/>
      <c r="W557" s="47"/>
      <c r="X557" s="47"/>
    </row>
    <row r="558">
      <c r="L558" s="183"/>
      <c r="M558" s="47"/>
      <c r="T558" s="47"/>
      <c r="U558" s="47"/>
      <c r="V558" s="47"/>
      <c r="W558" s="47"/>
      <c r="X558" s="47"/>
    </row>
    <row r="559">
      <c r="L559" s="183"/>
      <c r="M559" s="47"/>
      <c r="T559" s="47"/>
      <c r="U559" s="47"/>
      <c r="V559" s="47"/>
      <c r="W559" s="47"/>
      <c r="X559" s="47"/>
    </row>
    <row r="560">
      <c r="L560" s="183"/>
      <c r="M560" s="47"/>
      <c r="T560" s="47"/>
      <c r="U560" s="47"/>
      <c r="V560" s="47"/>
      <c r="W560" s="47"/>
      <c r="X560" s="47"/>
    </row>
    <row r="561">
      <c r="L561" s="183"/>
      <c r="M561" s="47"/>
      <c r="T561" s="47"/>
      <c r="U561" s="47"/>
      <c r="V561" s="47"/>
      <c r="W561" s="47"/>
      <c r="X561" s="47"/>
    </row>
    <row r="562">
      <c r="L562" s="183"/>
      <c r="M562" s="47"/>
      <c r="T562" s="47"/>
      <c r="U562" s="47"/>
      <c r="V562" s="47"/>
      <c r="W562" s="47"/>
      <c r="X562" s="47"/>
    </row>
    <row r="563">
      <c r="L563" s="183"/>
      <c r="M563" s="47"/>
      <c r="T563" s="47"/>
      <c r="U563" s="47"/>
      <c r="V563" s="47"/>
      <c r="W563" s="47"/>
      <c r="X563" s="47"/>
    </row>
    <row r="564">
      <c r="L564" s="183"/>
      <c r="M564" s="47"/>
      <c r="T564" s="47"/>
      <c r="U564" s="47"/>
      <c r="V564" s="47"/>
      <c r="W564" s="47"/>
      <c r="X564" s="47"/>
    </row>
    <row r="565">
      <c r="L565" s="183"/>
      <c r="M565" s="47"/>
      <c r="T565" s="47"/>
      <c r="U565" s="47"/>
      <c r="V565" s="47"/>
      <c r="W565" s="47"/>
      <c r="X565" s="47"/>
    </row>
    <row r="566">
      <c r="L566" s="183"/>
      <c r="M566" s="47"/>
      <c r="T566" s="47"/>
      <c r="U566" s="47"/>
      <c r="V566" s="47"/>
      <c r="W566" s="47"/>
      <c r="X566" s="47"/>
    </row>
    <row r="567">
      <c r="L567" s="183"/>
      <c r="M567" s="47"/>
      <c r="T567" s="47"/>
      <c r="U567" s="47"/>
      <c r="V567" s="47"/>
      <c r="W567" s="47"/>
      <c r="X567" s="47"/>
    </row>
    <row r="568">
      <c r="L568" s="183"/>
      <c r="M568" s="47"/>
      <c r="T568" s="47"/>
      <c r="U568" s="47"/>
      <c r="V568" s="47"/>
      <c r="W568" s="47"/>
      <c r="X568" s="47"/>
    </row>
    <row r="569">
      <c r="L569" s="183"/>
      <c r="M569" s="47"/>
      <c r="T569" s="47"/>
      <c r="U569" s="47"/>
      <c r="V569" s="47"/>
      <c r="W569" s="47"/>
      <c r="X569" s="47"/>
    </row>
    <row r="570">
      <c r="L570" s="183"/>
      <c r="M570" s="47"/>
      <c r="T570" s="47"/>
      <c r="U570" s="47"/>
      <c r="V570" s="47"/>
      <c r="W570" s="47"/>
      <c r="X570" s="47"/>
    </row>
    <row r="571">
      <c r="L571" s="183"/>
      <c r="M571" s="47"/>
      <c r="T571" s="47"/>
      <c r="U571" s="47"/>
      <c r="V571" s="47"/>
      <c r="W571" s="47"/>
      <c r="X571" s="47"/>
    </row>
    <row r="572">
      <c r="L572" s="183"/>
      <c r="M572" s="47"/>
      <c r="T572" s="47"/>
      <c r="U572" s="47"/>
      <c r="V572" s="47"/>
      <c r="W572" s="47"/>
      <c r="X572" s="47"/>
    </row>
    <row r="573">
      <c r="L573" s="183"/>
      <c r="M573" s="47"/>
      <c r="T573" s="47"/>
      <c r="U573" s="47"/>
      <c r="V573" s="47"/>
      <c r="W573" s="47"/>
      <c r="X573" s="47"/>
    </row>
    <row r="574">
      <c r="L574" s="183"/>
      <c r="M574" s="47"/>
      <c r="T574" s="47"/>
      <c r="U574" s="47"/>
      <c r="V574" s="47"/>
      <c r="W574" s="47"/>
      <c r="X574" s="47"/>
    </row>
    <row r="575">
      <c r="L575" s="183"/>
      <c r="M575" s="47"/>
      <c r="T575" s="47"/>
      <c r="U575" s="47"/>
      <c r="V575" s="47"/>
      <c r="W575" s="47"/>
      <c r="X575" s="47"/>
    </row>
    <row r="576">
      <c r="L576" s="183"/>
      <c r="M576" s="47"/>
      <c r="T576" s="47"/>
      <c r="U576" s="47"/>
      <c r="V576" s="47"/>
      <c r="W576" s="47"/>
      <c r="X576" s="47"/>
    </row>
    <row r="577">
      <c r="L577" s="183"/>
      <c r="M577" s="47"/>
      <c r="T577" s="47"/>
      <c r="U577" s="47"/>
      <c r="V577" s="47"/>
      <c r="W577" s="47"/>
      <c r="X577" s="47"/>
    </row>
    <row r="578">
      <c r="L578" s="183"/>
      <c r="M578" s="47"/>
      <c r="T578" s="47"/>
      <c r="U578" s="47"/>
      <c r="V578" s="47"/>
      <c r="W578" s="47"/>
      <c r="X578" s="47"/>
    </row>
    <row r="579">
      <c r="L579" s="183"/>
      <c r="M579" s="47"/>
      <c r="T579" s="47"/>
      <c r="U579" s="47"/>
      <c r="V579" s="47"/>
      <c r="W579" s="47"/>
      <c r="X579" s="47"/>
    </row>
    <row r="580">
      <c r="L580" s="183"/>
      <c r="M580" s="47"/>
      <c r="T580" s="47"/>
      <c r="U580" s="47"/>
      <c r="V580" s="47"/>
      <c r="W580" s="47"/>
      <c r="X580" s="47"/>
    </row>
    <row r="581">
      <c r="L581" s="183"/>
      <c r="M581" s="47"/>
      <c r="T581" s="47"/>
      <c r="U581" s="47"/>
      <c r="V581" s="47"/>
      <c r="W581" s="47"/>
      <c r="X581" s="47"/>
    </row>
    <row r="582">
      <c r="L582" s="183"/>
      <c r="M582" s="47"/>
      <c r="T582" s="47"/>
      <c r="U582" s="47"/>
      <c r="V582" s="47"/>
      <c r="W582" s="47"/>
      <c r="X582" s="47"/>
    </row>
    <row r="583">
      <c r="L583" s="183"/>
      <c r="M583" s="47"/>
      <c r="T583" s="47"/>
      <c r="U583" s="47"/>
      <c r="V583" s="47"/>
      <c r="W583" s="47"/>
      <c r="X583" s="47"/>
    </row>
    <row r="584">
      <c r="L584" s="183"/>
      <c r="M584" s="47"/>
      <c r="T584" s="47"/>
      <c r="U584" s="47"/>
      <c r="V584" s="47"/>
      <c r="W584" s="47"/>
      <c r="X584" s="47"/>
    </row>
    <row r="585">
      <c r="L585" s="183"/>
      <c r="M585" s="47"/>
      <c r="T585" s="47"/>
      <c r="U585" s="47"/>
      <c r="V585" s="47"/>
      <c r="W585" s="47"/>
      <c r="X585" s="47"/>
    </row>
    <row r="586">
      <c r="L586" s="183"/>
      <c r="M586" s="47"/>
      <c r="T586" s="47"/>
      <c r="U586" s="47"/>
      <c r="V586" s="47"/>
      <c r="W586" s="47"/>
      <c r="X586" s="47"/>
    </row>
    <row r="587">
      <c r="L587" s="183"/>
      <c r="M587" s="47"/>
      <c r="T587" s="47"/>
      <c r="U587" s="47"/>
      <c r="V587" s="47"/>
      <c r="W587" s="47"/>
      <c r="X587" s="47"/>
    </row>
    <row r="588">
      <c r="L588" s="183"/>
      <c r="M588" s="47"/>
      <c r="T588" s="47"/>
      <c r="U588" s="47"/>
      <c r="V588" s="47"/>
      <c r="W588" s="47"/>
      <c r="X588" s="47"/>
    </row>
    <row r="589">
      <c r="L589" s="183"/>
      <c r="M589" s="47"/>
      <c r="T589" s="47"/>
      <c r="U589" s="47"/>
      <c r="V589" s="47"/>
      <c r="W589" s="47"/>
      <c r="X589" s="47"/>
    </row>
    <row r="590">
      <c r="L590" s="183"/>
      <c r="M590" s="47"/>
      <c r="T590" s="47"/>
      <c r="U590" s="47"/>
      <c r="V590" s="47"/>
      <c r="W590" s="47"/>
      <c r="X590" s="47"/>
    </row>
    <row r="591">
      <c r="L591" s="183"/>
      <c r="M591" s="47"/>
      <c r="T591" s="47"/>
      <c r="U591" s="47"/>
      <c r="V591" s="47"/>
      <c r="W591" s="47"/>
      <c r="X591" s="47"/>
    </row>
    <row r="592">
      <c r="L592" s="183"/>
      <c r="M592" s="47"/>
      <c r="T592" s="47"/>
      <c r="U592" s="47"/>
      <c r="V592" s="47"/>
      <c r="W592" s="47"/>
      <c r="X592" s="47"/>
    </row>
    <row r="593">
      <c r="L593" s="183"/>
      <c r="M593" s="47"/>
      <c r="T593" s="47"/>
      <c r="U593" s="47"/>
      <c r="V593" s="47"/>
      <c r="W593" s="47"/>
      <c r="X593" s="47"/>
    </row>
    <row r="594">
      <c r="L594" s="183"/>
      <c r="M594" s="47"/>
      <c r="T594" s="47"/>
      <c r="U594" s="47"/>
      <c r="V594" s="47"/>
      <c r="W594" s="47"/>
      <c r="X594" s="47"/>
    </row>
    <row r="595">
      <c r="L595" s="183"/>
      <c r="M595" s="47"/>
      <c r="T595" s="47"/>
      <c r="U595" s="47"/>
      <c r="V595" s="47"/>
      <c r="W595" s="47"/>
      <c r="X595" s="47"/>
    </row>
    <row r="596">
      <c r="L596" s="183"/>
      <c r="M596" s="47"/>
      <c r="T596" s="47"/>
      <c r="U596" s="47"/>
      <c r="V596" s="47"/>
      <c r="W596" s="47"/>
      <c r="X596" s="47"/>
    </row>
    <row r="597">
      <c r="L597" s="183"/>
      <c r="M597" s="47"/>
      <c r="T597" s="47"/>
      <c r="U597" s="47"/>
      <c r="V597" s="47"/>
      <c r="W597" s="47"/>
      <c r="X597" s="47"/>
    </row>
    <row r="598">
      <c r="L598" s="183"/>
      <c r="M598" s="47"/>
      <c r="T598" s="47"/>
      <c r="U598" s="47"/>
      <c r="V598" s="47"/>
      <c r="W598" s="47"/>
      <c r="X598" s="47"/>
    </row>
    <row r="599">
      <c r="L599" s="183"/>
      <c r="M599" s="47"/>
      <c r="T599" s="47"/>
      <c r="U599" s="47"/>
      <c r="V599" s="47"/>
      <c r="W599" s="47"/>
      <c r="X599" s="47"/>
    </row>
    <row r="600">
      <c r="L600" s="183"/>
      <c r="M600" s="47"/>
      <c r="T600" s="47"/>
      <c r="U600" s="47"/>
      <c r="V600" s="47"/>
      <c r="W600" s="47"/>
      <c r="X600" s="47"/>
    </row>
    <row r="601">
      <c r="L601" s="183"/>
      <c r="M601" s="47"/>
      <c r="T601" s="47"/>
      <c r="U601" s="47"/>
      <c r="V601" s="47"/>
      <c r="W601" s="47"/>
      <c r="X601" s="47"/>
    </row>
    <row r="602">
      <c r="L602" s="183"/>
      <c r="M602" s="47"/>
      <c r="T602" s="47"/>
      <c r="U602" s="47"/>
      <c r="V602" s="47"/>
      <c r="W602" s="47"/>
      <c r="X602" s="47"/>
    </row>
    <row r="603">
      <c r="L603" s="183"/>
      <c r="M603" s="47"/>
      <c r="T603" s="47"/>
      <c r="U603" s="47"/>
      <c r="V603" s="47"/>
      <c r="W603" s="47"/>
      <c r="X603" s="47"/>
    </row>
    <row r="604">
      <c r="L604" s="183"/>
      <c r="M604" s="47"/>
      <c r="T604" s="47"/>
      <c r="U604" s="47"/>
      <c r="V604" s="47"/>
      <c r="W604" s="47"/>
      <c r="X604" s="47"/>
    </row>
    <row r="605">
      <c r="L605" s="183"/>
      <c r="M605" s="47"/>
      <c r="T605" s="47"/>
      <c r="U605" s="47"/>
      <c r="V605" s="47"/>
      <c r="W605" s="47"/>
      <c r="X605" s="47"/>
    </row>
    <row r="606">
      <c r="L606" s="183"/>
      <c r="M606" s="47"/>
      <c r="T606" s="47"/>
      <c r="U606" s="47"/>
      <c r="V606" s="47"/>
      <c r="W606" s="47"/>
      <c r="X606" s="47"/>
    </row>
    <row r="607">
      <c r="L607" s="183"/>
      <c r="M607" s="47"/>
      <c r="T607" s="47"/>
      <c r="U607" s="47"/>
      <c r="V607" s="47"/>
      <c r="W607" s="47"/>
      <c r="X607" s="47"/>
    </row>
    <row r="608">
      <c r="L608" s="183"/>
      <c r="M608" s="47"/>
      <c r="T608" s="47"/>
      <c r="U608" s="47"/>
      <c r="V608" s="47"/>
      <c r="W608" s="47"/>
      <c r="X608" s="47"/>
    </row>
    <row r="609">
      <c r="L609" s="183"/>
      <c r="M609" s="47"/>
      <c r="T609" s="47"/>
      <c r="U609" s="47"/>
      <c r="V609" s="47"/>
      <c r="W609" s="47"/>
      <c r="X609" s="47"/>
    </row>
    <row r="610">
      <c r="L610" s="183"/>
      <c r="M610" s="47"/>
      <c r="T610" s="47"/>
      <c r="U610" s="47"/>
      <c r="V610" s="47"/>
      <c r="W610" s="47"/>
      <c r="X610" s="47"/>
    </row>
    <row r="611">
      <c r="L611" s="183"/>
      <c r="M611" s="47"/>
      <c r="T611" s="47"/>
      <c r="U611" s="47"/>
      <c r="V611" s="47"/>
      <c r="W611" s="47"/>
      <c r="X611" s="47"/>
    </row>
    <row r="612">
      <c r="L612" s="183"/>
      <c r="M612" s="47"/>
      <c r="T612" s="47"/>
      <c r="U612" s="47"/>
      <c r="V612" s="47"/>
      <c r="W612" s="47"/>
      <c r="X612" s="47"/>
    </row>
    <row r="613">
      <c r="L613" s="183"/>
      <c r="M613" s="47"/>
      <c r="T613" s="47"/>
      <c r="U613" s="47"/>
      <c r="V613" s="47"/>
      <c r="W613" s="47"/>
      <c r="X613" s="47"/>
    </row>
    <row r="614">
      <c r="L614" s="183"/>
      <c r="M614" s="47"/>
      <c r="T614" s="47"/>
      <c r="U614" s="47"/>
      <c r="V614" s="47"/>
      <c r="W614" s="47"/>
      <c r="X614" s="47"/>
    </row>
    <row r="615">
      <c r="L615" s="183"/>
      <c r="M615" s="47"/>
      <c r="T615" s="47"/>
      <c r="U615" s="47"/>
      <c r="V615" s="47"/>
      <c r="W615" s="47"/>
      <c r="X615" s="47"/>
    </row>
    <row r="616">
      <c r="L616" s="183"/>
      <c r="M616" s="47"/>
      <c r="T616" s="47"/>
      <c r="U616" s="47"/>
      <c r="V616" s="47"/>
      <c r="W616" s="47"/>
      <c r="X616" s="47"/>
    </row>
    <row r="617">
      <c r="L617" s="183"/>
      <c r="M617" s="47"/>
      <c r="T617" s="47"/>
      <c r="U617" s="47"/>
      <c r="V617" s="47"/>
      <c r="W617" s="47"/>
      <c r="X617" s="47"/>
    </row>
    <row r="618">
      <c r="L618" s="183"/>
      <c r="M618" s="47"/>
      <c r="T618" s="47"/>
      <c r="U618" s="47"/>
      <c r="V618" s="47"/>
      <c r="W618" s="47"/>
      <c r="X618" s="47"/>
    </row>
    <row r="619">
      <c r="L619" s="183"/>
      <c r="M619" s="47"/>
      <c r="T619" s="47"/>
      <c r="U619" s="47"/>
      <c r="V619" s="47"/>
      <c r="W619" s="47"/>
      <c r="X619" s="47"/>
    </row>
    <row r="620">
      <c r="L620" s="183"/>
      <c r="M620" s="47"/>
      <c r="T620" s="47"/>
      <c r="U620" s="47"/>
      <c r="V620" s="47"/>
      <c r="W620" s="47"/>
      <c r="X620" s="47"/>
    </row>
    <row r="621">
      <c r="L621" s="183"/>
      <c r="M621" s="47"/>
      <c r="T621" s="47"/>
      <c r="U621" s="47"/>
      <c r="V621" s="47"/>
      <c r="W621" s="47"/>
      <c r="X621" s="47"/>
    </row>
    <row r="622">
      <c r="L622" s="183"/>
      <c r="M622" s="47"/>
      <c r="T622" s="47"/>
      <c r="U622" s="47"/>
      <c r="V622" s="47"/>
      <c r="W622" s="47"/>
      <c r="X622" s="47"/>
    </row>
    <row r="623">
      <c r="L623" s="183"/>
      <c r="M623" s="47"/>
      <c r="T623" s="47"/>
      <c r="U623" s="47"/>
      <c r="V623" s="47"/>
      <c r="W623" s="47"/>
      <c r="X623" s="47"/>
    </row>
    <row r="624">
      <c r="L624" s="183"/>
      <c r="M624" s="47"/>
      <c r="T624" s="47"/>
      <c r="U624" s="47"/>
      <c r="V624" s="47"/>
      <c r="W624" s="47"/>
      <c r="X624" s="47"/>
    </row>
    <row r="625">
      <c r="L625" s="183"/>
      <c r="M625" s="47"/>
      <c r="T625" s="47"/>
      <c r="U625" s="47"/>
      <c r="V625" s="47"/>
      <c r="W625" s="47"/>
      <c r="X625" s="47"/>
    </row>
    <row r="626">
      <c r="L626" s="183"/>
      <c r="M626" s="47"/>
      <c r="T626" s="47"/>
      <c r="U626" s="47"/>
      <c r="V626" s="47"/>
      <c r="W626" s="47"/>
      <c r="X626" s="47"/>
    </row>
    <row r="627">
      <c r="L627" s="183"/>
      <c r="M627" s="47"/>
      <c r="T627" s="47"/>
      <c r="U627" s="47"/>
      <c r="V627" s="47"/>
      <c r="W627" s="47"/>
      <c r="X627" s="47"/>
    </row>
    <row r="628">
      <c r="L628" s="183"/>
      <c r="M628" s="47"/>
      <c r="T628" s="47"/>
      <c r="U628" s="47"/>
      <c r="V628" s="47"/>
      <c r="W628" s="47"/>
      <c r="X628" s="47"/>
    </row>
    <row r="629">
      <c r="L629" s="183"/>
      <c r="M629" s="47"/>
      <c r="T629" s="47"/>
      <c r="U629" s="47"/>
      <c r="V629" s="47"/>
      <c r="W629" s="47"/>
      <c r="X629" s="47"/>
    </row>
    <row r="630">
      <c r="L630" s="183"/>
      <c r="M630" s="47"/>
      <c r="T630" s="47"/>
      <c r="U630" s="47"/>
      <c r="V630" s="47"/>
      <c r="W630" s="47"/>
      <c r="X630" s="47"/>
    </row>
    <row r="631">
      <c r="L631" s="183"/>
      <c r="M631" s="47"/>
      <c r="T631" s="47"/>
      <c r="U631" s="47"/>
      <c r="V631" s="47"/>
      <c r="W631" s="47"/>
      <c r="X631" s="47"/>
    </row>
    <row r="632">
      <c r="L632" s="183"/>
      <c r="M632" s="47"/>
      <c r="T632" s="47"/>
      <c r="U632" s="47"/>
      <c r="V632" s="47"/>
      <c r="W632" s="47"/>
      <c r="X632" s="47"/>
    </row>
    <row r="633">
      <c r="L633" s="183"/>
      <c r="M633" s="47"/>
      <c r="T633" s="47"/>
      <c r="U633" s="47"/>
      <c r="V633" s="47"/>
      <c r="W633" s="47"/>
      <c r="X633" s="47"/>
    </row>
    <row r="634">
      <c r="L634" s="183"/>
      <c r="M634" s="47"/>
      <c r="T634" s="47"/>
      <c r="U634" s="47"/>
      <c r="V634" s="47"/>
      <c r="W634" s="47"/>
      <c r="X634" s="47"/>
    </row>
    <row r="635">
      <c r="L635" s="183"/>
      <c r="M635" s="47"/>
      <c r="T635" s="47"/>
      <c r="U635" s="47"/>
      <c r="V635" s="47"/>
      <c r="W635" s="47"/>
      <c r="X635" s="47"/>
    </row>
    <row r="636">
      <c r="L636" s="183"/>
      <c r="M636" s="47"/>
      <c r="T636" s="47"/>
      <c r="U636" s="47"/>
      <c r="V636" s="47"/>
      <c r="W636" s="47"/>
      <c r="X636" s="47"/>
    </row>
    <row r="637">
      <c r="L637" s="183"/>
      <c r="M637" s="47"/>
      <c r="T637" s="47"/>
      <c r="U637" s="47"/>
      <c r="V637" s="47"/>
      <c r="W637" s="47"/>
      <c r="X637" s="47"/>
    </row>
    <row r="638">
      <c r="L638" s="183"/>
      <c r="M638" s="47"/>
      <c r="T638" s="47"/>
      <c r="U638" s="47"/>
      <c r="V638" s="47"/>
      <c r="W638" s="47"/>
      <c r="X638" s="47"/>
    </row>
    <row r="639">
      <c r="L639" s="183"/>
      <c r="M639" s="47"/>
      <c r="T639" s="47"/>
      <c r="U639" s="47"/>
      <c r="V639" s="47"/>
      <c r="W639" s="47"/>
      <c r="X639" s="47"/>
    </row>
    <row r="640">
      <c r="L640" s="183"/>
      <c r="M640" s="47"/>
      <c r="T640" s="47"/>
      <c r="U640" s="47"/>
      <c r="V640" s="47"/>
      <c r="W640" s="47"/>
      <c r="X640" s="47"/>
    </row>
    <row r="641">
      <c r="L641" s="183"/>
      <c r="M641" s="47"/>
      <c r="T641" s="47"/>
      <c r="U641" s="47"/>
      <c r="V641" s="47"/>
      <c r="W641" s="47"/>
      <c r="X641" s="47"/>
    </row>
    <row r="642">
      <c r="L642" s="183"/>
      <c r="M642" s="47"/>
      <c r="T642" s="47"/>
      <c r="U642" s="47"/>
      <c r="V642" s="47"/>
      <c r="W642" s="47"/>
      <c r="X642" s="47"/>
    </row>
    <row r="643">
      <c r="L643" s="183"/>
      <c r="M643" s="47"/>
      <c r="T643" s="47"/>
      <c r="U643" s="47"/>
      <c r="V643" s="47"/>
      <c r="W643" s="47"/>
      <c r="X643" s="47"/>
    </row>
    <row r="644">
      <c r="L644" s="183"/>
      <c r="M644" s="47"/>
      <c r="T644" s="47"/>
      <c r="U644" s="47"/>
      <c r="V644" s="47"/>
      <c r="W644" s="47"/>
      <c r="X644" s="47"/>
    </row>
    <row r="645">
      <c r="L645" s="183"/>
      <c r="M645" s="47"/>
      <c r="T645" s="47"/>
      <c r="U645" s="47"/>
      <c r="V645" s="47"/>
      <c r="W645" s="47"/>
      <c r="X645" s="47"/>
    </row>
    <row r="646">
      <c r="L646" s="183"/>
      <c r="M646" s="47"/>
      <c r="T646" s="47"/>
      <c r="U646" s="47"/>
      <c r="V646" s="47"/>
      <c r="W646" s="47"/>
      <c r="X646" s="47"/>
    </row>
    <row r="647">
      <c r="L647" s="183"/>
      <c r="M647" s="47"/>
      <c r="T647" s="47"/>
      <c r="U647" s="47"/>
      <c r="V647" s="47"/>
      <c r="W647" s="47"/>
      <c r="X647" s="47"/>
    </row>
    <row r="648">
      <c r="L648" s="183"/>
      <c r="M648" s="47"/>
      <c r="T648" s="47"/>
      <c r="U648" s="47"/>
      <c r="V648" s="47"/>
      <c r="W648" s="47"/>
      <c r="X648" s="47"/>
    </row>
    <row r="649">
      <c r="L649" s="183"/>
      <c r="M649" s="47"/>
      <c r="T649" s="47"/>
      <c r="U649" s="47"/>
      <c r="V649" s="47"/>
      <c r="W649" s="47"/>
      <c r="X649" s="47"/>
    </row>
    <row r="650">
      <c r="L650" s="183"/>
      <c r="M650" s="47"/>
      <c r="T650" s="47"/>
      <c r="U650" s="47"/>
      <c r="V650" s="47"/>
      <c r="W650" s="47"/>
      <c r="X650" s="47"/>
    </row>
    <row r="651">
      <c r="L651" s="183"/>
      <c r="M651" s="47"/>
      <c r="T651" s="47"/>
      <c r="U651" s="47"/>
      <c r="V651" s="47"/>
      <c r="W651" s="47"/>
      <c r="X651" s="47"/>
    </row>
    <row r="652">
      <c r="L652" s="183"/>
      <c r="M652" s="47"/>
      <c r="T652" s="47"/>
      <c r="U652" s="47"/>
      <c r="V652" s="47"/>
      <c r="W652" s="47"/>
      <c r="X652" s="47"/>
    </row>
    <row r="653">
      <c r="L653" s="183"/>
      <c r="M653" s="47"/>
      <c r="T653" s="47"/>
      <c r="U653" s="47"/>
      <c r="V653" s="47"/>
      <c r="W653" s="47"/>
      <c r="X653" s="47"/>
    </row>
    <row r="654">
      <c r="L654" s="183"/>
      <c r="M654" s="47"/>
      <c r="T654" s="47"/>
      <c r="U654" s="47"/>
      <c r="V654" s="47"/>
      <c r="W654" s="47"/>
      <c r="X654" s="47"/>
    </row>
    <row r="655">
      <c r="L655" s="183"/>
      <c r="M655" s="47"/>
      <c r="T655" s="47"/>
      <c r="U655" s="47"/>
      <c r="V655" s="47"/>
      <c r="W655" s="47"/>
      <c r="X655" s="47"/>
    </row>
    <row r="656">
      <c r="L656" s="183"/>
      <c r="M656" s="47"/>
      <c r="T656" s="47"/>
      <c r="U656" s="47"/>
      <c r="V656" s="47"/>
      <c r="W656" s="47"/>
      <c r="X656" s="47"/>
    </row>
    <row r="657">
      <c r="L657" s="183"/>
      <c r="M657" s="47"/>
      <c r="T657" s="47"/>
      <c r="U657" s="47"/>
      <c r="V657" s="47"/>
      <c r="W657" s="47"/>
      <c r="X657" s="47"/>
    </row>
    <row r="658">
      <c r="L658" s="183"/>
      <c r="M658" s="47"/>
      <c r="T658" s="47"/>
      <c r="U658" s="47"/>
      <c r="V658" s="47"/>
      <c r="W658" s="47"/>
      <c r="X658" s="47"/>
    </row>
    <row r="659">
      <c r="L659" s="183"/>
      <c r="M659" s="47"/>
      <c r="T659" s="47"/>
      <c r="U659" s="47"/>
      <c r="V659" s="47"/>
      <c r="W659" s="47"/>
      <c r="X659" s="47"/>
    </row>
    <row r="660">
      <c r="L660" s="183"/>
      <c r="M660" s="47"/>
      <c r="T660" s="47"/>
      <c r="U660" s="47"/>
      <c r="V660" s="47"/>
      <c r="W660" s="47"/>
      <c r="X660" s="47"/>
    </row>
    <row r="661">
      <c r="L661" s="183"/>
      <c r="M661" s="47"/>
      <c r="T661" s="47"/>
      <c r="U661" s="47"/>
      <c r="V661" s="47"/>
      <c r="W661" s="47"/>
      <c r="X661" s="47"/>
    </row>
    <row r="662">
      <c r="L662" s="183"/>
      <c r="M662" s="47"/>
      <c r="T662" s="47"/>
      <c r="U662" s="47"/>
      <c r="V662" s="47"/>
      <c r="W662" s="47"/>
      <c r="X662" s="47"/>
    </row>
    <row r="663">
      <c r="L663" s="183"/>
      <c r="M663" s="47"/>
      <c r="T663" s="47"/>
      <c r="U663" s="47"/>
      <c r="V663" s="47"/>
      <c r="W663" s="47"/>
      <c r="X663" s="47"/>
    </row>
    <row r="664">
      <c r="L664" s="183"/>
      <c r="M664" s="47"/>
      <c r="T664" s="47"/>
      <c r="U664" s="47"/>
      <c r="V664" s="47"/>
      <c r="W664" s="47"/>
      <c r="X664" s="47"/>
    </row>
    <row r="665">
      <c r="L665" s="183"/>
      <c r="M665" s="47"/>
      <c r="T665" s="47"/>
      <c r="U665" s="47"/>
      <c r="V665" s="47"/>
      <c r="W665" s="47"/>
      <c r="X665" s="47"/>
    </row>
    <row r="666">
      <c r="L666" s="183"/>
      <c r="M666" s="47"/>
      <c r="T666" s="47"/>
      <c r="U666" s="47"/>
      <c r="V666" s="47"/>
      <c r="W666" s="47"/>
      <c r="X666" s="47"/>
    </row>
    <row r="667">
      <c r="L667" s="183"/>
      <c r="M667" s="47"/>
      <c r="T667" s="47"/>
      <c r="U667" s="47"/>
      <c r="V667" s="47"/>
      <c r="W667" s="47"/>
      <c r="X667" s="47"/>
    </row>
    <row r="668">
      <c r="L668" s="183"/>
      <c r="M668" s="47"/>
      <c r="T668" s="47"/>
      <c r="U668" s="47"/>
      <c r="V668" s="47"/>
      <c r="W668" s="47"/>
      <c r="X668" s="47"/>
    </row>
    <row r="669">
      <c r="L669" s="183"/>
      <c r="M669" s="47"/>
      <c r="T669" s="47"/>
      <c r="U669" s="47"/>
      <c r="V669" s="47"/>
      <c r="W669" s="47"/>
      <c r="X669" s="47"/>
    </row>
    <row r="670">
      <c r="L670" s="183"/>
      <c r="M670" s="47"/>
      <c r="T670" s="47"/>
      <c r="U670" s="47"/>
      <c r="V670" s="47"/>
      <c r="W670" s="47"/>
      <c r="X670" s="47"/>
    </row>
    <row r="671">
      <c r="L671" s="183"/>
      <c r="M671" s="47"/>
      <c r="T671" s="47"/>
      <c r="U671" s="47"/>
      <c r="V671" s="47"/>
      <c r="W671" s="47"/>
      <c r="X671" s="47"/>
    </row>
    <row r="672">
      <c r="L672" s="183"/>
      <c r="M672" s="47"/>
      <c r="T672" s="47"/>
      <c r="U672" s="47"/>
      <c r="V672" s="47"/>
      <c r="W672" s="47"/>
      <c r="X672" s="47"/>
    </row>
    <row r="673">
      <c r="L673" s="183"/>
      <c r="M673" s="47"/>
      <c r="T673" s="47"/>
      <c r="U673" s="47"/>
      <c r="V673" s="47"/>
      <c r="W673" s="47"/>
      <c r="X673" s="47"/>
    </row>
    <row r="674">
      <c r="L674" s="183"/>
      <c r="M674" s="47"/>
      <c r="T674" s="47"/>
      <c r="U674" s="47"/>
      <c r="V674" s="47"/>
      <c r="W674" s="47"/>
      <c r="X674" s="47"/>
    </row>
    <row r="675">
      <c r="L675" s="183"/>
      <c r="M675" s="47"/>
      <c r="T675" s="47"/>
      <c r="U675" s="47"/>
      <c r="V675" s="47"/>
      <c r="W675" s="47"/>
      <c r="X675" s="47"/>
    </row>
    <row r="676">
      <c r="L676" s="183"/>
      <c r="M676" s="47"/>
      <c r="T676" s="47"/>
      <c r="U676" s="47"/>
      <c r="V676" s="47"/>
      <c r="W676" s="47"/>
      <c r="X676" s="47"/>
    </row>
    <row r="677">
      <c r="L677" s="183"/>
      <c r="M677" s="47"/>
      <c r="T677" s="47"/>
      <c r="U677" s="47"/>
      <c r="V677" s="47"/>
      <c r="W677" s="47"/>
      <c r="X677" s="47"/>
    </row>
    <row r="678">
      <c r="L678" s="183"/>
      <c r="M678" s="47"/>
      <c r="T678" s="47"/>
      <c r="U678" s="47"/>
      <c r="V678" s="47"/>
      <c r="W678" s="47"/>
      <c r="X678" s="47"/>
    </row>
    <row r="679">
      <c r="L679" s="183"/>
      <c r="M679" s="47"/>
      <c r="T679" s="47"/>
      <c r="U679" s="47"/>
      <c r="V679" s="47"/>
      <c r="W679" s="47"/>
      <c r="X679" s="47"/>
    </row>
    <row r="680">
      <c r="L680" s="183"/>
      <c r="M680" s="47"/>
      <c r="T680" s="47"/>
      <c r="U680" s="47"/>
      <c r="V680" s="47"/>
      <c r="W680" s="47"/>
      <c r="X680" s="47"/>
    </row>
    <row r="681">
      <c r="L681" s="183"/>
      <c r="M681" s="47"/>
      <c r="T681" s="47"/>
      <c r="U681" s="47"/>
      <c r="V681" s="47"/>
      <c r="W681" s="47"/>
      <c r="X681" s="47"/>
    </row>
    <row r="682">
      <c r="L682" s="183"/>
      <c r="M682" s="47"/>
      <c r="T682" s="47"/>
      <c r="U682" s="47"/>
      <c r="V682" s="47"/>
      <c r="W682" s="47"/>
      <c r="X682" s="47"/>
    </row>
    <row r="683">
      <c r="L683" s="183"/>
      <c r="M683" s="47"/>
      <c r="T683" s="47"/>
      <c r="U683" s="47"/>
      <c r="V683" s="47"/>
      <c r="W683" s="47"/>
      <c r="X683" s="47"/>
    </row>
    <row r="684">
      <c r="L684" s="183"/>
      <c r="M684" s="47"/>
      <c r="T684" s="47"/>
      <c r="U684" s="47"/>
      <c r="V684" s="47"/>
      <c r="W684" s="47"/>
      <c r="X684" s="47"/>
    </row>
    <row r="685">
      <c r="L685" s="183"/>
      <c r="M685" s="47"/>
      <c r="T685" s="47"/>
      <c r="U685" s="47"/>
      <c r="V685" s="47"/>
      <c r="W685" s="47"/>
      <c r="X685" s="47"/>
    </row>
    <row r="686">
      <c r="L686" s="183"/>
      <c r="M686" s="47"/>
      <c r="T686" s="47"/>
      <c r="U686" s="47"/>
      <c r="V686" s="47"/>
      <c r="W686" s="47"/>
      <c r="X686" s="47"/>
    </row>
    <row r="687">
      <c r="L687" s="183"/>
      <c r="M687" s="47"/>
      <c r="T687" s="47"/>
      <c r="U687" s="47"/>
      <c r="V687" s="47"/>
      <c r="W687" s="47"/>
      <c r="X687" s="47"/>
    </row>
    <row r="688">
      <c r="L688" s="183"/>
      <c r="M688" s="47"/>
      <c r="T688" s="47"/>
      <c r="U688" s="47"/>
      <c r="V688" s="47"/>
      <c r="W688" s="47"/>
      <c r="X688" s="47"/>
    </row>
    <row r="689">
      <c r="L689" s="183"/>
      <c r="M689" s="47"/>
      <c r="T689" s="47"/>
      <c r="U689" s="47"/>
      <c r="V689" s="47"/>
      <c r="W689" s="47"/>
      <c r="X689" s="47"/>
    </row>
    <row r="690">
      <c r="L690" s="183"/>
      <c r="M690" s="47"/>
      <c r="T690" s="47"/>
      <c r="U690" s="47"/>
      <c r="V690" s="47"/>
      <c r="W690" s="47"/>
      <c r="X690" s="47"/>
    </row>
    <row r="691">
      <c r="L691" s="183"/>
      <c r="M691" s="47"/>
      <c r="T691" s="47"/>
      <c r="U691" s="47"/>
      <c r="V691" s="47"/>
      <c r="W691" s="47"/>
      <c r="X691" s="47"/>
    </row>
    <row r="692">
      <c r="L692" s="183"/>
      <c r="M692" s="47"/>
      <c r="T692" s="47"/>
      <c r="U692" s="47"/>
      <c r="V692" s="47"/>
      <c r="W692" s="47"/>
      <c r="X692" s="47"/>
    </row>
    <row r="693">
      <c r="L693" s="183"/>
      <c r="M693" s="47"/>
      <c r="T693" s="47"/>
      <c r="U693" s="47"/>
      <c r="V693" s="47"/>
      <c r="W693" s="47"/>
      <c r="X693" s="47"/>
    </row>
    <row r="694">
      <c r="L694" s="183"/>
      <c r="M694" s="47"/>
      <c r="T694" s="47"/>
      <c r="U694" s="47"/>
      <c r="V694" s="47"/>
      <c r="W694" s="47"/>
      <c r="X694" s="47"/>
    </row>
    <row r="695">
      <c r="L695" s="183"/>
      <c r="M695" s="47"/>
      <c r="T695" s="47"/>
      <c r="U695" s="47"/>
      <c r="V695" s="47"/>
      <c r="W695" s="47"/>
      <c r="X695" s="47"/>
    </row>
    <row r="696">
      <c r="L696" s="183"/>
      <c r="M696" s="47"/>
      <c r="T696" s="47"/>
      <c r="U696" s="47"/>
      <c r="V696" s="47"/>
      <c r="W696" s="47"/>
      <c r="X696" s="47"/>
    </row>
    <row r="697">
      <c r="L697" s="183"/>
      <c r="M697" s="47"/>
      <c r="T697" s="47"/>
      <c r="U697" s="47"/>
      <c r="V697" s="47"/>
      <c r="W697" s="47"/>
      <c r="X697" s="47"/>
    </row>
    <row r="698">
      <c r="L698" s="183"/>
      <c r="M698" s="47"/>
      <c r="T698" s="47"/>
      <c r="U698" s="47"/>
      <c r="V698" s="47"/>
      <c r="W698" s="47"/>
      <c r="X698" s="47"/>
    </row>
    <row r="699">
      <c r="L699" s="183"/>
      <c r="M699" s="47"/>
      <c r="T699" s="47"/>
      <c r="U699" s="47"/>
      <c r="V699" s="47"/>
      <c r="W699" s="47"/>
      <c r="X699" s="47"/>
    </row>
    <row r="700">
      <c r="L700" s="183"/>
      <c r="M700" s="47"/>
      <c r="T700" s="47"/>
      <c r="U700" s="47"/>
      <c r="V700" s="47"/>
      <c r="W700" s="47"/>
      <c r="X700" s="47"/>
    </row>
    <row r="701">
      <c r="L701" s="183"/>
      <c r="M701" s="47"/>
      <c r="T701" s="47"/>
      <c r="U701" s="47"/>
      <c r="V701" s="47"/>
      <c r="W701" s="47"/>
      <c r="X701" s="47"/>
    </row>
    <row r="702">
      <c r="L702" s="183"/>
      <c r="M702" s="47"/>
      <c r="T702" s="47"/>
      <c r="U702" s="47"/>
      <c r="V702" s="47"/>
      <c r="W702" s="47"/>
      <c r="X702" s="47"/>
    </row>
    <row r="703">
      <c r="L703" s="183"/>
      <c r="M703" s="47"/>
      <c r="T703" s="47"/>
      <c r="U703" s="47"/>
      <c r="V703" s="47"/>
      <c r="W703" s="47"/>
      <c r="X703" s="47"/>
    </row>
    <row r="704">
      <c r="L704" s="183"/>
      <c r="M704" s="47"/>
      <c r="T704" s="47"/>
      <c r="U704" s="47"/>
      <c r="V704" s="47"/>
      <c r="W704" s="47"/>
      <c r="X704" s="47"/>
    </row>
    <row r="705">
      <c r="L705" s="183"/>
      <c r="M705" s="47"/>
      <c r="T705" s="47"/>
      <c r="U705" s="47"/>
      <c r="V705" s="47"/>
      <c r="W705" s="47"/>
      <c r="X705" s="47"/>
    </row>
    <row r="706">
      <c r="L706" s="183"/>
      <c r="M706" s="47"/>
      <c r="T706" s="47"/>
      <c r="U706" s="47"/>
      <c r="V706" s="47"/>
      <c r="W706" s="47"/>
      <c r="X706" s="47"/>
    </row>
    <row r="707">
      <c r="L707" s="183"/>
      <c r="M707" s="47"/>
      <c r="T707" s="47"/>
      <c r="U707" s="47"/>
      <c r="V707" s="47"/>
      <c r="W707" s="47"/>
      <c r="X707" s="47"/>
    </row>
    <row r="708">
      <c r="L708" s="183"/>
      <c r="M708" s="47"/>
      <c r="T708" s="47"/>
      <c r="U708" s="47"/>
      <c r="V708" s="47"/>
      <c r="W708" s="47"/>
      <c r="X708" s="47"/>
    </row>
    <row r="709">
      <c r="L709" s="183"/>
      <c r="M709" s="47"/>
      <c r="T709" s="47"/>
      <c r="U709" s="47"/>
      <c r="V709" s="47"/>
      <c r="W709" s="47"/>
      <c r="X709" s="47"/>
    </row>
    <row r="710">
      <c r="L710" s="183"/>
      <c r="M710" s="47"/>
      <c r="T710" s="47"/>
      <c r="U710" s="47"/>
      <c r="V710" s="47"/>
      <c r="W710" s="47"/>
      <c r="X710" s="47"/>
    </row>
    <row r="711">
      <c r="L711" s="183"/>
      <c r="M711" s="47"/>
      <c r="T711" s="47"/>
      <c r="U711" s="47"/>
      <c r="V711" s="47"/>
      <c r="W711" s="47"/>
      <c r="X711" s="47"/>
    </row>
    <row r="712">
      <c r="L712" s="183"/>
      <c r="M712" s="47"/>
      <c r="T712" s="47"/>
      <c r="U712" s="47"/>
      <c r="V712" s="47"/>
      <c r="W712" s="47"/>
      <c r="X712" s="47"/>
    </row>
    <row r="713">
      <c r="L713" s="183"/>
      <c r="M713" s="47"/>
      <c r="T713" s="47"/>
      <c r="U713" s="47"/>
      <c r="V713" s="47"/>
      <c r="W713" s="47"/>
      <c r="X713" s="47"/>
    </row>
    <row r="714">
      <c r="L714" s="183"/>
      <c r="M714" s="47"/>
      <c r="T714" s="47"/>
      <c r="U714" s="47"/>
      <c r="V714" s="47"/>
      <c r="W714" s="47"/>
      <c r="X714" s="47"/>
    </row>
    <row r="715">
      <c r="L715" s="183"/>
      <c r="M715" s="47"/>
      <c r="T715" s="47"/>
      <c r="U715" s="47"/>
      <c r="V715" s="47"/>
      <c r="W715" s="47"/>
      <c r="X715" s="47"/>
    </row>
    <row r="716">
      <c r="L716" s="183"/>
      <c r="M716" s="47"/>
      <c r="T716" s="47"/>
      <c r="U716" s="47"/>
      <c r="V716" s="47"/>
      <c r="W716" s="47"/>
      <c r="X716" s="47"/>
    </row>
    <row r="717">
      <c r="L717" s="183"/>
      <c r="M717" s="47"/>
      <c r="T717" s="47"/>
      <c r="U717" s="47"/>
      <c r="V717" s="47"/>
      <c r="W717" s="47"/>
      <c r="X717" s="47"/>
    </row>
    <row r="718">
      <c r="L718" s="183"/>
      <c r="M718" s="47"/>
      <c r="T718" s="47"/>
      <c r="U718" s="47"/>
      <c r="V718" s="47"/>
      <c r="W718" s="47"/>
      <c r="X718" s="47"/>
    </row>
    <row r="719">
      <c r="L719" s="183"/>
      <c r="M719" s="47"/>
      <c r="T719" s="47"/>
      <c r="U719" s="47"/>
      <c r="V719" s="47"/>
      <c r="W719" s="47"/>
      <c r="X719" s="47"/>
    </row>
    <row r="720">
      <c r="L720" s="183"/>
      <c r="M720" s="47"/>
      <c r="T720" s="47"/>
      <c r="U720" s="47"/>
      <c r="V720" s="47"/>
      <c r="W720" s="47"/>
      <c r="X720" s="47"/>
    </row>
    <row r="721">
      <c r="L721" s="183"/>
      <c r="M721" s="47"/>
      <c r="T721" s="47"/>
      <c r="U721" s="47"/>
      <c r="V721" s="47"/>
      <c r="W721" s="47"/>
      <c r="X721" s="47"/>
    </row>
    <row r="722">
      <c r="L722" s="183"/>
      <c r="M722" s="47"/>
      <c r="T722" s="47"/>
      <c r="U722" s="47"/>
      <c r="V722" s="47"/>
      <c r="W722" s="47"/>
      <c r="X722" s="47"/>
    </row>
    <row r="723">
      <c r="L723" s="183"/>
      <c r="M723" s="47"/>
      <c r="T723" s="47"/>
      <c r="U723" s="47"/>
      <c r="V723" s="47"/>
      <c r="W723" s="47"/>
      <c r="X723" s="47"/>
    </row>
    <row r="724">
      <c r="L724" s="183"/>
      <c r="M724" s="47"/>
      <c r="T724" s="47"/>
      <c r="U724" s="47"/>
      <c r="V724" s="47"/>
      <c r="W724" s="47"/>
      <c r="X724" s="47"/>
    </row>
    <row r="725">
      <c r="L725" s="183"/>
      <c r="M725" s="47"/>
      <c r="T725" s="47"/>
      <c r="U725" s="47"/>
      <c r="V725" s="47"/>
      <c r="W725" s="47"/>
      <c r="X725" s="47"/>
    </row>
    <row r="726">
      <c r="L726" s="183"/>
      <c r="M726" s="47"/>
      <c r="T726" s="47"/>
      <c r="U726" s="47"/>
      <c r="V726" s="47"/>
      <c r="W726" s="47"/>
      <c r="X726" s="47"/>
    </row>
    <row r="727">
      <c r="L727" s="183"/>
      <c r="M727" s="47"/>
      <c r="T727" s="47"/>
      <c r="U727" s="47"/>
      <c r="V727" s="47"/>
      <c r="W727" s="47"/>
      <c r="X727" s="47"/>
    </row>
    <row r="728">
      <c r="L728" s="183"/>
      <c r="M728" s="47"/>
      <c r="T728" s="47"/>
      <c r="U728" s="47"/>
      <c r="V728" s="47"/>
      <c r="W728" s="47"/>
      <c r="X728" s="47"/>
    </row>
    <row r="729">
      <c r="L729" s="183"/>
      <c r="M729" s="47"/>
      <c r="T729" s="47"/>
      <c r="U729" s="47"/>
      <c r="V729" s="47"/>
      <c r="W729" s="47"/>
      <c r="X729" s="47"/>
    </row>
    <row r="730">
      <c r="L730" s="183"/>
      <c r="M730" s="47"/>
      <c r="T730" s="47"/>
      <c r="U730" s="47"/>
      <c r="V730" s="47"/>
      <c r="W730" s="47"/>
      <c r="X730" s="47"/>
    </row>
    <row r="731">
      <c r="L731" s="183"/>
      <c r="M731" s="47"/>
      <c r="T731" s="47"/>
      <c r="U731" s="47"/>
      <c r="V731" s="47"/>
      <c r="W731" s="47"/>
      <c r="X731" s="47"/>
    </row>
    <row r="732">
      <c r="L732" s="183"/>
      <c r="M732" s="47"/>
      <c r="T732" s="47"/>
      <c r="U732" s="47"/>
      <c r="V732" s="47"/>
      <c r="W732" s="47"/>
      <c r="X732" s="47"/>
    </row>
    <row r="733">
      <c r="L733" s="183"/>
      <c r="M733" s="47"/>
      <c r="T733" s="47"/>
      <c r="U733" s="47"/>
      <c r="V733" s="47"/>
      <c r="W733" s="47"/>
      <c r="X733" s="47"/>
    </row>
    <row r="734">
      <c r="L734" s="183"/>
      <c r="M734" s="47"/>
      <c r="T734" s="47"/>
      <c r="U734" s="47"/>
      <c r="V734" s="47"/>
      <c r="W734" s="47"/>
      <c r="X734" s="47"/>
    </row>
    <row r="735">
      <c r="L735" s="183"/>
      <c r="M735" s="47"/>
      <c r="T735" s="47"/>
      <c r="U735" s="47"/>
      <c r="V735" s="47"/>
      <c r="W735" s="47"/>
      <c r="X735" s="47"/>
    </row>
    <row r="736">
      <c r="L736" s="183"/>
      <c r="M736" s="47"/>
      <c r="T736" s="47"/>
      <c r="U736" s="47"/>
      <c r="V736" s="47"/>
      <c r="W736" s="47"/>
      <c r="X736" s="47"/>
    </row>
    <row r="737">
      <c r="L737" s="183"/>
      <c r="M737" s="47"/>
      <c r="T737" s="47"/>
      <c r="U737" s="47"/>
      <c r="V737" s="47"/>
      <c r="W737" s="47"/>
      <c r="X737" s="47"/>
    </row>
    <row r="738">
      <c r="L738" s="183"/>
      <c r="M738" s="47"/>
      <c r="T738" s="47"/>
      <c r="U738" s="47"/>
      <c r="V738" s="47"/>
      <c r="W738" s="47"/>
      <c r="X738" s="47"/>
    </row>
    <row r="739">
      <c r="L739" s="183"/>
      <c r="M739" s="47"/>
      <c r="T739" s="47"/>
      <c r="U739" s="47"/>
      <c r="V739" s="47"/>
      <c r="W739" s="47"/>
      <c r="X739" s="47"/>
    </row>
    <row r="740">
      <c r="L740" s="183"/>
      <c r="M740" s="47"/>
      <c r="T740" s="47"/>
      <c r="U740" s="47"/>
      <c r="V740" s="47"/>
      <c r="W740" s="47"/>
      <c r="X740" s="47"/>
    </row>
    <row r="741">
      <c r="L741" s="183"/>
      <c r="M741" s="47"/>
      <c r="T741" s="47"/>
      <c r="U741" s="47"/>
      <c r="V741" s="47"/>
      <c r="W741" s="47"/>
      <c r="X741" s="47"/>
    </row>
    <row r="742">
      <c r="L742" s="183"/>
      <c r="M742" s="47"/>
      <c r="T742" s="47"/>
      <c r="U742" s="47"/>
      <c r="V742" s="47"/>
      <c r="W742" s="47"/>
      <c r="X742" s="47"/>
    </row>
    <row r="743">
      <c r="L743" s="183"/>
      <c r="M743" s="47"/>
      <c r="T743" s="47"/>
      <c r="U743" s="47"/>
      <c r="V743" s="47"/>
      <c r="W743" s="47"/>
      <c r="X743" s="47"/>
    </row>
    <row r="744">
      <c r="L744" s="183"/>
      <c r="M744" s="47"/>
      <c r="T744" s="47"/>
      <c r="U744" s="47"/>
      <c r="V744" s="47"/>
      <c r="W744" s="47"/>
      <c r="X744" s="47"/>
    </row>
    <row r="745">
      <c r="L745" s="183"/>
      <c r="M745" s="47"/>
      <c r="T745" s="47"/>
      <c r="U745" s="47"/>
      <c r="V745" s="47"/>
      <c r="W745" s="47"/>
      <c r="X745" s="47"/>
    </row>
    <row r="746">
      <c r="L746" s="183"/>
      <c r="M746" s="47"/>
      <c r="T746" s="47"/>
      <c r="U746" s="47"/>
      <c r="V746" s="47"/>
      <c r="W746" s="47"/>
      <c r="X746" s="47"/>
    </row>
    <row r="747">
      <c r="L747" s="183"/>
      <c r="M747" s="47"/>
      <c r="T747" s="47"/>
      <c r="U747" s="47"/>
      <c r="V747" s="47"/>
      <c r="W747" s="47"/>
      <c r="X747" s="47"/>
    </row>
    <row r="748">
      <c r="L748" s="183"/>
      <c r="M748" s="47"/>
      <c r="T748" s="47"/>
      <c r="U748" s="47"/>
      <c r="V748" s="47"/>
      <c r="W748" s="47"/>
      <c r="X748" s="47"/>
    </row>
    <row r="749">
      <c r="L749" s="183"/>
      <c r="M749" s="47"/>
      <c r="T749" s="47"/>
      <c r="U749" s="47"/>
      <c r="V749" s="47"/>
      <c r="W749" s="47"/>
      <c r="X749" s="47"/>
    </row>
    <row r="750">
      <c r="L750" s="183"/>
      <c r="M750" s="47"/>
      <c r="T750" s="47"/>
      <c r="U750" s="47"/>
      <c r="V750" s="47"/>
      <c r="W750" s="47"/>
      <c r="X750" s="47"/>
    </row>
    <row r="751">
      <c r="L751" s="183"/>
      <c r="M751" s="47"/>
      <c r="T751" s="47"/>
      <c r="U751" s="47"/>
      <c r="V751" s="47"/>
      <c r="W751" s="47"/>
      <c r="X751" s="47"/>
    </row>
    <row r="752">
      <c r="L752" s="183"/>
      <c r="M752" s="47"/>
      <c r="T752" s="47"/>
      <c r="U752" s="47"/>
      <c r="V752" s="47"/>
      <c r="W752" s="47"/>
      <c r="X752" s="47"/>
    </row>
    <row r="753">
      <c r="L753" s="183"/>
      <c r="M753" s="47"/>
      <c r="T753" s="47"/>
      <c r="U753" s="47"/>
      <c r="V753" s="47"/>
      <c r="W753" s="47"/>
      <c r="X753" s="47"/>
    </row>
    <row r="754">
      <c r="L754" s="183"/>
      <c r="M754" s="47"/>
      <c r="T754" s="47"/>
      <c r="U754" s="47"/>
      <c r="V754" s="47"/>
      <c r="W754" s="47"/>
      <c r="X754" s="47"/>
    </row>
    <row r="755">
      <c r="L755" s="183"/>
      <c r="M755" s="47"/>
      <c r="T755" s="47"/>
      <c r="U755" s="47"/>
      <c r="V755" s="47"/>
      <c r="W755" s="47"/>
      <c r="X755" s="47"/>
    </row>
    <row r="756">
      <c r="L756" s="183"/>
      <c r="M756" s="47"/>
      <c r="T756" s="47"/>
      <c r="U756" s="47"/>
      <c r="V756" s="47"/>
      <c r="W756" s="47"/>
      <c r="X756" s="47"/>
    </row>
    <row r="757">
      <c r="L757" s="183"/>
      <c r="M757" s="47"/>
      <c r="T757" s="47"/>
      <c r="U757" s="47"/>
      <c r="V757" s="47"/>
      <c r="W757" s="47"/>
      <c r="X757" s="47"/>
    </row>
    <row r="758">
      <c r="L758" s="183"/>
      <c r="M758" s="47"/>
      <c r="T758" s="47"/>
      <c r="U758" s="47"/>
      <c r="V758" s="47"/>
      <c r="W758" s="47"/>
      <c r="X758" s="47"/>
    </row>
    <row r="759">
      <c r="L759" s="183"/>
      <c r="M759" s="47"/>
      <c r="T759" s="47"/>
      <c r="U759" s="47"/>
      <c r="V759" s="47"/>
      <c r="W759" s="47"/>
      <c r="X759" s="47"/>
    </row>
    <row r="760">
      <c r="L760" s="183"/>
      <c r="M760" s="47"/>
      <c r="T760" s="47"/>
      <c r="U760" s="47"/>
      <c r="V760" s="47"/>
      <c r="W760" s="47"/>
      <c r="X760" s="47"/>
    </row>
    <row r="761">
      <c r="L761" s="183"/>
      <c r="M761" s="47"/>
      <c r="T761" s="47"/>
      <c r="U761" s="47"/>
      <c r="V761" s="47"/>
      <c r="W761" s="47"/>
      <c r="X761" s="47"/>
    </row>
    <row r="762">
      <c r="L762" s="183"/>
      <c r="M762" s="47"/>
      <c r="T762" s="47"/>
      <c r="U762" s="47"/>
      <c r="V762" s="47"/>
      <c r="W762" s="47"/>
      <c r="X762" s="47"/>
    </row>
    <row r="763">
      <c r="L763" s="183"/>
      <c r="M763" s="47"/>
      <c r="T763" s="47"/>
      <c r="U763" s="47"/>
      <c r="V763" s="47"/>
      <c r="W763" s="47"/>
      <c r="X763" s="47"/>
    </row>
    <row r="764">
      <c r="L764" s="183"/>
      <c r="M764" s="47"/>
      <c r="T764" s="47"/>
      <c r="U764" s="47"/>
      <c r="V764" s="47"/>
      <c r="W764" s="47"/>
      <c r="X764" s="47"/>
    </row>
    <row r="765">
      <c r="L765" s="183"/>
      <c r="M765" s="47"/>
      <c r="T765" s="47"/>
      <c r="U765" s="47"/>
      <c r="V765" s="47"/>
      <c r="W765" s="47"/>
      <c r="X765" s="47"/>
    </row>
    <row r="766">
      <c r="L766" s="183"/>
      <c r="M766" s="47"/>
      <c r="T766" s="47"/>
      <c r="U766" s="47"/>
      <c r="V766" s="47"/>
      <c r="W766" s="47"/>
      <c r="X766" s="47"/>
    </row>
    <row r="767">
      <c r="L767" s="183"/>
      <c r="M767" s="47"/>
      <c r="T767" s="47"/>
      <c r="U767" s="47"/>
      <c r="V767" s="47"/>
      <c r="W767" s="47"/>
      <c r="X767" s="47"/>
    </row>
    <row r="768">
      <c r="L768" s="183"/>
      <c r="M768" s="47"/>
      <c r="T768" s="47"/>
      <c r="U768" s="47"/>
      <c r="V768" s="47"/>
      <c r="W768" s="47"/>
      <c r="X768" s="47"/>
    </row>
    <row r="769">
      <c r="L769" s="183"/>
      <c r="M769" s="47"/>
      <c r="T769" s="47"/>
      <c r="U769" s="47"/>
      <c r="V769" s="47"/>
      <c r="W769" s="47"/>
      <c r="X769" s="47"/>
    </row>
    <row r="770">
      <c r="L770" s="183"/>
      <c r="M770" s="47"/>
      <c r="T770" s="47"/>
      <c r="U770" s="47"/>
      <c r="V770" s="47"/>
      <c r="W770" s="47"/>
      <c r="X770" s="47"/>
    </row>
    <row r="771">
      <c r="L771" s="183"/>
      <c r="M771" s="47"/>
      <c r="T771" s="47"/>
      <c r="U771" s="47"/>
      <c r="V771" s="47"/>
      <c r="W771" s="47"/>
      <c r="X771" s="47"/>
    </row>
    <row r="772">
      <c r="L772" s="183"/>
      <c r="M772" s="47"/>
      <c r="T772" s="47"/>
      <c r="U772" s="47"/>
      <c r="V772" s="47"/>
      <c r="W772" s="47"/>
      <c r="X772" s="47"/>
    </row>
    <row r="773">
      <c r="L773" s="183"/>
      <c r="M773" s="47"/>
      <c r="T773" s="47"/>
      <c r="U773" s="47"/>
      <c r="V773" s="47"/>
      <c r="W773" s="47"/>
      <c r="X773" s="47"/>
    </row>
    <row r="774">
      <c r="L774" s="183"/>
      <c r="M774" s="47"/>
      <c r="T774" s="47"/>
      <c r="U774" s="47"/>
      <c r="V774" s="47"/>
      <c r="W774" s="47"/>
      <c r="X774" s="47"/>
    </row>
    <row r="775">
      <c r="L775" s="183"/>
      <c r="M775" s="47"/>
      <c r="T775" s="47"/>
      <c r="U775" s="47"/>
      <c r="V775" s="47"/>
      <c r="W775" s="47"/>
      <c r="X775" s="47"/>
    </row>
    <row r="776">
      <c r="L776" s="183"/>
      <c r="M776" s="47"/>
      <c r="T776" s="47"/>
      <c r="U776" s="47"/>
      <c r="V776" s="47"/>
      <c r="W776" s="47"/>
      <c r="X776" s="47"/>
    </row>
    <row r="777">
      <c r="L777" s="183"/>
      <c r="M777" s="47"/>
      <c r="T777" s="47"/>
      <c r="U777" s="47"/>
      <c r="V777" s="47"/>
      <c r="W777" s="47"/>
      <c r="X777" s="47"/>
    </row>
    <row r="778">
      <c r="L778" s="183"/>
      <c r="M778" s="47"/>
      <c r="T778" s="47"/>
      <c r="U778" s="47"/>
      <c r="V778" s="47"/>
      <c r="W778" s="47"/>
      <c r="X778" s="47"/>
    </row>
    <row r="779">
      <c r="L779" s="183"/>
      <c r="M779" s="47"/>
      <c r="T779" s="47"/>
      <c r="U779" s="47"/>
      <c r="V779" s="47"/>
      <c r="W779" s="47"/>
      <c r="X779" s="47"/>
    </row>
    <row r="780">
      <c r="L780" s="183"/>
      <c r="M780" s="47"/>
      <c r="T780" s="47"/>
      <c r="U780" s="47"/>
      <c r="V780" s="47"/>
      <c r="W780" s="47"/>
      <c r="X780" s="47"/>
    </row>
    <row r="781">
      <c r="L781" s="183"/>
      <c r="M781" s="47"/>
      <c r="T781" s="47"/>
      <c r="U781" s="47"/>
      <c r="V781" s="47"/>
      <c r="W781" s="47"/>
      <c r="X781" s="47"/>
    </row>
    <row r="782">
      <c r="L782" s="183"/>
      <c r="M782" s="47"/>
      <c r="T782" s="47"/>
      <c r="U782" s="47"/>
      <c r="V782" s="47"/>
      <c r="W782" s="47"/>
      <c r="X782" s="47"/>
    </row>
    <row r="783">
      <c r="L783" s="183"/>
      <c r="M783" s="47"/>
      <c r="T783" s="47"/>
      <c r="U783" s="47"/>
      <c r="V783" s="47"/>
      <c r="W783" s="47"/>
      <c r="X783" s="47"/>
    </row>
    <row r="784">
      <c r="L784" s="183"/>
      <c r="M784" s="47"/>
      <c r="T784" s="47"/>
      <c r="U784" s="47"/>
      <c r="V784" s="47"/>
      <c r="W784" s="47"/>
      <c r="X784" s="47"/>
    </row>
    <row r="785">
      <c r="L785" s="183"/>
      <c r="M785" s="47"/>
      <c r="T785" s="47"/>
      <c r="U785" s="47"/>
      <c r="V785" s="47"/>
      <c r="W785" s="47"/>
      <c r="X785" s="47"/>
    </row>
    <row r="786">
      <c r="L786" s="183"/>
      <c r="M786" s="47"/>
      <c r="T786" s="47"/>
      <c r="U786" s="47"/>
      <c r="V786" s="47"/>
      <c r="W786" s="47"/>
      <c r="X786" s="47"/>
    </row>
    <row r="787">
      <c r="L787" s="183"/>
      <c r="M787" s="47"/>
      <c r="T787" s="47"/>
      <c r="U787" s="47"/>
      <c r="V787" s="47"/>
      <c r="W787" s="47"/>
      <c r="X787" s="47"/>
    </row>
    <row r="788">
      <c r="L788" s="183"/>
      <c r="M788" s="47"/>
      <c r="T788" s="47"/>
      <c r="U788" s="47"/>
      <c r="V788" s="47"/>
      <c r="W788" s="47"/>
      <c r="X788" s="47"/>
    </row>
    <row r="789">
      <c r="L789" s="183"/>
      <c r="M789" s="47"/>
      <c r="T789" s="47"/>
      <c r="U789" s="47"/>
      <c r="V789" s="47"/>
      <c r="W789" s="47"/>
      <c r="X789" s="47"/>
    </row>
    <row r="790">
      <c r="L790" s="183"/>
      <c r="M790" s="47"/>
      <c r="T790" s="47"/>
      <c r="U790" s="47"/>
      <c r="V790" s="47"/>
      <c r="W790" s="47"/>
      <c r="X790" s="47"/>
    </row>
    <row r="791">
      <c r="L791" s="183"/>
      <c r="M791" s="47"/>
      <c r="T791" s="47"/>
      <c r="U791" s="47"/>
      <c r="V791" s="47"/>
      <c r="W791" s="47"/>
      <c r="X791" s="47"/>
    </row>
    <row r="792">
      <c r="L792" s="183"/>
      <c r="M792" s="47"/>
      <c r="T792" s="47"/>
      <c r="U792" s="47"/>
      <c r="V792" s="47"/>
      <c r="W792" s="47"/>
      <c r="X792" s="47"/>
    </row>
    <row r="793">
      <c r="L793" s="183"/>
      <c r="M793" s="47"/>
      <c r="T793" s="47"/>
      <c r="U793" s="47"/>
      <c r="V793" s="47"/>
      <c r="W793" s="47"/>
      <c r="X793" s="47"/>
    </row>
    <row r="794">
      <c r="L794" s="183"/>
      <c r="M794" s="47"/>
      <c r="T794" s="47"/>
      <c r="U794" s="47"/>
      <c r="V794" s="47"/>
      <c r="W794" s="47"/>
      <c r="X794" s="47"/>
    </row>
    <row r="795">
      <c r="L795" s="183"/>
      <c r="M795" s="47"/>
      <c r="T795" s="47"/>
      <c r="U795" s="47"/>
      <c r="V795" s="47"/>
      <c r="W795" s="47"/>
      <c r="X795" s="47"/>
    </row>
    <row r="796">
      <c r="L796" s="183"/>
      <c r="M796" s="47"/>
      <c r="T796" s="47"/>
      <c r="U796" s="47"/>
      <c r="V796" s="47"/>
      <c r="W796" s="47"/>
      <c r="X796" s="47"/>
    </row>
    <row r="797">
      <c r="L797" s="183"/>
      <c r="M797" s="47"/>
      <c r="T797" s="47"/>
      <c r="U797" s="47"/>
      <c r="V797" s="47"/>
      <c r="W797" s="47"/>
      <c r="X797" s="47"/>
    </row>
    <row r="798">
      <c r="L798" s="183"/>
      <c r="M798" s="47"/>
      <c r="T798" s="47"/>
      <c r="U798" s="47"/>
      <c r="V798" s="47"/>
      <c r="W798" s="47"/>
      <c r="X798" s="47"/>
    </row>
    <row r="799">
      <c r="L799" s="183"/>
      <c r="M799" s="47"/>
      <c r="T799" s="47"/>
      <c r="U799" s="47"/>
      <c r="V799" s="47"/>
      <c r="W799" s="47"/>
      <c r="X799" s="47"/>
    </row>
    <row r="800">
      <c r="L800" s="183"/>
      <c r="M800" s="47"/>
      <c r="T800" s="47"/>
      <c r="U800" s="47"/>
      <c r="V800" s="47"/>
      <c r="W800" s="47"/>
      <c r="X800" s="47"/>
    </row>
    <row r="801">
      <c r="L801" s="183"/>
      <c r="M801" s="47"/>
      <c r="T801" s="47"/>
      <c r="U801" s="47"/>
      <c r="V801" s="47"/>
      <c r="W801" s="47"/>
      <c r="X801" s="47"/>
    </row>
    <row r="802">
      <c r="L802" s="183"/>
      <c r="M802" s="47"/>
      <c r="T802" s="47"/>
      <c r="U802" s="47"/>
      <c r="V802" s="47"/>
      <c r="W802" s="47"/>
      <c r="X802" s="47"/>
    </row>
    <row r="803">
      <c r="L803" s="183"/>
      <c r="M803" s="47"/>
      <c r="T803" s="47"/>
      <c r="U803" s="47"/>
      <c r="V803" s="47"/>
      <c r="W803" s="47"/>
      <c r="X803" s="47"/>
    </row>
    <row r="804">
      <c r="L804" s="183"/>
      <c r="M804" s="47"/>
      <c r="T804" s="47"/>
      <c r="U804" s="47"/>
      <c r="V804" s="47"/>
      <c r="W804" s="47"/>
      <c r="X804" s="47"/>
    </row>
    <row r="805">
      <c r="L805" s="183"/>
      <c r="M805" s="47"/>
      <c r="T805" s="47"/>
      <c r="U805" s="47"/>
      <c r="V805" s="47"/>
      <c r="W805" s="47"/>
      <c r="X805" s="47"/>
    </row>
    <row r="806">
      <c r="L806" s="183"/>
      <c r="M806" s="47"/>
      <c r="T806" s="47"/>
      <c r="U806" s="47"/>
      <c r="V806" s="47"/>
      <c r="W806" s="47"/>
      <c r="X806" s="47"/>
    </row>
    <row r="807">
      <c r="L807" s="183"/>
      <c r="M807" s="47"/>
      <c r="T807" s="47"/>
      <c r="U807" s="47"/>
      <c r="V807" s="47"/>
      <c r="W807" s="47"/>
      <c r="X807" s="47"/>
    </row>
    <row r="808">
      <c r="L808" s="183"/>
      <c r="M808" s="47"/>
      <c r="T808" s="47"/>
      <c r="U808" s="47"/>
      <c r="V808" s="47"/>
      <c r="W808" s="47"/>
      <c r="X808" s="47"/>
    </row>
    <row r="809">
      <c r="L809" s="183"/>
      <c r="M809" s="47"/>
      <c r="T809" s="47"/>
      <c r="U809" s="47"/>
      <c r="V809" s="47"/>
      <c r="W809" s="47"/>
      <c r="X809" s="47"/>
    </row>
    <row r="810">
      <c r="L810" s="183"/>
      <c r="M810" s="47"/>
      <c r="T810" s="47"/>
      <c r="U810" s="47"/>
      <c r="V810" s="47"/>
      <c r="W810" s="47"/>
      <c r="X810" s="47"/>
    </row>
    <row r="811">
      <c r="L811" s="183"/>
      <c r="M811" s="47"/>
      <c r="T811" s="47"/>
      <c r="U811" s="47"/>
      <c r="V811" s="47"/>
      <c r="W811" s="47"/>
      <c r="X811" s="47"/>
    </row>
    <row r="812">
      <c r="L812" s="183"/>
      <c r="M812" s="47"/>
      <c r="T812" s="47"/>
      <c r="U812" s="47"/>
      <c r="V812" s="47"/>
      <c r="W812" s="47"/>
      <c r="X812" s="47"/>
    </row>
    <row r="813">
      <c r="L813" s="183"/>
      <c r="M813" s="47"/>
      <c r="T813" s="47"/>
      <c r="U813" s="47"/>
      <c r="V813" s="47"/>
      <c r="W813" s="47"/>
      <c r="X813" s="47"/>
    </row>
    <row r="814">
      <c r="L814" s="183"/>
      <c r="M814" s="47"/>
      <c r="T814" s="47"/>
      <c r="U814" s="47"/>
      <c r="V814" s="47"/>
      <c r="W814" s="47"/>
      <c r="X814" s="47"/>
    </row>
    <row r="815">
      <c r="L815" s="183"/>
      <c r="M815" s="47"/>
      <c r="T815" s="47"/>
      <c r="U815" s="47"/>
      <c r="V815" s="47"/>
      <c r="W815" s="47"/>
      <c r="X815" s="47"/>
    </row>
    <row r="816">
      <c r="L816" s="183"/>
      <c r="M816" s="47"/>
      <c r="T816" s="47"/>
      <c r="U816" s="47"/>
      <c r="V816" s="47"/>
      <c r="W816" s="47"/>
      <c r="X816" s="47"/>
    </row>
    <row r="817">
      <c r="L817" s="183"/>
      <c r="M817" s="47"/>
      <c r="T817" s="47"/>
      <c r="U817" s="47"/>
      <c r="V817" s="47"/>
      <c r="W817" s="47"/>
      <c r="X817" s="47"/>
    </row>
    <row r="818">
      <c r="L818" s="183"/>
      <c r="M818" s="47"/>
      <c r="T818" s="47"/>
      <c r="U818" s="47"/>
      <c r="V818" s="47"/>
      <c r="W818" s="47"/>
      <c r="X818" s="47"/>
    </row>
    <row r="819">
      <c r="L819" s="183"/>
      <c r="M819" s="47"/>
      <c r="T819" s="47"/>
      <c r="U819" s="47"/>
      <c r="V819" s="47"/>
      <c r="W819" s="47"/>
      <c r="X819" s="47"/>
    </row>
    <row r="820">
      <c r="L820" s="183"/>
      <c r="M820" s="47"/>
      <c r="T820" s="47"/>
      <c r="U820" s="47"/>
      <c r="V820" s="47"/>
      <c r="W820" s="47"/>
      <c r="X820" s="47"/>
    </row>
    <row r="821">
      <c r="L821" s="183"/>
      <c r="M821" s="47"/>
      <c r="T821" s="47"/>
      <c r="U821" s="47"/>
      <c r="V821" s="47"/>
      <c r="W821" s="47"/>
      <c r="X821" s="47"/>
    </row>
    <row r="822">
      <c r="L822" s="183"/>
      <c r="M822" s="47"/>
      <c r="T822" s="47"/>
      <c r="U822" s="47"/>
      <c r="V822" s="47"/>
      <c r="W822" s="47"/>
      <c r="X822" s="47"/>
    </row>
    <row r="823">
      <c r="L823" s="183"/>
      <c r="M823" s="47"/>
      <c r="T823" s="47"/>
      <c r="U823" s="47"/>
      <c r="V823" s="47"/>
      <c r="W823" s="47"/>
      <c r="X823" s="47"/>
    </row>
    <row r="824">
      <c r="L824" s="183"/>
      <c r="M824" s="47"/>
      <c r="T824" s="47"/>
      <c r="U824" s="47"/>
      <c r="V824" s="47"/>
      <c r="W824" s="47"/>
      <c r="X824" s="47"/>
    </row>
    <row r="825">
      <c r="L825" s="183"/>
      <c r="M825" s="47"/>
      <c r="T825" s="47"/>
      <c r="U825" s="47"/>
      <c r="V825" s="47"/>
      <c r="W825" s="47"/>
      <c r="X825" s="47"/>
    </row>
    <row r="826">
      <c r="L826" s="183"/>
      <c r="M826" s="47"/>
      <c r="T826" s="47"/>
      <c r="U826" s="47"/>
      <c r="V826" s="47"/>
      <c r="W826" s="47"/>
      <c r="X826" s="47"/>
    </row>
    <row r="827">
      <c r="L827" s="183"/>
      <c r="M827" s="47"/>
      <c r="T827" s="47"/>
      <c r="U827" s="47"/>
      <c r="V827" s="47"/>
      <c r="W827" s="47"/>
      <c r="X827" s="47"/>
    </row>
    <row r="828">
      <c r="L828" s="183"/>
      <c r="M828" s="47"/>
      <c r="T828" s="47"/>
      <c r="U828" s="47"/>
      <c r="V828" s="47"/>
      <c r="W828" s="47"/>
      <c r="X828" s="47"/>
    </row>
    <row r="829">
      <c r="L829" s="183"/>
      <c r="M829" s="47"/>
      <c r="T829" s="47"/>
      <c r="U829" s="47"/>
      <c r="V829" s="47"/>
      <c r="W829" s="47"/>
      <c r="X829" s="47"/>
    </row>
    <row r="830">
      <c r="L830" s="183"/>
      <c r="M830" s="47"/>
      <c r="T830" s="47"/>
      <c r="U830" s="47"/>
      <c r="V830" s="47"/>
      <c r="W830" s="47"/>
      <c r="X830" s="47"/>
    </row>
    <row r="831">
      <c r="L831" s="183"/>
      <c r="M831" s="47"/>
      <c r="T831" s="47"/>
      <c r="U831" s="47"/>
      <c r="V831" s="47"/>
      <c r="W831" s="47"/>
      <c r="X831" s="47"/>
    </row>
    <row r="832">
      <c r="L832" s="183"/>
      <c r="M832" s="47"/>
      <c r="T832" s="47"/>
      <c r="U832" s="47"/>
      <c r="V832" s="47"/>
      <c r="W832" s="47"/>
      <c r="X832" s="47"/>
    </row>
    <row r="833">
      <c r="L833" s="183"/>
      <c r="M833" s="47"/>
      <c r="T833" s="47"/>
      <c r="U833" s="47"/>
      <c r="V833" s="47"/>
      <c r="W833" s="47"/>
      <c r="X833" s="47"/>
    </row>
    <row r="834">
      <c r="L834" s="183"/>
      <c r="M834" s="47"/>
      <c r="T834" s="47"/>
      <c r="U834" s="47"/>
      <c r="V834" s="47"/>
      <c r="W834" s="47"/>
      <c r="X834" s="47"/>
    </row>
    <row r="835">
      <c r="L835" s="183"/>
      <c r="M835" s="47"/>
      <c r="T835" s="47"/>
      <c r="U835" s="47"/>
      <c r="V835" s="47"/>
      <c r="W835" s="47"/>
      <c r="X835" s="47"/>
    </row>
    <row r="836">
      <c r="L836" s="183"/>
      <c r="M836" s="47"/>
      <c r="T836" s="47"/>
      <c r="U836" s="47"/>
      <c r="V836" s="47"/>
      <c r="W836" s="47"/>
      <c r="X836" s="47"/>
    </row>
    <row r="837">
      <c r="L837" s="183"/>
      <c r="M837" s="47"/>
      <c r="T837" s="47"/>
      <c r="U837" s="47"/>
      <c r="V837" s="47"/>
      <c r="W837" s="47"/>
      <c r="X837" s="47"/>
    </row>
    <row r="838">
      <c r="L838" s="183"/>
      <c r="M838" s="47"/>
      <c r="T838" s="47"/>
      <c r="U838" s="47"/>
      <c r="V838" s="47"/>
      <c r="W838" s="47"/>
      <c r="X838" s="47"/>
    </row>
    <row r="839">
      <c r="L839" s="183"/>
      <c r="M839" s="47"/>
      <c r="T839" s="47"/>
      <c r="U839" s="47"/>
      <c r="V839" s="47"/>
      <c r="W839" s="47"/>
      <c r="X839" s="47"/>
    </row>
    <row r="840">
      <c r="L840" s="183"/>
      <c r="M840" s="47"/>
      <c r="T840" s="47"/>
      <c r="U840" s="47"/>
      <c r="V840" s="47"/>
      <c r="W840" s="47"/>
      <c r="X840" s="47"/>
    </row>
    <row r="841">
      <c r="L841" s="183"/>
      <c r="M841" s="47"/>
      <c r="T841" s="47"/>
      <c r="U841" s="47"/>
      <c r="V841" s="47"/>
      <c r="W841" s="47"/>
      <c r="X841" s="47"/>
    </row>
    <row r="842">
      <c r="L842" s="183"/>
      <c r="M842" s="47"/>
      <c r="T842" s="47"/>
      <c r="U842" s="47"/>
      <c r="V842" s="47"/>
      <c r="W842" s="47"/>
      <c r="X842" s="47"/>
    </row>
    <row r="843">
      <c r="L843" s="183"/>
      <c r="M843" s="47"/>
      <c r="T843" s="47"/>
      <c r="U843" s="47"/>
      <c r="V843" s="47"/>
      <c r="W843" s="47"/>
      <c r="X843" s="47"/>
    </row>
    <row r="844">
      <c r="L844" s="183"/>
      <c r="M844" s="47"/>
      <c r="T844" s="47"/>
      <c r="U844" s="47"/>
      <c r="V844" s="47"/>
      <c r="W844" s="47"/>
      <c r="X844" s="47"/>
    </row>
    <row r="845">
      <c r="L845" s="183"/>
      <c r="M845" s="47"/>
      <c r="T845" s="47"/>
      <c r="U845" s="47"/>
      <c r="V845" s="47"/>
      <c r="W845" s="47"/>
      <c r="X845" s="47"/>
    </row>
    <row r="846">
      <c r="L846" s="183"/>
      <c r="M846" s="47"/>
      <c r="T846" s="47"/>
      <c r="U846" s="47"/>
      <c r="V846" s="47"/>
      <c r="W846" s="47"/>
      <c r="X846" s="47"/>
    </row>
    <row r="847">
      <c r="L847" s="183"/>
      <c r="M847" s="47"/>
      <c r="T847" s="47"/>
      <c r="U847" s="47"/>
      <c r="V847" s="47"/>
      <c r="W847" s="47"/>
      <c r="X847" s="47"/>
    </row>
    <row r="848">
      <c r="L848" s="183"/>
      <c r="M848" s="47"/>
      <c r="T848" s="47"/>
      <c r="U848" s="47"/>
      <c r="V848" s="47"/>
      <c r="W848" s="47"/>
      <c r="X848" s="47"/>
    </row>
    <row r="849">
      <c r="L849" s="183"/>
      <c r="M849" s="47"/>
      <c r="T849" s="47"/>
      <c r="U849" s="47"/>
      <c r="V849" s="47"/>
      <c r="W849" s="47"/>
      <c r="X849" s="47"/>
    </row>
    <row r="850">
      <c r="L850" s="183"/>
      <c r="M850" s="47"/>
      <c r="T850" s="47"/>
      <c r="U850" s="47"/>
      <c r="V850" s="47"/>
      <c r="W850" s="47"/>
      <c r="X850" s="47"/>
    </row>
    <row r="851">
      <c r="L851" s="183"/>
      <c r="M851" s="47"/>
      <c r="T851" s="47"/>
      <c r="U851" s="47"/>
      <c r="V851" s="47"/>
      <c r="W851" s="47"/>
      <c r="X851" s="47"/>
    </row>
    <row r="852">
      <c r="L852" s="183"/>
      <c r="M852" s="47"/>
      <c r="T852" s="47"/>
      <c r="U852" s="47"/>
      <c r="V852" s="47"/>
      <c r="W852" s="47"/>
      <c r="X852" s="47"/>
    </row>
    <row r="853">
      <c r="L853" s="183"/>
      <c r="M853" s="47"/>
      <c r="T853" s="47"/>
      <c r="U853" s="47"/>
      <c r="V853" s="47"/>
      <c r="W853" s="47"/>
      <c r="X853" s="47"/>
    </row>
    <row r="854">
      <c r="L854" s="183"/>
      <c r="M854" s="47"/>
      <c r="T854" s="47"/>
      <c r="U854" s="47"/>
      <c r="V854" s="47"/>
      <c r="W854" s="47"/>
      <c r="X854" s="47"/>
    </row>
    <row r="855">
      <c r="L855" s="183"/>
      <c r="M855" s="47"/>
      <c r="T855" s="47"/>
      <c r="U855" s="47"/>
      <c r="V855" s="47"/>
      <c r="W855" s="47"/>
      <c r="X855" s="47"/>
    </row>
    <row r="856">
      <c r="L856" s="183"/>
      <c r="M856" s="47"/>
      <c r="T856" s="47"/>
      <c r="U856" s="47"/>
      <c r="V856" s="47"/>
      <c r="W856" s="47"/>
      <c r="X856" s="47"/>
    </row>
    <row r="857">
      <c r="L857" s="183"/>
      <c r="M857" s="47"/>
      <c r="T857" s="47"/>
      <c r="U857" s="47"/>
      <c r="V857" s="47"/>
      <c r="W857" s="47"/>
      <c r="X857" s="47"/>
    </row>
    <row r="858">
      <c r="L858" s="183"/>
      <c r="M858" s="47"/>
      <c r="T858" s="47"/>
      <c r="U858" s="47"/>
      <c r="V858" s="47"/>
      <c r="W858" s="47"/>
      <c r="X858" s="47"/>
    </row>
    <row r="859">
      <c r="L859" s="183"/>
      <c r="M859" s="47"/>
      <c r="T859" s="47"/>
      <c r="U859" s="47"/>
      <c r="V859" s="47"/>
      <c r="W859" s="47"/>
      <c r="X859" s="47"/>
    </row>
    <row r="860">
      <c r="L860" s="183"/>
      <c r="M860" s="47"/>
      <c r="T860" s="47"/>
      <c r="U860" s="47"/>
      <c r="V860" s="47"/>
      <c r="W860" s="47"/>
      <c r="X860" s="47"/>
    </row>
    <row r="861">
      <c r="L861" s="183"/>
      <c r="M861" s="47"/>
      <c r="T861" s="47"/>
      <c r="U861" s="47"/>
      <c r="V861" s="47"/>
      <c r="W861" s="47"/>
      <c r="X861" s="47"/>
    </row>
    <row r="862">
      <c r="L862" s="183"/>
      <c r="M862" s="47"/>
      <c r="T862" s="47"/>
      <c r="U862" s="47"/>
      <c r="V862" s="47"/>
      <c r="W862" s="47"/>
      <c r="X862" s="47"/>
    </row>
    <row r="863">
      <c r="L863" s="183"/>
      <c r="M863" s="47"/>
      <c r="T863" s="47"/>
      <c r="U863" s="47"/>
      <c r="V863" s="47"/>
      <c r="W863" s="47"/>
      <c r="X863" s="47"/>
    </row>
    <row r="864">
      <c r="L864" s="183"/>
      <c r="M864" s="47"/>
      <c r="T864" s="47"/>
      <c r="U864" s="47"/>
      <c r="V864" s="47"/>
      <c r="W864" s="47"/>
      <c r="X864" s="47"/>
    </row>
    <row r="865">
      <c r="L865" s="183"/>
      <c r="M865" s="47"/>
      <c r="T865" s="47"/>
      <c r="U865" s="47"/>
      <c r="V865" s="47"/>
      <c r="W865" s="47"/>
      <c r="X865" s="47"/>
    </row>
    <row r="866">
      <c r="L866" s="183"/>
      <c r="M866" s="47"/>
      <c r="T866" s="47"/>
      <c r="U866" s="47"/>
      <c r="V866" s="47"/>
      <c r="W866" s="47"/>
      <c r="X866" s="47"/>
    </row>
    <row r="867">
      <c r="L867" s="183"/>
      <c r="M867" s="47"/>
      <c r="T867" s="47"/>
      <c r="U867" s="47"/>
      <c r="V867" s="47"/>
      <c r="W867" s="47"/>
      <c r="X867" s="47"/>
    </row>
    <row r="868">
      <c r="L868" s="183"/>
      <c r="M868" s="47"/>
      <c r="T868" s="47"/>
      <c r="U868" s="47"/>
      <c r="V868" s="47"/>
      <c r="W868" s="47"/>
      <c r="X868" s="47"/>
    </row>
    <row r="869">
      <c r="L869" s="183"/>
      <c r="M869" s="47"/>
      <c r="T869" s="47"/>
      <c r="U869" s="47"/>
      <c r="V869" s="47"/>
      <c r="W869" s="47"/>
      <c r="X869" s="47"/>
    </row>
    <row r="870">
      <c r="L870" s="183"/>
      <c r="M870" s="47"/>
      <c r="T870" s="47"/>
      <c r="U870" s="47"/>
      <c r="V870" s="47"/>
      <c r="W870" s="47"/>
      <c r="X870" s="47"/>
    </row>
    <row r="871">
      <c r="L871" s="183"/>
      <c r="M871" s="47"/>
      <c r="T871" s="47"/>
      <c r="U871" s="47"/>
      <c r="V871" s="47"/>
      <c r="W871" s="47"/>
      <c r="X871" s="47"/>
    </row>
    <row r="872">
      <c r="L872" s="183"/>
      <c r="M872" s="47"/>
      <c r="T872" s="47"/>
      <c r="U872" s="47"/>
      <c r="V872" s="47"/>
      <c r="W872" s="47"/>
      <c r="X872" s="47"/>
    </row>
    <row r="873">
      <c r="L873" s="183"/>
      <c r="M873" s="47"/>
      <c r="T873" s="47"/>
      <c r="U873" s="47"/>
      <c r="V873" s="47"/>
      <c r="W873" s="47"/>
      <c r="X873" s="47"/>
    </row>
    <row r="874">
      <c r="L874" s="183"/>
      <c r="M874" s="47"/>
      <c r="T874" s="47"/>
      <c r="U874" s="47"/>
      <c r="V874" s="47"/>
      <c r="W874" s="47"/>
      <c r="X874" s="47"/>
    </row>
    <row r="875">
      <c r="L875" s="183"/>
      <c r="M875" s="47"/>
      <c r="T875" s="47"/>
      <c r="U875" s="47"/>
      <c r="V875" s="47"/>
      <c r="W875" s="47"/>
      <c r="X875" s="47"/>
    </row>
    <row r="876">
      <c r="L876" s="183"/>
      <c r="M876" s="47"/>
      <c r="T876" s="47"/>
      <c r="U876" s="47"/>
      <c r="V876" s="47"/>
      <c r="W876" s="47"/>
      <c r="X876" s="47"/>
    </row>
    <row r="877">
      <c r="L877" s="183"/>
      <c r="M877" s="47"/>
      <c r="T877" s="47"/>
      <c r="U877" s="47"/>
      <c r="V877" s="47"/>
      <c r="W877" s="47"/>
      <c r="X877" s="47"/>
    </row>
    <row r="878">
      <c r="L878" s="183"/>
      <c r="M878" s="47"/>
      <c r="T878" s="47"/>
      <c r="U878" s="47"/>
      <c r="V878" s="47"/>
      <c r="W878" s="47"/>
      <c r="X878" s="47"/>
    </row>
    <row r="879">
      <c r="L879" s="183"/>
      <c r="M879" s="47"/>
      <c r="T879" s="47"/>
      <c r="U879" s="47"/>
      <c r="V879" s="47"/>
      <c r="W879" s="47"/>
      <c r="X879" s="47"/>
    </row>
    <row r="880">
      <c r="L880" s="183"/>
      <c r="M880" s="47"/>
      <c r="T880" s="47"/>
      <c r="U880" s="47"/>
      <c r="V880" s="47"/>
      <c r="W880" s="47"/>
      <c r="X880" s="47"/>
    </row>
    <row r="881">
      <c r="L881" s="183"/>
      <c r="M881" s="47"/>
      <c r="T881" s="47"/>
      <c r="U881" s="47"/>
      <c r="V881" s="47"/>
      <c r="W881" s="47"/>
      <c r="X881" s="47"/>
    </row>
    <row r="882">
      <c r="L882" s="183"/>
      <c r="M882" s="47"/>
      <c r="T882" s="47"/>
      <c r="U882" s="47"/>
      <c r="V882" s="47"/>
      <c r="W882" s="47"/>
      <c r="X882" s="47"/>
    </row>
    <row r="883">
      <c r="L883" s="183"/>
      <c r="M883" s="47"/>
      <c r="T883" s="47"/>
      <c r="U883" s="47"/>
      <c r="V883" s="47"/>
      <c r="W883" s="47"/>
      <c r="X883" s="47"/>
    </row>
    <row r="884">
      <c r="L884" s="183"/>
      <c r="M884" s="47"/>
      <c r="T884" s="47"/>
      <c r="U884" s="47"/>
      <c r="V884" s="47"/>
      <c r="W884" s="47"/>
      <c r="X884" s="47"/>
    </row>
    <row r="885">
      <c r="L885" s="183"/>
      <c r="M885" s="47"/>
      <c r="T885" s="47"/>
      <c r="U885" s="47"/>
      <c r="V885" s="47"/>
      <c r="W885" s="47"/>
      <c r="X885" s="47"/>
    </row>
    <row r="886">
      <c r="L886" s="183"/>
      <c r="M886" s="47"/>
      <c r="T886" s="47"/>
      <c r="U886" s="47"/>
      <c r="V886" s="47"/>
      <c r="W886" s="47"/>
      <c r="X886" s="47"/>
    </row>
    <row r="887">
      <c r="L887" s="183"/>
      <c r="M887" s="47"/>
      <c r="T887" s="47"/>
      <c r="U887" s="47"/>
      <c r="V887" s="47"/>
      <c r="W887" s="47"/>
      <c r="X887" s="47"/>
    </row>
    <row r="888">
      <c r="L888" s="183"/>
      <c r="M888" s="47"/>
      <c r="T888" s="47"/>
      <c r="U888" s="47"/>
      <c r="V888" s="47"/>
      <c r="W888" s="47"/>
      <c r="X888" s="47"/>
    </row>
    <row r="889">
      <c r="L889" s="183"/>
      <c r="M889" s="47"/>
      <c r="T889" s="47"/>
      <c r="U889" s="47"/>
      <c r="V889" s="47"/>
      <c r="W889" s="47"/>
      <c r="X889" s="47"/>
    </row>
    <row r="890">
      <c r="L890" s="183"/>
      <c r="M890" s="47"/>
      <c r="T890" s="47"/>
      <c r="U890" s="47"/>
      <c r="V890" s="47"/>
      <c r="W890" s="47"/>
      <c r="X890" s="47"/>
    </row>
    <row r="891">
      <c r="L891" s="183"/>
      <c r="M891" s="47"/>
      <c r="T891" s="47"/>
      <c r="U891" s="47"/>
      <c r="V891" s="47"/>
      <c r="W891" s="47"/>
      <c r="X891" s="47"/>
    </row>
    <row r="892">
      <c r="L892" s="183"/>
      <c r="M892" s="47"/>
      <c r="T892" s="47"/>
      <c r="U892" s="47"/>
      <c r="V892" s="47"/>
      <c r="W892" s="47"/>
      <c r="X892" s="47"/>
    </row>
    <row r="893">
      <c r="L893" s="183"/>
      <c r="M893" s="47"/>
      <c r="T893" s="47"/>
      <c r="U893" s="47"/>
      <c r="V893" s="47"/>
      <c r="W893" s="47"/>
      <c r="X893" s="47"/>
    </row>
    <row r="894">
      <c r="L894" s="183"/>
      <c r="M894" s="47"/>
      <c r="T894" s="47"/>
      <c r="U894" s="47"/>
      <c r="V894" s="47"/>
      <c r="W894" s="47"/>
      <c r="X894" s="47"/>
    </row>
    <row r="895">
      <c r="L895" s="183"/>
      <c r="M895" s="47"/>
      <c r="T895" s="47"/>
      <c r="U895" s="47"/>
      <c r="V895" s="47"/>
      <c r="W895" s="47"/>
      <c r="X895" s="47"/>
    </row>
    <row r="896">
      <c r="L896" s="183"/>
      <c r="M896" s="47"/>
      <c r="T896" s="47"/>
      <c r="U896" s="47"/>
      <c r="V896" s="47"/>
      <c r="W896" s="47"/>
      <c r="X896" s="47"/>
    </row>
    <row r="897">
      <c r="L897" s="183"/>
      <c r="M897" s="47"/>
      <c r="T897" s="47"/>
      <c r="U897" s="47"/>
      <c r="V897" s="47"/>
      <c r="W897" s="47"/>
      <c r="X897" s="47"/>
    </row>
    <row r="898">
      <c r="L898" s="183"/>
      <c r="M898" s="47"/>
      <c r="T898" s="47"/>
      <c r="U898" s="47"/>
      <c r="V898" s="47"/>
      <c r="W898" s="47"/>
      <c r="X898" s="47"/>
    </row>
    <row r="899">
      <c r="L899" s="183"/>
      <c r="M899" s="47"/>
      <c r="T899" s="47"/>
      <c r="U899" s="47"/>
      <c r="V899" s="47"/>
      <c r="W899" s="47"/>
      <c r="X899" s="47"/>
    </row>
    <row r="900">
      <c r="L900" s="183"/>
      <c r="M900" s="47"/>
      <c r="T900" s="47"/>
      <c r="U900" s="47"/>
      <c r="V900" s="47"/>
      <c r="W900" s="47"/>
      <c r="X900" s="47"/>
    </row>
    <row r="901">
      <c r="L901" s="183"/>
      <c r="M901" s="47"/>
      <c r="T901" s="47"/>
      <c r="U901" s="47"/>
      <c r="V901" s="47"/>
      <c r="W901" s="47"/>
      <c r="X901" s="47"/>
    </row>
    <row r="902">
      <c r="L902" s="183"/>
      <c r="M902" s="47"/>
      <c r="T902" s="47"/>
      <c r="U902" s="47"/>
      <c r="V902" s="47"/>
      <c r="W902" s="47"/>
      <c r="X902" s="47"/>
    </row>
    <row r="903">
      <c r="L903" s="183"/>
      <c r="M903" s="47"/>
      <c r="T903" s="47"/>
      <c r="U903" s="47"/>
      <c r="V903" s="47"/>
      <c r="W903" s="47"/>
      <c r="X903" s="47"/>
    </row>
    <row r="904">
      <c r="L904" s="183"/>
      <c r="M904" s="47"/>
      <c r="T904" s="47"/>
      <c r="U904" s="47"/>
      <c r="V904" s="47"/>
      <c r="W904" s="47"/>
      <c r="X904" s="47"/>
    </row>
    <row r="905">
      <c r="L905" s="183"/>
      <c r="M905" s="47"/>
      <c r="T905" s="47"/>
      <c r="U905" s="47"/>
      <c r="V905" s="47"/>
      <c r="W905" s="47"/>
      <c r="X905" s="47"/>
    </row>
    <row r="906">
      <c r="L906" s="183"/>
      <c r="M906" s="47"/>
      <c r="T906" s="47"/>
      <c r="U906" s="47"/>
      <c r="V906" s="47"/>
      <c r="W906" s="47"/>
      <c r="X906" s="47"/>
    </row>
    <row r="907">
      <c r="L907" s="183"/>
      <c r="M907" s="47"/>
      <c r="T907" s="47"/>
      <c r="U907" s="47"/>
      <c r="V907" s="47"/>
      <c r="W907" s="47"/>
      <c r="X907" s="47"/>
    </row>
    <row r="908">
      <c r="L908" s="183"/>
      <c r="M908" s="47"/>
      <c r="T908" s="47"/>
      <c r="U908" s="47"/>
      <c r="V908" s="47"/>
      <c r="W908" s="47"/>
      <c r="X908" s="47"/>
    </row>
    <row r="909">
      <c r="L909" s="183"/>
      <c r="M909" s="47"/>
      <c r="T909" s="47"/>
      <c r="U909" s="47"/>
      <c r="V909" s="47"/>
      <c r="W909" s="47"/>
      <c r="X909" s="47"/>
    </row>
    <row r="910">
      <c r="L910" s="183"/>
      <c r="M910" s="47"/>
      <c r="T910" s="47"/>
      <c r="U910" s="47"/>
      <c r="V910" s="47"/>
      <c r="W910" s="47"/>
      <c r="X910" s="47"/>
    </row>
    <row r="911">
      <c r="L911" s="183"/>
      <c r="M911" s="47"/>
      <c r="T911" s="47"/>
      <c r="U911" s="47"/>
      <c r="V911" s="47"/>
      <c r="W911" s="47"/>
      <c r="X911" s="47"/>
    </row>
    <row r="912">
      <c r="L912" s="183"/>
      <c r="M912" s="47"/>
      <c r="T912" s="47"/>
      <c r="U912" s="47"/>
      <c r="V912" s="47"/>
      <c r="W912" s="47"/>
      <c r="X912" s="47"/>
    </row>
    <row r="913">
      <c r="L913" s="183"/>
      <c r="M913" s="47"/>
      <c r="T913" s="47"/>
      <c r="U913" s="47"/>
      <c r="V913" s="47"/>
      <c r="W913" s="47"/>
      <c r="X913" s="47"/>
    </row>
    <row r="914">
      <c r="L914" s="183"/>
      <c r="M914" s="47"/>
      <c r="T914" s="47"/>
      <c r="U914" s="47"/>
      <c r="V914" s="47"/>
      <c r="W914" s="47"/>
      <c r="X914" s="47"/>
    </row>
    <row r="915">
      <c r="L915" s="183"/>
      <c r="M915" s="47"/>
      <c r="T915" s="47"/>
      <c r="U915" s="47"/>
      <c r="V915" s="47"/>
      <c r="W915" s="47"/>
      <c r="X915" s="47"/>
    </row>
    <row r="916">
      <c r="L916" s="183"/>
      <c r="M916" s="47"/>
      <c r="T916" s="47"/>
      <c r="U916" s="47"/>
      <c r="V916" s="47"/>
      <c r="W916" s="47"/>
      <c r="X916" s="47"/>
    </row>
    <row r="917">
      <c r="L917" s="183"/>
      <c r="M917" s="47"/>
      <c r="T917" s="47"/>
      <c r="U917" s="47"/>
      <c r="V917" s="47"/>
      <c r="W917" s="47"/>
      <c r="X917" s="47"/>
    </row>
    <row r="918">
      <c r="L918" s="183"/>
      <c r="M918" s="47"/>
      <c r="T918" s="47"/>
      <c r="U918" s="47"/>
      <c r="V918" s="47"/>
      <c r="W918" s="47"/>
      <c r="X918" s="47"/>
    </row>
    <row r="919">
      <c r="L919" s="183"/>
      <c r="M919" s="47"/>
      <c r="T919" s="47"/>
      <c r="U919" s="47"/>
      <c r="V919" s="47"/>
      <c r="W919" s="47"/>
      <c r="X919" s="47"/>
    </row>
    <row r="920">
      <c r="L920" s="183"/>
      <c r="M920" s="47"/>
      <c r="T920" s="47"/>
      <c r="U920" s="47"/>
      <c r="V920" s="47"/>
      <c r="W920" s="47"/>
      <c r="X920" s="47"/>
    </row>
    <row r="921">
      <c r="L921" s="183"/>
      <c r="M921" s="47"/>
      <c r="T921" s="47"/>
      <c r="U921" s="47"/>
      <c r="V921" s="47"/>
      <c r="W921" s="47"/>
      <c r="X921" s="47"/>
    </row>
    <row r="922">
      <c r="L922" s="183"/>
      <c r="M922" s="47"/>
      <c r="T922" s="47"/>
      <c r="U922" s="47"/>
      <c r="V922" s="47"/>
      <c r="W922" s="47"/>
      <c r="X922" s="47"/>
    </row>
    <row r="923">
      <c r="L923" s="183"/>
      <c r="M923" s="47"/>
      <c r="T923" s="47"/>
      <c r="U923" s="47"/>
      <c r="V923" s="47"/>
      <c r="W923" s="47"/>
      <c r="X923" s="47"/>
    </row>
    <row r="924">
      <c r="L924" s="183"/>
      <c r="M924" s="47"/>
      <c r="T924" s="47"/>
      <c r="U924" s="47"/>
      <c r="V924" s="47"/>
      <c r="W924" s="47"/>
      <c r="X924" s="47"/>
    </row>
    <row r="925">
      <c r="L925" s="183"/>
      <c r="M925" s="47"/>
      <c r="T925" s="47"/>
      <c r="U925" s="47"/>
      <c r="V925" s="47"/>
      <c r="W925" s="47"/>
      <c r="X925" s="47"/>
    </row>
    <row r="926">
      <c r="L926" s="183"/>
      <c r="M926" s="47"/>
      <c r="T926" s="47"/>
      <c r="U926" s="47"/>
      <c r="V926" s="47"/>
      <c r="W926" s="47"/>
      <c r="X926" s="47"/>
    </row>
    <row r="927">
      <c r="L927" s="183"/>
      <c r="M927" s="47"/>
      <c r="T927" s="47"/>
      <c r="U927" s="47"/>
      <c r="V927" s="47"/>
      <c r="W927" s="47"/>
      <c r="X927" s="47"/>
    </row>
    <row r="928">
      <c r="L928" s="183"/>
      <c r="M928" s="47"/>
      <c r="T928" s="47"/>
      <c r="U928" s="47"/>
      <c r="V928" s="47"/>
      <c r="W928" s="47"/>
      <c r="X928" s="47"/>
    </row>
    <row r="929">
      <c r="L929" s="183"/>
      <c r="M929" s="47"/>
      <c r="T929" s="47"/>
      <c r="U929" s="47"/>
      <c r="V929" s="47"/>
      <c r="W929" s="47"/>
      <c r="X929" s="47"/>
    </row>
    <row r="930">
      <c r="L930" s="183"/>
      <c r="M930" s="47"/>
      <c r="T930" s="47"/>
      <c r="U930" s="47"/>
      <c r="V930" s="47"/>
      <c r="W930" s="47"/>
      <c r="X930" s="47"/>
    </row>
    <row r="931">
      <c r="L931" s="183"/>
      <c r="M931" s="47"/>
      <c r="T931" s="47"/>
      <c r="U931" s="47"/>
      <c r="V931" s="47"/>
      <c r="W931" s="47"/>
      <c r="X931" s="47"/>
    </row>
    <row r="932">
      <c r="L932" s="183"/>
      <c r="M932" s="47"/>
      <c r="T932" s="47"/>
      <c r="U932" s="47"/>
      <c r="V932" s="47"/>
      <c r="W932" s="47"/>
      <c r="X932" s="47"/>
    </row>
    <row r="933">
      <c r="L933" s="183"/>
      <c r="M933" s="47"/>
      <c r="T933" s="47"/>
      <c r="U933" s="47"/>
      <c r="V933" s="47"/>
      <c r="W933" s="47"/>
      <c r="X933" s="47"/>
    </row>
    <row r="934">
      <c r="L934" s="183"/>
      <c r="M934" s="47"/>
      <c r="T934" s="47"/>
      <c r="U934" s="47"/>
      <c r="V934" s="47"/>
      <c r="W934" s="47"/>
      <c r="X934" s="47"/>
    </row>
    <row r="935">
      <c r="L935" s="183"/>
      <c r="M935" s="47"/>
      <c r="T935" s="47"/>
      <c r="U935" s="47"/>
      <c r="V935" s="47"/>
      <c r="W935" s="47"/>
      <c r="X935" s="47"/>
    </row>
    <row r="936">
      <c r="L936" s="183"/>
      <c r="M936" s="47"/>
      <c r="T936" s="47"/>
      <c r="U936" s="47"/>
      <c r="V936" s="47"/>
      <c r="W936" s="47"/>
      <c r="X936" s="47"/>
    </row>
    <row r="937">
      <c r="L937" s="183"/>
      <c r="M937" s="47"/>
      <c r="T937" s="47"/>
      <c r="U937" s="47"/>
      <c r="V937" s="47"/>
      <c r="W937" s="47"/>
      <c r="X937" s="47"/>
    </row>
    <row r="938">
      <c r="L938" s="183"/>
      <c r="M938" s="47"/>
      <c r="T938" s="47"/>
      <c r="U938" s="47"/>
      <c r="V938" s="47"/>
      <c r="W938" s="47"/>
      <c r="X938" s="47"/>
    </row>
    <row r="939">
      <c r="L939" s="183"/>
      <c r="M939" s="47"/>
      <c r="T939" s="47"/>
      <c r="U939" s="47"/>
      <c r="V939" s="47"/>
      <c r="W939" s="47"/>
      <c r="X939" s="47"/>
    </row>
    <row r="940">
      <c r="L940" s="183"/>
      <c r="M940" s="47"/>
      <c r="T940" s="47"/>
      <c r="U940" s="47"/>
      <c r="V940" s="47"/>
      <c r="W940" s="47"/>
      <c r="X940" s="47"/>
    </row>
    <row r="941">
      <c r="L941" s="183"/>
      <c r="M941" s="47"/>
      <c r="T941" s="47"/>
      <c r="U941" s="47"/>
      <c r="V941" s="47"/>
      <c r="W941" s="47"/>
      <c r="X941" s="47"/>
    </row>
    <row r="942">
      <c r="L942" s="183"/>
      <c r="M942" s="47"/>
      <c r="T942" s="47"/>
      <c r="U942" s="47"/>
      <c r="V942" s="47"/>
      <c r="W942" s="47"/>
      <c r="X942" s="47"/>
    </row>
    <row r="943">
      <c r="L943" s="183"/>
      <c r="M943" s="47"/>
      <c r="T943" s="47"/>
      <c r="U943" s="47"/>
      <c r="V943" s="47"/>
      <c r="W943" s="47"/>
      <c r="X943" s="47"/>
    </row>
    <row r="944">
      <c r="L944" s="183"/>
      <c r="M944" s="47"/>
      <c r="T944" s="47"/>
      <c r="U944" s="47"/>
      <c r="V944" s="47"/>
      <c r="W944" s="47"/>
      <c r="X944" s="47"/>
    </row>
    <row r="945">
      <c r="L945" s="183"/>
      <c r="M945" s="47"/>
      <c r="T945" s="47"/>
      <c r="U945" s="47"/>
      <c r="V945" s="47"/>
      <c r="W945" s="47"/>
      <c r="X945" s="47"/>
    </row>
    <row r="946">
      <c r="L946" s="183"/>
      <c r="M946" s="47"/>
      <c r="T946" s="47"/>
      <c r="U946" s="47"/>
      <c r="V946" s="47"/>
      <c r="W946" s="47"/>
      <c r="X946" s="47"/>
    </row>
    <row r="947">
      <c r="L947" s="183"/>
      <c r="M947" s="47"/>
      <c r="T947" s="47"/>
      <c r="U947" s="47"/>
      <c r="V947" s="47"/>
      <c r="W947" s="47"/>
      <c r="X947" s="47"/>
    </row>
    <row r="948">
      <c r="L948" s="183"/>
      <c r="M948" s="47"/>
      <c r="T948" s="47"/>
      <c r="U948" s="47"/>
      <c r="V948" s="47"/>
      <c r="W948" s="47"/>
      <c r="X948" s="47"/>
    </row>
    <row r="949">
      <c r="L949" s="183"/>
      <c r="M949" s="47"/>
      <c r="T949" s="47"/>
      <c r="U949" s="47"/>
      <c r="V949" s="47"/>
      <c r="W949" s="47"/>
      <c r="X949" s="47"/>
    </row>
    <row r="950">
      <c r="L950" s="183"/>
      <c r="M950" s="47"/>
      <c r="T950" s="47"/>
      <c r="U950" s="47"/>
      <c r="V950" s="47"/>
      <c r="W950" s="47"/>
      <c r="X950" s="47"/>
    </row>
    <row r="951">
      <c r="L951" s="183"/>
      <c r="M951" s="47"/>
      <c r="T951" s="47"/>
      <c r="U951" s="47"/>
      <c r="V951" s="47"/>
      <c r="W951" s="47"/>
      <c r="X951" s="47"/>
    </row>
    <row r="952">
      <c r="L952" s="183"/>
      <c r="M952" s="47"/>
      <c r="T952" s="47"/>
      <c r="U952" s="47"/>
      <c r="V952" s="47"/>
      <c r="W952" s="47"/>
      <c r="X952" s="47"/>
    </row>
    <row r="953">
      <c r="L953" s="183"/>
      <c r="M953" s="47"/>
      <c r="T953" s="47"/>
      <c r="U953" s="47"/>
      <c r="V953" s="47"/>
      <c r="W953" s="47"/>
      <c r="X953" s="47"/>
    </row>
    <row r="954">
      <c r="L954" s="183"/>
      <c r="M954" s="47"/>
      <c r="T954" s="47"/>
      <c r="U954" s="47"/>
      <c r="V954" s="47"/>
      <c r="W954" s="47"/>
      <c r="X954" s="47"/>
    </row>
    <row r="955">
      <c r="L955" s="183"/>
      <c r="M955" s="47"/>
      <c r="T955" s="47"/>
      <c r="U955" s="47"/>
      <c r="V955" s="47"/>
      <c r="W955" s="47"/>
      <c r="X955" s="47"/>
    </row>
    <row r="956">
      <c r="L956" s="183"/>
      <c r="M956" s="47"/>
      <c r="T956" s="47"/>
      <c r="U956" s="47"/>
      <c r="V956" s="47"/>
      <c r="W956" s="47"/>
      <c r="X956" s="47"/>
    </row>
    <row r="957">
      <c r="L957" s="183"/>
      <c r="M957" s="47"/>
      <c r="T957" s="47"/>
      <c r="U957" s="47"/>
      <c r="V957" s="47"/>
      <c r="W957" s="47"/>
      <c r="X957" s="47"/>
    </row>
    <row r="958">
      <c r="L958" s="183"/>
      <c r="M958" s="47"/>
      <c r="T958" s="47"/>
      <c r="U958" s="47"/>
      <c r="V958" s="47"/>
      <c r="W958" s="47"/>
      <c r="X958" s="47"/>
    </row>
    <row r="959">
      <c r="L959" s="183"/>
      <c r="M959" s="47"/>
      <c r="T959" s="47"/>
      <c r="U959" s="47"/>
      <c r="V959" s="47"/>
      <c r="W959" s="47"/>
      <c r="X959" s="47"/>
    </row>
    <row r="960">
      <c r="L960" s="183"/>
      <c r="M960" s="47"/>
      <c r="T960" s="47"/>
      <c r="U960" s="47"/>
      <c r="V960" s="47"/>
      <c r="W960" s="47"/>
      <c r="X960" s="47"/>
    </row>
    <row r="961">
      <c r="L961" s="183"/>
      <c r="M961" s="47"/>
      <c r="T961" s="47"/>
      <c r="U961" s="47"/>
      <c r="V961" s="47"/>
      <c r="W961" s="47"/>
      <c r="X961" s="47"/>
    </row>
    <row r="962">
      <c r="L962" s="183"/>
      <c r="M962" s="47"/>
      <c r="T962" s="47"/>
      <c r="U962" s="47"/>
      <c r="V962" s="47"/>
      <c r="W962" s="47"/>
      <c r="X962" s="47"/>
    </row>
    <row r="963">
      <c r="L963" s="183"/>
      <c r="M963" s="47"/>
      <c r="T963" s="47"/>
      <c r="U963" s="47"/>
      <c r="V963" s="47"/>
      <c r="W963" s="47"/>
      <c r="X963" s="47"/>
    </row>
    <row r="964">
      <c r="L964" s="183"/>
      <c r="M964" s="47"/>
      <c r="T964" s="47"/>
      <c r="U964" s="47"/>
      <c r="V964" s="47"/>
      <c r="W964" s="47"/>
      <c r="X964" s="47"/>
    </row>
    <row r="965">
      <c r="L965" s="183"/>
      <c r="M965" s="47"/>
      <c r="T965" s="47"/>
      <c r="U965" s="47"/>
      <c r="V965" s="47"/>
      <c r="W965" s="47"/>
      <c r="X965" s="47"/>
    </row>
    <row r="966">
      <c r="L966" s="183"/>
      <c r="M966" s="47"/>
      <c r="T966" s="47"/>
      <c r="U966" s="47"/>
      <c r="V966" s="47"/>
      <c r="W966" s="47"/>
      <c r="X966" s="47"/>
    </row>
    <row r="967">
      <c r="L967" s="183"/>
      <c r="M967" s="47"/>
      <c r="T967" s="47"/>
      <c r="U967" s="47"/>
      <c r="V967" s="47"/>
      <c r="W967" s="47"/>
      <c r="X967" s="47"/>
    </row>
    <row r="968">
      <c r="L968" s="183"/>
      <c r="M968" s="47"/>
      <c r="T968" s="47"/>
      <c r="U968" s="47"/>
      <c r="V968" s="47"/>
      <c r="W968" s="47"/>
      <c r="X968" s="47"/>
    </row>
    <row r="969">
      <c r="L969" s="183"/>
      <c r="M969" s="47"/>
      <c r="T969" s="47"/>
      <c r="U969" s="47"/>
      <c r="V969" s="47"/>
      <c r="W969" s="47"/>
      <c r="X969" s="47"/>
    </row>
    <row r="970">
      <c r="L970" s="183"/>
      <c r="M970" s="47"/>
      <c r="T970" s="47"/>
      <c r="U970" s="47"/>
      <c r="V970" s="47"/>
      <c r="W970" s="47"/>
      <c r="X970" s="47"/>
    </row>
    <row r="971">
      <c r="L971" s="183"/>
      <c r="M971" s="47"/>
      <c r="T971" s="47"/>
      <c r="U971" s="47"/>
      <c r="V971" s="47"/>
      <c r="W971" s="47"/>
      <c r="X971" s="47"/>
    </row>
    <row r="972">
      <c r="L972" s="183"/>
      <c r="M972" s="47"/>
      <c r="T972" s="47"/>
      <c r="U972" s="47"/>
      <c r="V972" s="47"/>
      <c r="W972" s="47"/>
      <c r="X972" s="47"/>
    </row>
    <row r="973">
      <c r="L973" s="183"/>
      <c r="M973" s="47"/>
      <c r="T973" s="47"/>
      <c r="U973" s="47"/>
      <c r="V973" s="47"/>
      <c r="W973" s="47"/>
      <c r="X973" s="47"/>
    </row>
    <row r="974">
      <c r="L974" s="183"/>
      <c r="M974" s="47"/>
      <c r="T974" s="47"/>
      <c r="U974" s="47"/>
      <c r="V974" s="47"/>
      <c r="W974" s="47"/>
      <c r="X974" s="47"/>
    </row>
    <row r="975">
      <c r="L975" s="183"/>
      <c r="M975" s="47"/>
      <c r="T975" s="47"/>
      <c r="U975" s="47"/>
      <c r="V975" s="47"/>
      <c r="W975" s="47"/>
      <c r="X975" s="47"/>
    </row>
    <row r="976">
      <c r="L976" s="183"/>
      <c r="M976" s="47"/>
      <c r="T976" s="47"/>
      <c r="U976" s="47"/>
      <c r="V976" s="47"/>
      <c r="W976" s="47"/>
      <c r="X976" s="47"/>
    </row>
    <row r="977">
      <c r="L977" s="183"/>
      <c r="M977" s="47"/>
      <c r="T977" s="47"/>
      <c r="U977" s="47"/>
      <c r="V977" s="47"/>
      <c r="W977" s="47"/>
      <c r="X977" s="47"/>
    </row>
    <row r="978">
      <c r="L978" s="183"/>
      <c r="M978" s="47"/>
      <c r="T978" s="47"/>
      <c r="U978" s="47"/>
      <c r="V978" s="47"/>
      <c r="W978" s="47"/>
      <c r="X978" s="47"/>
    </row>
    <row r="979">
      <c r="L979" s="183"/>
      <c r="M979" s="47"/>
      <c r="T979" s="47"/>
      <c r="U979" s="47"/>
      <c r="V979" s="47"/>
      <c r="W979" s="47"/>
      <c r="X979" s="47"/>
    </row>
    <row r="980">
      <c r="L980" s="183"/>
      <c r="M980" s="47"/>
      <c r="T980" s="47"/>
      <c r="U980" s="47"/>
      <c r="V980" s="47"/>
      <c r="W980" s="47"/>
      <c r="X980" s="47"/>
    </row>
    <row r="981">
      <c r="L981" s="183"/>
      <c r="M981" s="47"/>
      <c r="T981" s="47"/>
      <c r="U981" s="47"/>
      <c r="V981" s="47"/>
      <c r="W981" s="47"/>
      <c r="X981" s="47"/>
    </row>
    <row r="982">
      <c r="L982" s="183"/>
      <c r="M982" s="47"/>
      <c r="T982" s="47"/>
      <c r="U982" s="47"/>
      <c r="V982" s="47"/>
      <c r="W982" s="47"/>
      <c r="X982" s="47"/>
    </row>
    <row r="983">
      <c r="L983" s="183"/>
      <c r="M983" s="47"/>
      <c r="T983" s="47"/>
      <c r="U983" s="47"/>
      <c r="V983" s="47"/>
      <c r="W983" s="47"/>
      <c r="X983" s="47"/>
    </row>
    <row r="984">
      <c r="L984" s="183"/>
      <c r="M984" s="47"/>
      <c r="T984" s="47"/>
      <c r="U984" s="47"/>
      <c r="V984" s="47"/>
      <c r="W984" s="47"/>
      <c r="X984" s="47"/>
    </row>
    <row r="985">
      <c r="L985" s="183"/>
      <c r="M985" s="47"/>
      <c r="T985" s="47"/>
      <c r="U985" s="47"/>
      <c r="V985" s="47"/>
      <c r="W985" s="47"/>
      <c r="X985" s="47"/>
    </row>
    <row r="986">
      <c r="L986" s="183"/>
      <c r="M986" s="47"/>
      <c r="T986" s="47"/>
      <c r="U986" s="47"/>
      <c r="V986" s="47"/>
      <c r="W986" s="47"/>
      <c r="X986" s="47"/>
    </row>
    <row r="987">
      <c r="L987" s="183"/>
      <c r="M987" s="47"/>
      <c r="T987" s="47"/>
      <c r="U987" s="47"/>
      <c r="V987" s="47"/>
      <c r="W987" s="47"/>
      <c r="X987" s="47"/>
    </row>
    <row r="988">
      <c r="L988" s="183"/>
      <c r="M988" s="47"/>
      <c r="T988" s="47"/>
      <c r="U988" s="47"/>
      <c r="V988" s="47"/>
      <c r="W988" s="47"/>
      <c r="X988" s="47"/>
    </row>
    <row r="989">
      <c r="L989" s="183"/>
      <c r="M989" s="47"/>
      <c r="T989" s="47"/>
      <c r="U989" s="47"/>
      <c r="V989" s="47"/>
      <c r="W989" s="47"/>
      <c r="X989" s="47"/>
    </row>
    <row r="990">
      <c r="L990" s="183"/>
      <c r="M990" s="47"/>
      <c r="T990" s="47"/>
      <c r="U990" s="47"/>
      <c r="V990" s="47"/>
      <c r="W990" s="47"/>
      <c r="X990" s="47"/>
    </row>
    <row r="991">
      <c r="L991" s="183"/>
      <c r="M991" s="47"/>
      <c r="T991" s="47"/>
      <c r="U991" s="47"/>
      <c r="V991" s="47"/>
      <c r="W991" s="47"/>
      <c r="X991" s="47"/>
    </row>
    <row r="992">
      <c r="L992" s="183"/>
      <c r="M992" s="47"/>
      <c r="T992" s="47"/>
      <c r="U992" s="47"/>
      <c r="V992" s="47"/>
      <c r="W992" s="47"/>
      <c r="X992" s="47"/>
    </row>
    <row r="993">
      <c r="L993" s="183"/>
      <c r="M993" s="47"/>
      <c r="T993" s="47"/>
      <c r="U993" s="47"/>
      <c r="V993" s="47"/>
      <c r="W993" s="47"/>
      <c r="X993" s="47"/>
    </row>
    <row r="994">
      <c r="L994" s="183"/>
      <c r="M994" s="47"/>
      <c r="T994" s="47"/>
      <c r="U994" s="47"/>
      <c r="V994" s="47"/>
      <c r="W994" s="47"/>
      <c r="X994" s="47"/>
    </row>
    <row r="995">
      <c r="L995" s="183"/>
      <c r="M995" s="47"/>
      <c r="T995" s="47"/>
      <c r="U995" s="47"/>
      <c r="V995" s="47"/>
      <c r="W995" s="47"/>
      <c r="X995" s="47"/>
    </row>
    <row r="996">
      <c r="L996" s="183"/>
      <c r="M996" s="47"/>
      <c r="T996" s="47"/>
      <c r="U996" s="47"/>
      <c r="V996" s="47"/>
      <c r="W996" s="47"/>
      <c r="X996" s="47"/>
    </row>
    <row r="997">
      <c r="L997" s="183"/>
      <c r="M997" s="47"/>
      <c r="T997" s="47"/>
      <c r="U997" s="47"/>
      <c r="V997" s="47"/>
      <c r="W997" s="47"/>
      <c r="X997" s="47"/>
    </row>
    <row r="998">
      <c r="L998" s="183"/>
      <c r="M998" s="47"/>
      <c r="T998" s="47"/>
      <c r="U998" s="47"/>
      <c r="V998" s="47"/>
      <c r="W998" s="47"/>
      <c r="X998" s="47"/>
    </row>
    <row r="999">
      <c r="L999" s="183"/>
      <c r="M999" s="47"/>
      <c r="T999" s="47"/>
      <c r="U999" s="47"/>
      <c r="V999" s="47"/>
      <c r="W999" s="47"/>
      <c r="X999" s="47"/>
    </row>
    <row r="1000">
      <c r="L1000" s="183"/>
      <c r="M1000" s="47"/>
      <c r="T1000" s="47"/>
      <c r="U1000" s="47"/>
      <c r="V1000" s="47"/>
      <c r="W1000" s="47"/>
      <c r="X1000" s="47"/>
    </row>
    <row r="1001">
      <c r="L1001" s="183"/>
      <c r="M1001" s="47"/>
      <c r="T1001" s="47"/>
      <c r="U1001" s="47"/>
      <c r="V1001" s="47"/>
      <c r="W1001" s="47"/>
      <c r="X1001" s="47"/>
    </row>
    <row r="1002">
      <c r="L1002" s="183"/>
      <c r="M1002" s="47"/>
      <c r="T1002" s="47"/>
      <c r="U1002" s="47"/>
      <c r="V1002" s="47"/>
      <c r="W1002" s="47"/>
      <c r="X1002" s="47"/>
    </row>
    <row r="1003">
      <c r="L1003" s="183"/>
      <c r="M1003" s="47"/>
      <c r="T1003" s="47"/>
      <c r="U1003" s="47"/>
      <c r="V1003" s="47"/>
      <c r="W1003" s="47"/>
      <c r="X1003" s="47"/>
    </row>
    <row r="1004">
      <c r="L1004" s="183"/>
      <c r="M1004" s="47"/>
      <c r="T1004" s="47"/>
      <c r="U1004" s="47"/>
      <c r="V1004" s="47"/>
      <c r="W1004" s="47"/>
      <c r="X1004" s="47"/>
    </row>
  </sheetData>
  <mergeCells count="4">
    <mergeCell ref="S1:X1"/>
    <mergeCell ref="AA1:AF1"/>
    <mergeCell ref="A11:E11"/>
    <mergeCell ref="A12:E12"/>
  </mergeCells>
  <conditionalFormatting sqref="M2:M33 Q2:Q33">
    <cfRule type="notContainsBlanks" dxfId="5" priority="1">
      <formula>LEN(TRIM(M2))&gt;0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0"/>
    <col customWidth="1" min="3" max="3" width="4.25"/>
    <col customWidth="1" min="4" max="4" width="8.63"/>
    <col customWidth="1" min="5" max="5" width="6.63"/>
    <col customWidth="1" min="6" max="6" width="4.0"/>
    <col customWidth="1" min="7" max="17" width="5.13"/>
    <col customWidth="1" min="19" max="19" width="4.25"/>
    <col customWidth="1" min="20" max="20" width="4.63"/>
    <col customWidth="1" min="21" max="23" width="1.88"/>
    <col customWidth="1" min="24" max="25" width="2.63"/>
    <col customWidth="1" min="26" max="26" width="1.88"/>
    <col customWidth="1" min="27" max="28" width="2.63"/>
    <col customWidth="1" min="29" max="29" width="2.88"/>
    <col customWidth="1" min="30" max="30" width="2.75"/>
    <col customWidth="1" min="31" max="36" width="2.88"/>
  </cols>
  <sheetData>
    <row r="1">
      <c r="F1" s="105"/>
      <c r="G1" s="150" t="s">
        <v>67</v>
      </c>
      <c r="H1" s="150" t="s">
        <v>70</v>
      </c>
      <c r="I1" s="150" t="s">
        <v>73</v>
      </c>
      <c r="J1" s="150" t="s">
        <v>79</v>
      </c>
      <c r="K1" s="150" t="s">
        <v>88</v>
      </c>
      <c r="L1" s="150" t="s">
        <v>98</v>
      </c>
      <c r="M1" s="150" t="s">
        <v>101</v>
      </c>
      <c r="N1" s="150" t="s">
        <v>126</v>
      </c>
      <c r="O1" s="150" t="s">
        <v>132</v>
      </c>
      <c r="P1" s="150" t="s">
        <v>142</v>
      </c>
      <c r="Q1" s="150" t="s">
        <v>148</v>
      </c>
      <c r="S1" s="151"/>
      <c r="T1" s="189" t="s">
        <v>8</v>
      </c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4"/>
    </row>
    <row r="2">
      <c r="A2" s="104" t="s">
        <v>177</v>
      </c>
      <c r="B2" s="104">
        <v>33412.99</v>
      </c>
      <c r="F2" s="150" t="s">
        <v>67</v>
      </c>
      <c r="G2" s="105">
        <v>1.0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S2" s="155" t="s">
        <v>167</v>
      </c>
      <c r="T2" s="83">
        <v>1.0</v>
      </c>
      <c r="U2" s="83">
        <v>2.0</v>
      </c>
      <c r="V2" s="83">
        <v>3.0</v>
      </c>
      <c r="W2" s="83">
        <v>4.0</v>
      </c>
      <c r="X2" s="83">
        <v>5.0</v>
      </c>
      <c r="Y2" s="83">
        <v>6.0</v>
      </c>
      <c r="Z2" s="83">
        <v>7.0</v>
      </c>
      <c r="AA2" s="83">
        <v>8.0</v>
      </c>
      <c r="AB2" s="83">
        <v>9.0</v>
      </c>
      <c r="AC2" s="83">
        <v>10.0</v>
      </c>
      <c r="AD2" s="83">
        <v>11.0</v>
      </c>
      <c r="AE2" s="83">
        <v>13.0</v>
      </c>
      <c r="AF2" s="83">
        <v>14.0</v>
      </c>
      <c r="AG2" s="83">
        <v>15.0</v>
      </c>
      <c r="AH2" s="83">
        <v>16.0</v>
      </c>
      <c r="AI2" s="83">
        <v>17.0</v>
      </c>
      <c r="AJ2" s="156">
        <v>18.0</v>
      </c>
    </row>
    <row r="3">
      <c r="A3" s="104" t="s">
        <v>178</v>
      </c>
      <c r="B3" s="104">
        <v>44468.42</v>
      </c>
      <c r="F3" s="150" t="s">
        <v>70</v>
      </c>
      <c r="G3" s="105">
        <v>0.23</v>
      </c>
      <c r="H3" s="105">
        <v>1.0</v>
      </c>
      <c r="I3" s="105"/>
      <c r="J3" s="105"/>
      <c r="K3" s="105"/>
      <c r="L3" s="105"/>
      <c r="M3" s="105"/>
      <c r="N3" s="105"/>
      <c r="O3" s="105"/>
      <c r="P3" s="105"/>
      <c r="Q3" s="105"/>
      <c r="S3" s="157" t="s">
        <v>67</v>
      </c>
      <c r="W3" s="42">
        <v>1.0</v>
      </c>
      <c r="AJ3" s="85"/>
    </row>
    <row r="4">
      <c r="A4" s="104" t="s">
        <v>249</v>
      </c>
      <c r="B4" s="104">
        <v>46549.42</v>
      </c>
      <c r="F4" s="150" t="s">
        <v>73</v>
      </c>
      <c r="G4" s="105">
        <v>0.2</v>
      </c>
      <c r="H4" s="105">
        <v>0.27</v>
      </c>
      <c r="I4" s="105">
        <v>1.0</v>
      </c>
      <c r="J4" s="105"/>
      <c r="K4" s="105"/>
      <c r="L4" s="105"/>
      <c r="M4" s="105"/>
      <c r="N4" s="105"/>
      <c r="O4" s="105"/>
      <c r="P4" s="105"/>
      <c r="Q4" s="105"/>
      <c r="S4" s="157" t="s">
        <v>70</v>
      </c>
      <c r="T4" s="42">
        <v>1.0</v>
      </c>
      <c r="U4" s="42">
        <v>1.0</v>
      </c>
      <c r="X4" s="42">
        <v>1.0</v>
      </c>
      <c r="AJ4" s="85"/>
    </row>
    <row r="5">
      <c r="A5" s="104" t="s">
        <v>250</v>
      </c>
      <c r="B5" s="104">
        <v>37857.66</v>
      </c>
      <c r="F5" s="150" t="s">
        <v>79</v>
      </c>
      <c r="G5" s="105">
        <v>0.21</v>
      </c>
      <c r="H5" s="105">
        <v>0.3</v>
      </c>
      <c r="I5" s="105">
        <v>0.23</v>
      </c>
      <c r="J5" s="105">
        <v>1.0</v>
      </c>
      <c r="K5" s="105"/>
      <c r="L5" s="105"/>
      <c r="M5" s="105"/>
      <c r="N5" s="105"/>
      <c r="O5" s="105"/>
      <c r="P5" s="105"/>
      <c r="Q5" s="105"/>
      <c r="S5" s="157" t="s">
        <v>73</v>
      </c>
      <c r="V5" s="42">
        <v>1.0</v>
      </c>
      <c r="AJ5" s="85"/>
    </row>
    <row r="6">
      <c r="A6" s="160" t="s">
        <v>251</v>
      </c>
      <c r="B6" s="160">
        <v>0.0464</v>
      </c>
      <c r="F6" s="150" t="s">
        <v>88</v>
      </c>
      <c r="G6" s="105">
        <v>0.43</v>
      </c>
      <c r="H6" s="105">
        <v>0.46</v>
      </c>
      <c r="I6" s="105">
        <v>0.38</v>
      </c>
      <c r="J6" s="105">
        <v>0.55</v>
      </c>
      <c r="K6" s="105">
        <v>1.0</v>
      </c>
      <c r="L6" s="105"/>
      <c r="M6" s="105"/>
      <c r="N6" s="105"/>
      <c r="O6" s="105"/>
      <c r="P6" s="105"/>
      <c r="Q6" s="105"/>
      <c r="S6" s="157" t="s">
        <v>79</v>
      </c>
      <c r="Y6" s="89">
        <v>1.0</v>
      </c>
      <c r="Z6" s="42">
        <v>1.0</v>
      </c>
      <c r="AJ6" s="85"/>
    </row>
    <row r="7">
      <c r="F7" s="150" t="s">
        <v>98</v>
      </c>
      <c r="G7" s="105">
        <v>0.14</v>
      </c>
      <c r="H7" s="105">
        <v>0.27</v>
      </c>
      <c r="I7" s="105">
        <v>0.15</v>
      </c>
      <c r="J7" s="105">
        <v>0.1</v>
      </c>
      <c r="K7" s="105">
        <v>0.32</v>
      </c>
      <c r="L7" s="105">
        <v>1.0</v>
      </c>
      <c r="M7" s="105"/>
      <c r="N7" s="105"/>
      <c r="O7" s="105"/>
      <c r="P7" s="105"/>
      <c r="Q7" s="105"/>
      <c r="S7" s="161" t="s">
        <v>88</v>
      </c>
      <c r="AA7" s="42">
        <v>1.0</v>
      </c>
      <c r="AB7" s="42">
        <v>1.0</v>
      </c>
      <c r="AC7" s="42">
        <v>1.0</v>
      </c>
      <c r="AD7" s="42">
        <v>1.0</v>
      </c>
      <c r="AJ7" s="85"/>
    </row>
    <row r="8">
      <c r="F8" s="150" t="s">
        <v>101</v>
      </c>
      <c r="G8" s="105">
        <v>0.26</v>
      </c>
      <c r="H8" s="105">
        <v>0.21</v>
      </c>
      <c r="I8" s="105">
        <v>0.18</v>
      </c>
      <c r="J8" s="105">
        <v>0.19</v>
      </c>
      <c r="K8" s="105">
        <v>0.51</v>
      </c>
      <c r="L8" s="105">
        <v>0.14</v>
      </c>
      <c r="M8" s="105">
        <v>1.0</v>
      </c>
      <c r="N8" s="105"/>
      <c r="O8" s="105"/>
      <c r="P8" s="105"/>
      <c r="Q8" s="105"/>
      <c r="S8" s="162" t="s">
        <v>98</v>
      </c>
      <c r="AE8" s="42">
        <v>1.0</v>
      </c>
      <c r="AG8" s="42">
        <v>1.0</v>
      </c>
      <c r="AJ8" s="85"/>
    </row>
    <row r="9">
      <c r="F9" s="150" t="s">
        <v>126</v>
      </c>
      <c r="G9" s="105">
        <v>0.1</v>
      </c>
      <c r="H9" s="105">
        <v>0.19</v>
      </c>
      <c r="I9" s="105">
        <v>0.08</v>
      </c>
      <c r="J9" s="105">
        <v>0.13</v>
      </c>
      <c r="K9" s="105">
        <v>0.38</v>
      </c>
      <c r="L9" s="105">
        <v>0.23</v>
      </c>
      <c r="M9" s="105">
        <v>0.09</v>
      </c>
      <c r="N9" s="105">
        <v>1.0</v>
      </c>
      <c r="O9" s="105"/>
      <c r="P9" s="105"/>
      <c r="Q9" s="105"/>
      <c r="S9" s="162" t="s">
        <v>101</v>
      </c>
      <c r="AH9" s="42">
        <v>1.0</v>
      </c>
      <c r="AJ9" s="85"/>
    </row>
    <row r="10">
      <c r="F10" s="150" t="s">
        <v>132</v>
      </c>
      <c r="G10" s="105">
        <v>0.14</v>
      </c>
      <c r="H10" s="105">
        <v>0.23</v>
      </c>
      <c r="I10" s="105">
        <v>0.22</v>
      </c>
      <c r="J10" s="105">
        <v>-0.21</v>
      </c>
      <c r="K10" s="105">
        <v>0.21</v>
      </c>
      <c r="L10" s="105">
        <v>0.2</v>
      </c>
      <c r="M10" s="105">
        <v>0.12</v>
      </c>
      <c r="N10" s="105">
        <v>0.08</v>
      </c>
      <c r="O10" s="105">
        <v>1.0</v>
      </c>
      <c r="P10" s="105"/>
      <c r="Q10" s="105"/>
      <c r="S10" s="163" t="s">
        <v>126</v>
      </c>
      <c r="AF10" s="42">
        <v>1.0</v>
      </c>
      <c r="AJ10" s="85"/>
    </row>
    <row r="11">
      <c r="F11" s="150" t="s">
        <v>142</v>
      </c>
      <c r="G11" s="105">
        <v>0.11</v>
      </c>
      <c r="H11" s="105">
        <v>0.22</v>
      </c>
      <c r="I11" s="105">
        <v>0.09</v>
      </c>
      <c r="J11" s="105">
        <v>0.1</v>
      </c>
      <c r="K11" s="105">
        <v>0.12</v>
      </c>
      <c r="L11" s="105">
        <v>0.08</v>
      </c>
      <c r="M11" s="105">
        <v>0.1</v>
      </c>
      <c r="N11" s="105">
        <v>0.07</v>
      </c>
      <c r="O11" s="105">
        <v>0.17</v>
      </c>
      <c r="P11" s="105">
        <v>1.0</v>
      </c>
      <c r="Q11" s="105"/>
      <c r="S11" s="163" t="s">
        <v>132</v>
      </c>
      <c r="Y11" s="42">
        <v>1.0</v>
      </c>
      <c r="AJ11" s="85"/>
    </row>
    <row r="12">
      <c r="F12" s="150" t="s">
        <v>148</v>
      </c>
      <c r="G12" s="105">
        <v>0.13</v>
      </c>
      <c r="H12" s="105">
        <v>0.33</v>
      </c>
      <c r="I12" s="105">
        <v>0.31</v>
      </c>
      <c r="J12" s="105">
        <v>0.3</v>
      </c>
      <c r="K12" s="105">
        <v>0.47</v>
      </c>
      <c r="L12" s="105">
        <v>0.16</v>
      </c>
      <c r="M12" s="105">
        <v>0.3</v>
      </c>
      <c r="N12" s="105">
        <v>0.15</v>
      </c>
      <c r="O12" s="105">
        <v>0.2</v>
      </c>
      <c r="P12" s="105">
        <v>0.12</v>
      </c>
      <c r="Q12" s="105">
        <v>1.0</v>
      </c>
      <c r="S12" s="190" t="s">
        <v>142</v>
      </c>
      <c r="AJ12" s="158">
        <v>1.0</v>
      </c>
    </row>
    <row r="13">
      <c r="S13" s="164" t="s">
        <v>148</v>
      </c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2">
        <v>1.0</v>
      </c>
      <c r="AJ13" s="96"/>
    </row>
    <row r="14">
      <c r="A14" s="105"/>
      <c r="B14" s="165" t="s">
        <v>252</v>
      </c>
      <c r="C14" s="165" t="s">
        <v>253</v>
      </c>
      <c r="D14" s="143" t="s">
        <v>271</v>
      </c>
      <c r="E14" s="165" t="s">
        <v>255</v>
      </c>
      <c r="G14" s="150" t="s">
        <v>67</v>
      </c>
      <c r="H14" s="150" t="s">
        <v>70</v>
      </c>
      <c r="I14" s="150" t="s">
        <v>73</v>
      </c>
      <c r="J14" s="150" t="s">
        <v>79</v>
      </c>
      <c r="K14" s="150" t="s">
        <v>88</v>
      </c>
      <c r="L14" s="150" t="s">
        <v>98</v>
      </c>
      <c r="M14" s="150" t="s">
        <v>101</v>
      </c>
      <c r="N14" s="150" t="s">
        <v>126</v>
      </c>
      <c r="O14" s="150" t="s">
        <v>132</v>
      </c>
      <c r="P14" s="150" t="s">
        <v>142</v>
      </c>
      <c r="Q14" s="150" t="s">
        <v>148</v>
      </c>
      <c r="S14" s="114"/>
    </row>
    <row r="15">
      <c r="A15" s="165">
        <v>1.0</v>
      </c>
      <c r="B15" s="166">
        <v>0.0989</v>
      </c>
      <c r="C15" s="172">
        <v>0.8197</v>
      </c>
      <c r="D15" s="166">
        <v>0.0097</v>
      </c>
      <c r="E15" s="166">
        <v>0.0182</v>
      </c>
      <c r="G15" s="167">
        <v>0.9999</v>
      </c>
      <c r="H15" s="167">
        <v>0.9999</v>
      </c>
      <c r="I15" s="167">
        <v>0.9999</v>
      </c>
      <c r="J15" s="167">
        <v>0.9934</v>
      </c>
      <c r="K15" s="167">
        <v>0.937</v>
      </c>
      <c r="L15" s="167">
        <v>0.9999</v>
      </c>
      <c r="M15" s="167">
        <v>0.9999</v>
      </c>
      <c r="N15" s="167">
        <v>0.9999</v>
      </c>
      <c r="O15" s="191">
        <v>0.7497</v>
      </c>
      <c r="P15" s="167">
        <v>0.9999</v>
      </c>
      <c r="Q15" s="167">
        <v>0.9999</v>
      </c>
      <c r="S15" s="114"/>
    </row>
    <row r="16">
      <c r="A16" s="165">
        <v>2.0</v>
      </c>
      <c r="B16" s="192">
        <v>1.0E-4</v>
      </c>
      <c r="C16" s="166">
        <v>1.0E-4</v>
      </c>
      <c r="D16" s="166">
        <v>0.0211</v>
      </c>
      <c r="E16" s="166">
        <v>0.0446</v>
      </c>
      <c r="S16" s="116"/>
      <c r="T16" s="105">
        <v>1.0</v>
      </c>
      <c r="U16" s="105">
        <v>2.0</v>
      </c>
      <c r="V16" s="105">
        <v>3.0</v>
      </c>
      <c r="W16" s="105">
        <v>4.0</v>
      </c>
      <c r="X16" s="105">
        <v>5.0</v>
      </c>
      <c r="Y16" s="105">
        <v>6.0</v>
      </c>
      <c r="Z16" s="105">
        <v>7.0</v>
      </c>
      <c r="AA16" s="105">
        <v>8.0</v>
      </c>
      <c r="AB16" s="105">
        <v>9.0</v>
      </c>
      <c r="AC16" s="105">
        <v>10.0</v>
      </c>
      <c r="AD16" s="105">
        <v>11.0</v>
      </c>
      <c r="AE16" s="105">
        <v>12.0</v>
      </c>
      <c r="AF16" s="105">
        <v>13.0</v>
      </c>
      <c r="AG16" s="105">
        <v>14.0</v>
      </c>
      <c r="AH16" s="105">
        <v>15.0</v>
      </c>
      <c r="AI16" s="105">
        <v>16.0</v>
      </c>
      <c r="AJ16" s="105">
        <v>17.0</v>
      </c>
    </row>
    <row r="17">
      <c r="A17" s="165">
        <v>3.0</v>
      </c>
      <c r="B17" s="192">
        <v>1.0E-4</v>
      </c>
      <c r="C17" s="166">
        <v>1.0E-4</v>
      </c>
      <c r="D17" s="166">
        <v>0.042</v>
      </c>
      <c r="E17" s="166">
        <v>0.0323</v>
      </c>
      <c r="G17" s="170" t="s">
        <v>272</v>
      </c>
      <c r="S17" s="171" t="s">
        <v>67</v>
      </c>
      <c r="T17" s="107" t="s">
        <v>174</v>
      </c>
      <c r="U17" s="107">
        <v>0.0</v>
      </c>
      <c r="V17" s="107">
        <v>0.0</v>
      </c>
      <c r="W17" s="107">
        <v>1.0</v>
      </c>
      <c r="X17" s="107" t="s">
        <v>174</v>
      </c>
      <c r="Y17" s="107" t="s">
        <v>174</v>
      </c>
      <c r="Z17" s="107">
        <v>0.0</v>
      </c>
      <c r="AA17" s="107" t="s">
        <v>174</v>
      </c>
      <c r="AB17" s="107" t="s">
        <v>174</v>
      </c>
      <c r="AC17" s="107" t="s">
        <v>174</v>
      </c>
      <c r="AD17" s="107" t="s">
        <v>174</v>
      </c>
      <c r="AE17" s="107" t="s">
        <v>174</v>
      </c>
      <c r="AF17" s="107">
        <v>0.0</v>
      </c>
      <c r="AG17" s="107">
        <v>0.0</v>
      </c>
      <c r="AH17" s="107">
        <v>0.0</v>
      </c>
      <c r="AI17" s="107">
        <v>0.0</v>
      </c>
      <c r="AJ17" s="107">
        <v>0.0</v>
      </c>
    </row>
    <row r="18">
      <c r="A18" s="165">
        <v>4.0</v>
      </c>
      <c r="B18" s="192">
        <v>1.0E-4</v>
      </c>
      <c r="C18" s="166">
        <v>1.0E-4</v>
      </c>
      <c r="D18" s="166">
        <v>0.0258</v>
      </c>
      <c r="E18" s="166">
        <v>0.0414</v>
      </c>
      <c r="G18" s="170" t="s">
        <v>273</v>
      </c>
      <c r="S18" s="171" t="s">
        <v>70</v>
      </c>
      <c r="T18" s="107">
        <v>1.0</v>
      </c>
      <c r="U18" s="107">
        <v>1.0</v>
      </c>
      <c r="V18" s="107">
        <v>0.0</v>
      </c>
      <c r="W18" s="107">
        <v>0.0</v>
      </c>
      <c r="X18" s="107">
        <v>1.0</v>
      </c>
      <c r="Y18" s="107" t="s">
        <v>174</v>
      </c>
      <c r="Z18" s="107">
        <v>0.0</v>
      </c>
      <c r="AA18" s="107" t="s">
        <v>174</v>
      </c>
      <c r="AB18" s="107" t="s">
        <v>174</v>
      </c>
      <c r="AC18" s="107" t="s">
        <v>174</v>
      </c>
      <c r="AD18" s="107" t="s">
        <v>174</v>
      </c>
      <c r="AE18" s="107" t="s">
        <v>174</v>
      </c>
      <c r="AF18" s="107">
        <v>0.0</v>
      </c>
      <c r="AG18" s="107">
        <v>0.0</v>
      </c>
      <c r="AH18" s="107">
        <v>0.0</v>
      </c>
      <c r="AI18" s="107">
        <v>0.0</v>
      </c>
      <c r="AJ18" s="107">
        <v>0.0</v>
      </c>
    </row>
    <row r="19">
      <c r="A19" s="165">
        <v>5.0</v>
      </c>
      <c r="B19" s="174">
        <v>0.5302</v>
      </c>
      <c r="C19" s="172">
        <v>0.4447</v>
      </c>
      <c r="D19" s="166">
        <v>0.0162</v>
      </c>
      <c r="E19" s="166">
        <v>0.0231</v>
      </c>
      <c r="S19" s="171" t="s">
        <v>73</v>
      </c>
      <c r="T19" s="107" t="s">
        <v>174</v>
      </c>
      <c r="U19" s="107">
        <v>0.0</v>
      </c>
      <c r="V19" s="107">
        <v>1.0</v>
      </c>
      <c r="W19" s="107">
        <v>0.0</v>
      </c>
      <c r="X19" s="107" t="s">
        <v>174</v>
      </c>
      <c r="Y19" s="107" t="s">
        <v>174</v>
      </c>
      <c r="Z19" s="107">
        <v>0.0</v>
      </c>
      <c r="AA19" s="107" t="s">
        <v>174</v>
      </c>
      <c r="AB19" s="107" t="s">
        <v>174</v>
      </c>
      <c r="AC19" s="107" t="s">
        <v>174</v>
      </c>
      <c r="AD19" s="107" t="s">
        <v>174</v>
      </c>
      <c r="AE19" s="107" t="s">
        <v>174</v>
      </c>
      <c r="AF19" s="107">
        <v>0.0</v>
      </c>
      <c r="AG19" s="107">
        <v>0.0</v>
      </c>
      <c r="AH19" s="107">
        <v>0.0</v>
      </c>
      <c r="AI19" s="107">
        <v>0.0</v>
      </c>
      <c r="AJ19" s="107">
        <v>0.0</v>
      </c>
    </row>
    <row r="20">
      <c r="A20" s="165">
        <v>6.0</v>
      </c>
      <c r="B20" s="192">
        <v>0.284</v>
      </c>
      <c r="C20" s="166">
        <v>1.0E-4</v>
      </c>
      <c r="D20" s="166">
        <v>0.0148</v>
      </c>
      <c r="E20" s="166">
        <v>0.0389</v>
      </c>
      <c r="G20" s="114"/>
      <c r="S20" s="171" t="s">
        <v>79</v>
      </c>
      <c r="T20" s="107" t="s">
        <v>174</v>
      </c>
      <c r="U20" s="107">
        <v>0.0</v>
      </c>
      <c r="V20" s="107">
        <v>0.0</v>
      </c>
      <c r="W20" s="107">
        <v>0.0</v>
      </c>
      <c r="X20" s="107" t="s">
        <v>174</v>
      </c>
      <c r="Y20" s="107">
        <v>1.0</v>
      </c>
      <c r="Z20" s="107">
        <v>1.0</v>
      </c>
      <c r="AA20" s="107" t="s">
        <v>174</v>
      </c>
      <c r="AB20" s="107" t="s">
        <v>174</v>
      </c>
      <c r="AC20" s="107" t="s">
        <v>174</v>
      </c>
      <c r="AD20" s="107" t="s">
        <v>174</v>
      </c>
      <c r="AE20" s="107" t="s">
        <v>174</v>
      </c>
      <c r="AF20" s="107">
        <v>0.0</v>
      </c>
      <c r="AG20" s="107">
        <v>0.0</v>
      </c>
      <c r="AH20" s="107">
        <v>0.0</v>
      </c>
      <c r="AI20" s="107">
        <v>0.0</v>
      </c>
      <c r="AJ20" s="107">
        <v>0.0</v>
      </c>
    </row>
    <row r="21">
      <c r="A21" s="165">
        <v>7.0</v>
      </c>
      <c r="B21" s="192">
        <v>1.0E-4</v>
      </c>
      <c r="C21" s="166">
        <v>0.013</v>
      </c>
      <c r="D21" s="166">
        <v>0.0288</v>
      </c>
      <c r="E21" s="166">
        <v>0.0106</v>
      </c>
      <c r="R21" s="114"/>
      <c r="S21" s="173" t="s">
        <v>88</v>
      </c>
      <c r="T21" s="107" t="s">
        <v>174</v>
      </c>
      <c r="U21" s="107">
        <v>0.0</v>
      </c>
      <c r="V21" s="107">
        <v>0.0</v>
      </c>
      <c r="W21" s="107">
        <v>0.0</v>
      </c>
      <c r="X21" s="107" t="s">
        <v>174</v>
      </c>
      <c r="Y21" s="107">
        <v>0.0</v>
      </c>
      <c r="Z21" s="107">
        <v>0.0</v>
      </c>
      <c r="AA21" s="107">
        <v>1.0</v>
      </c>
      <c r="AB21" s="107">
        <v>1.0</v>
      </c>
      <c r="AC21" s="107">
        <v>1.0</v>
      </c>
      <c r="AD21" s="107">
        <v>1.0</v>
      </c>
      <c r="AE21" s="107" t="s">
        <v>174</v>
      </c>
      <c r="AF21" s="107">
        <v>0.0</v>
      </c>
      <c r="AG21" s="107">
        <v>0.0</v>
      </c>
      <c r="AH21" s="107">
        <v>0.0</v>
      </c>
      <c r="AI21" s="107">
        <v>0.0</v>
      </c>
      <c r="AJ21" s="107">
        <v>0.0</v>
      </c>
    </row>
    <row r="22">
      <c r="A22" s="165">
        <v>8.0</v>
      </c>
      <c r="B22" s="174">
        <v>0.3493</v>
      </c>
      <c r="C22" s="166">
        <v>0.2453</v>
      </c>
      <c r="D22" s="166">
        <v>0.0169</v>
      </c>
      <c r="E22" s="166">
        <v>0.0201</v>
      </c>
      <c r="R22" s="114"/>
      <c r="S22" s="175" t="s">
        <v>98</v>
      </c>
      <c r="T22" s="107" t="s">
        <v>174</v>
      </c>
      <c r="U22" s="107">
        <v>0.0</v>
      </c>
      <c r="V22" s="107">
        <v>0.0</v>
      </c>
      <c r="W22" s="107">
        <v>0.0</v>
      </c>
      <c r="X22" s="107" t="s">
        <v>174</v>
      </c>
      <c r="Y22" s="107" t="s">
        <v>174</v>
      </c>
      <c r="Z22" s="107">
        <v>0.0</v>
      </c>
      <c r="AA22" s="107" t="s">
        <v>174</v>
      </c>
      <c r="AB22" s="107" t="s">
        <v>174</v>
      </c>
      <c r="AC22" s="107" t="s">
        <v>174</v>
      </c>
      <c r="AD22" s="107" t="s">
        <v>174</v>
      </c>
      <c r="AE22" s="107">
        <v>1.0</v>
      </c>
      <c r="AF22" s="107">
        <v>0.0</v>
      </c>
      <c r="AG22" s="107">
        <v>1.0</v>
      </c>
      <c r="AH22" s="107">
        <v>0.0</v>
      </c>
      <c r="AI22" s="107">
        <v>0.0</v>
      </c>
      <c r="AJ22" s="107">
        <v>0.0</v>
      </c>
    </row>
    <row r="23">
      <c r="A23" s="165">
        <v>9.0</v>
      </c>
      <c r="B23" s="174">
        <v>0.3792</v>
      </c>
      <c r="C23" s="166">
        <v>0.1977</v>
      </c>
      <c r="D23" s="166">
        <v>0.0172</v>
      </c>
      <c r="E23" s="166">
        <v>0.0193</v>
      </c>
      <c r="R23" s="114"/>
      <c r="S23" s="175" t="s">
        <v>101</v>
      </c>
      <c r="T23" s="107" t="s">
        <v>174</v>
      </c>
      <c r="U23" s="107">
        <v>0.0</v>
      </c>
      <c r="V23" s="107">
        <v>0.0</v>
      </c>
      <c r="W23" s="107">
        <v>0.0</v>
      </c>
      <c r="X23" s="107" t="s">
        <v>174</v>
      </c>
      <c r="Y23" s="107" t="s">
        <v>174</v>
      </c>
      <c r="Z23" s="107">
        <v>0.0</v>
      </c>
      <c r="AA23" s="107" t="s">
        <v>174</v>
      </c>
      <c r="AB23" s="107" t="s">
        <v>174</v>
      </c>
      <c r="AC23" s="107" t="s">
        <v>174</v>
      </c>
      <c r="AD23" s="107" t="s">
        <v>174</v>
      </c>
      <c r="AE23" s="107" t="s">
        <v>174</v>
      </c>
      <c r="AF23" s="107">
        <v>0.0</v>
      </c>
      <c r="AG23" s="107">
        <v>0.0</v>
      </c>
      <c r="AH23" s="107">
        <v>1.0</v>
      </c>
      <c r="AI23" s="107">
        <v>0.0</v>
      </c>
      <c r="AJ23" s="107">
        <v>0.0</v>
      </c>
    </row>
    <row r="24">
      <c r="A24" s="165">
        <v>10.0</v>
      </c>
      <c r="B24" s="192">
        <v>0.2233</v>
      </c>
      <c r="C24" s="166">
        <v>0.1665</v>
      </c>
      <c r="D24" s="166">
        <v>0.0155</v>
      </c>
      <c r="E24" s="166">
        <v>0.0187</v>
      </c>
      <c r="R24" s="114"/>
      <c r="S24" s="176" t="s">
        <v>126</v>
      </c>
      <c r="T24" s="107" t="s">
        <v>174</v>
      </c>
      <c r="U24" s="107">
        <v>0.0</v>
      </c>
      <c r="V24" s="107">
        <v>0.0</v>
      </c>
      <c r="W24" s="107">
        <v>0.0</v>
      </c>
      <c r="X24" s="107" t="s">
        <v>174</v>
      </c>
      <c r="Y24" s="107" t="s">
        <v>174</v>
      </c>
      <c r="Z24" s="107">
        <v>0.0</v>
      </c>
      <c r="AA24" s="107" t="s">
        <v>174</v>
      </c>
      <c r="AB24" s="107" t="s">
        <v>174</v>
      </c>
      <c r="AC24" s="107" t="s">
        <v>174</v>
      </c>
      <c r="AD24" s="107" t="s">
        <v>174</v>
      </c>
      <c r="AE24" s="107" t="s">
        <v>174</v>
      </c>
      <c r="AF24" s="107">
        <v>1.0</v>
      </c>
      <c r="AG24" s="107">
        <v>0.0</v>
      </c>
      <c r="AH24" s="107">
        <v>0.0</v>
      </c>
      <c r="AI24" s="107">
        <v>0.0</v>
      </c>
      <c r="AJ24" s="107">
        <v>0.0</v>
      </c>
    </row>
    <row r="25">
      <c r="A25" s="165">
        <v>11.0</v>
      </c>
      <c r="B25" s="192">
        <v>0.1574</v>
      </c>
      <c r="C25" s="172">
        <v>0.4881</v>
      </c>
      <c r="D25" s="166">
        <v>0.013</v>
      </c>
      <c r="E25" s="166">
        <v>0.0231</v>
      </c>
      <c r="R25" s="114"/>
      <c r="S25" s="176" t="s">
        <v>132</v>
      </c>
      <c r="T25" s="107" t="s">
        <v>174</v>
      </c>
      <c r="U25" s="107">
        <v>0.0</v>
      </c>
      <c r="V25" s="107">
        <v>0.0</v>
      </c>
      <c r="W25" s="107">
        <v>0.0</v>
      </c>
      <c r="X25" s="107" t="s">
        <v>174</v>
      </c>
      <c r="Y25" s="107">
        <v>1.0</v>
      </c>
      <c r="Z25" s="107">
        <v>0.0</v>
      </c>
      <c r="AA25" s="107">
        <v>0.0</v>
      </c>
      <c r="AB25" s="107">
        <v>0.0</v>
      </c>
      <c r="AC25" s="107">
        <v>0.0</v>
      </c>
      <c r="AD25" s="107" t="s">
        <v>174</v>
      </c>
      <c r="AE25" s="107" t="s">
        <v>174</v>
      </c>
      <c r="AF25" s="107">
        <v>0.0</v>
      </c>
      <c r="AG25" s="107">
        <v>0.0</v>
      </c>
      <c r="AH25" s="107">
        <v>0.0</v>
      </c>
      <c r="AI25" s="107">
        <v>0.0</v>
      </c>
      <c r="AJ25" s="107">
        <v>0.0</v>
      </c>
    </row>
    <row r="26">
      <c r="A26" s="165">
        <v>12.0</v>
      </c>
      <c r="B26" s="192">
        <v>0.1369</v>
      </c>
      <c r="C26" s="172">
        <v>0.8297</v>
      </c>
      <c r="D26" s="166">
        <v>0.0106</v>
      </c>
      <c r="E26" s="166">
        <v>0.0188</v>
      </c>
      <c r="R26" s="114"/>
      <c r="S26" s="177" t="s">
        <v>142</v>
      </c>
      <c r="T26" s="107" t="s">
        <v>174</v>
      </c>
      <c r="U26" s="107">
        <v>0.0</v>
      </c>
      <c r="V26" s="107">
        <v>0.0</v>
      </c>
      <c r="W26" s="107">
        <v>0.0</v>
      </c>
      <c r="X26" s="107" t="s">
        <v>174</v>
      </c>
      <c r="Y26" s="107" t="s">
        <v>174</v>
      </c>
      <c r="Z26" s="107">
        <v>0.0</v>
      </c>
      <c r="AA26" s="107" t="s">
        <v>174</v>
      </c>
      <c r="AB26" s="107" t="s">
        <v>174</v>
      </c>
      <c r="AC26" s="107" t="s">
        <v>174</v>
      </c>
      <c r="AD26" s="107" t="s">
        <v>174</v>
      </c>
      <c r="AE26" s="107" t="s">
        <v>174</v>
      </c>
      <c r="AF26" s="107">
        <v>0.0</v>
      </c>
      <c r="AG26" s="107">
        <v>0.0</v>
      </c>
      <c r="AH26" s="107">
        <v>0.0</v>
      </c>
      <c r="AI26" s="107">
        <v>0.0</v>
      </c>
      <c r="AJ26" s="107">
        <v>1.0</v>
      </c>
    </row>
    <row r="27">
      <c r="A27" s="165">
        <v>13.0</v>
      </c>
      <c r="B27" s="192">
        <v>1.0E-4</v>
      </c>
      <c r="C27" s="166">
        <v>1.0E-4</v>
      </c>
      <c r="D27" s="166">
        <v>0.0299</v>
      </c>
      <c r="E27" s="166">
        <v>0.0489</v>
      </c>
      <c r="R27" s="114"/>
      <c r="S27" s="177" t="s">
        <v>148</v>
      </c>
      <c r="T27" s="193" t="s">
        <v>174</v>
      </c>
      <c r="U27" s="193">
        <v>0.0</v>
      </c>
      <c r="V27" s="193">
        <v>0.0</v>
      </c>
      <c r="W27" s="193">
        <v>0.0</v>
      </c>
      <c r="X27" s="193" t="s">
        <v>174</v>
      </c>
      <c r="Y27" s="193" t="s">
        <v>174</v>
      </c>
      <c r="Z27" s="193">
        <v>0.0</v>
      </c>
      <c r="AA27" s="193" t="s">
        <v>174</v>
      </c>
      <c r="AB27" s="193" t="s">
        <v>174</v>
      </c>
      <c r="AC27" s="193" t="s">
        <v>174</v>
      </c>
      <c r="AD27" s="193" t="s">
        <v>174</v>
      </c>
      <c r="AE27" s="193" t="s">
        <v>174</v>
      </c>
      <c r="AF27" s="193">
        <v>0.0</v>
      </c>
      <c r="AG27" s="193">
        <v>0.0</v>
      </c>
      <c r="AH27" s="193">
        <v>0.0</v>
      </c>
      <c r="AI27" s="107">
        <v>1.0</v>
      </c>
      <c r="AJ27" s="107">
        <v>0.0</v>
      </c>
    </row>
    <row r="28">
      <c r="A28" s="165">
        <v>14.0</v>
      </c>
      <c r="B28" s="166">
        <v>1.0E-4</v>
      </c>
      <c r="C28" s="166">
        <v>1.0E-4</v>
      </c>
      <c r="D28" s="166">
        <v>0.0211</v>
      </c>
      <c r="E28" s="166">
        <v>0.0508</v>
      </c>
      <c r="R28" s="114"/>
    </row>
    <row r="29">
      <c r="A29" s="165">
        <v>15.0</v>
      </c>
      <c r="B29" s="166">
        <v>1.0E-4</v>
      </c>
      <c r="C29" s="166">
        <v>1.0E-4</v>
      </c>
      <c r="D29" s="166">
        <v>0.0491</v>
      </c>
      <c r="E29" s="166">
        <v>0.0301</v>
      </c>
      <c r="R29" s="114"/>
    </row>
    <row r="30">
      <c r="A30" s="165">
        <v>16.0</v>
      </c>
      <c r="B30" s="166">
        <v>1.0E-4</v>
      </c>
      <c r="C30" s="166">
        <v>1.0E-4</v>
      </c>
      <c r="D30" s="166">
        <v>0.0238</v>
      </c>
      <c r="E30" s="166">
        <v>0.0373</v>
      </c>
      <c r="R30" s="114"/>
    </row>
    <row r="31">
      <c r="A31" s="165">
        <v>17.0</v>
      </c>
      <c r="B31" s="166">
        <v>1.0E-4</v>
      </c>
      <c r="C31" s="166">
        <v>1.0E-4</v>
      </c>
      <c r="D31" s="166">
        <v>0.0177</v>
      </c>
      <c r="E31" s="166">
        <v>0.0709</v>
      </c>
      <c r="R31" s="114"/>
    </row>
    <row r="32">
      <c r="B32" s="124"/>
      <c r="C32" s="124"/>
      <c r="D32" s="124"/>
      <c r="E32" s="124"/>
      <c r="R32" s="114"/>
    </row>
    <row r="33">
      <c r="B33" s="124"/>
      <c r="C33" s="124"/>
      <c r="D33" s="124"/>
      <c r="E33" s="124"/>
      <c r="R33" s="114"/>
    </row>
    <row r="34">
      <c r="B34" s="124"/>
      <c r="C34" s="124"/>
      <c r="D34" s="124"/>
      <c r="E34" s="124"/>
      <c r="R34" s="114"/>
    </row>
    <row r="35">
      <c r="B35" s="124"/>
      <c r="C35" s="124"/>
      <c r="D35" s="124"/>
      <c r="E35" s="124"/>
      <c r="R35" s="114"/>
    </row>
    <row r="36">
      <c r="B36" s="124"/>
      <c r="C36" s="124"/>
      <c r="D36" s="124"/>
      <c r="E36" s="124"/>
    </row>
  </sheetData>
  <mergeCells count="3">
    <mergeCell ref="T1:AJ1"/>
    <mergeCell ref="G17:Q17"/>
    <mergeCell ref="G18:Q18"/>
  </mergeCells>
  <conditionalFormatting sqref="G2:Q12">
    <cfRule type="cellIs" dxfId="3" priority="1" operator="between">
      <formula>0.99</formula>
      <formula>0.3</formula>
    </cfRule>
  </conditionalFormatting>
  <conditionalFormatting sqref="T17:AJ27">
    <cfRule type="expression" dxfId="3" priority="2">
      <formula>regexmatch(T17,"\*")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0"/>
    <col customWidth="1" min="3" max="3" width="8.5"/>
    <col customWidth="1" min="4" max="4" width="10.88"/>
    <col customWidth="1" min="5" max="5" width="6.63"/>
    <col customWidth="1" min="6" max="10" width="5.13"/>
    <col customWidth="1" min="11" max="11" width="11.5"/>
    <col customWidth="1" min="12" max="12" width="5.13"/>
    <col customWidth="1" min="13" max="13" width="8.25"/>
    <col customWidth="1" min="14" max="14" width="4.63"/>
    <col customWidth="1" min="15" max="19" width="6.13"/>
    <col customWidth="1" min="20" max="20" width="2.63"/>
    <col customWidth="1" min="21" max="21" width="2.88"/>
    <col customWidth="1" min="22" max="27" width="6.5"/>
    <col customWidth="1" min="28" max="35" width="2.88"/>
  </cols>
  <sheetData>
    <row r="1">
      <c r="D1" s="105"/>
      <c r="E1" s="126" t="s">
        <v>169</v>
      </c>
      <c r="F1" s="126" t="s">
        <v>170</v>
      </c>
      <c r="G1" s="126" t="s">
        <v>171</v>
      </c>
      <c r="H1" s="126" t="s">
        <v>172</v>
      </c>
      <c r="I1" s="126" t="s">
        <v>173</v>
      </c>
      <c r="K1" s="126" t="s">
        <v>184</v>
      </c>
      <c r="L1" s="127" t="s">
        <v>185</v>
      </c>
      <c r="N1" s="101" t="s">
        <v>8</v>
      </c>
      <c r="V1" s="101" t="s">
        <v>274</v>
      </c>
    </row>
    <row r="2">
      <c r="A2" s="104" t="s">
        <v>177</v>
      </c>
      <c r="B2" s="104">
        <v>29649.94</v>
      </c>
      <c r="D2" s="126" t="s">
        <v>169</v>
      </c>
      <c r="E2" s="105">
        <v>1.0</v>
      </c>
      <c r="F2" s="105"/>
      <c r="G2" s="105"/>
      <c r="H2" s="105"/>
      <c r="I2" s="105"/>
      <c r="K2" s="130" t="s">
        <v>188</v>
      </c>
      <c r="L2" s="146">
        <v>0.79476423</v>
      </c>
      <c r="N2" s="102" t="s">
        <v>167</v>
      </c>
      <c r="O2" s="102" t="s">
        <v>169</v>
      </c>
      <c r="P2" s="102" t="s">
        <v>170</v>
      </c>
      <c r="Q2" s="102" t="s">
        <v>171</v>
      </c>
      <c r="R2" s="102" t="s">
        <v>172</v>
      </c>
      <c r="S2" s="102" t="s">
        <v>173</v>
      </c>
      <c r="V2" s="102" t="s">
        <v>167</v>
      </c>
      <c r="W2" s="102" t="s">
        <v>169</v>
      </c>
      <c r="X2" s="102" t="s">
        <v>170</v>
      </c>
      <c r="Y2" s="102" t="s">
        <v>171</v>
      </c>
      <c r="Z2" s="102" t="s">
        <v>172</v>
      </c>
      <c r="AA2" s="102" t="s">
        <v>173</v>
      </c>
    </row>
    <row r="3">
      <c r="A3" s="104" t="s">
        <v>178</v>
      </c>
      <c r="B3" s="104">
        <v>30058.68</v>
      </c>
      <c r="D3" s="126" t="s">
        <v>170</v>
      </c>
      <c r="E3" s="178">
        <v>0.95</v>
      </c>
      <c r="F3" s="105">
        <v>1.0</v>
      </c>
      <c r="G3" s="105"/>
      <c r="H3" s="105"/>
      <c r="I3" s="105"/>
      <c r="K3" s="130" t="s">
        <v>232</v>
      </c>
      <c r="L3" s="136">
        <v>0.0</v>
      </c>
      <c r="N3" s="105">
        <v>1.0</v>
      </c>
      <c r="O3" s="106">
        <v>1.0</v>
      </c>
      <c r="P3" s="107">
        <v>0.0</v>
      </c>
      <c r="Q3" s="107">
        <v>0.0</v>
      </c>
      <c r="R3" s="107">
        <v>0.0</v>
      </c>
      <c r="S3" s="107">
        <v>0.0</v>
      </c>
      <c r="V3" s="105">
        <v>1.0</v>
      </c>
      <c r="W3" s="107">
        <v>1.0</v>
      </c>
      <c r="X3" s="107">
        <v>0.0</v>
      </c>
      <c r="Y3" s="107">
        <v>0.0</v>
      </c>
      <c r="Z3" s="107">
        <v>0.0</v>
      </c>
      <c r="AA3" s="107">
        <v>0.0</v>
      </c>
    </row>
    <row r="4">
      <c r="A4" s="104" t="s">
        <v>249</v>
      </c>
      <c r="B4" s="104"/>
      <c r="D4" s="126" t="s">
        <v>171</v>
      </c>
      <c r="E4" s="178">
        <v>0.89</v>
      </c>
      <c r="F4" s="178">
        <v>0.98</v>
      </c>
      <c r="G4" s="105">
        <v>1.0</v>
      </c>
      <c r="H4" s="105"/>
      <c r="I4" s="105"/>
      <c r="K4" s="130" t="s">
        <v>190</v>
      </c>
      <c r="L4" s="136">
        <v>0.0</v>
      </c>
      <c r="N4" s="105">
        <v>2.0</v>
      </c>
      <c r="O4" s="106">
        <v>1.0</v>
      </c>
      <c r="P4" s="107">
        <v>0.0</v>
      </c>
      <c r="Q4" s="107">
        <v>0.0</v>
      </c>
      <c r="R4" s="107">
        <v>0.0</v>
      </c>
      <c r="S4" s="107">
        <v>0.0</v>
      </c>
      <c r="V4" s="105">
        <v>2.0</v>
      </c>
      <c r="W4" s="107">
        <v>1.0</v>
      </c>
      <c r="X4" s="107">
        <v>0.0</v>
      </c>
      <c r="Y4" s="107">
        <v>0.0</v>
      </c>
      <c r="Z4" s="107">
        <v>0.0</v>
      </c>
      <c r="AA4" s="107">
        <v>0.0</v>
      </c>
      <c r="AI4" s="57"/>
    </row>
    <row r="5">
      <c r="A5" s="104" t="s">
        <v>250</v>
      </c>
      <c r="B5" s="104"/>
      <c r="D5" s="126" t="s">
        <v>172</v>
      </c>
      <c r="E5" s="178">
        <v>0.7</v>
      </c>
      <c r="F5" s="178">
        <v>0.82</v>
      </c>
      <c r="G5" s="178">
        <v>0.89</v>
      </c>
      <c r="H5" s="105">
        <v>1.0</v>
      </c>
      <c r="I5" s="105"/>
      <c r="K5" s="130" t="s">
        <v>260</v>
      </c>
      <c r="L5" s="136">
        <v>0.0</v>
      </c>
      <c r="N5" s="105">
        <v>3.0</v>
      </c>
      <c r="O5" s="106">
        <v>1.0</v>
      </c>
      <c r="P5" s="107">
        <v>0.0</v>
      </c>
      <c r="Q5" s="107">
        <v>0.0</v>
      </c>
      <c r="R5" s="107">
        <v>0.0</v>
      </c>
      <c r="S5" s="107">
        <v>0.0</v>
      </c>
      <c r="V5" s="105">
        <v>3.0</v>
      </c>
      <c r="W5" s="107">
        <v>1.0</v>
      </c>
      <c r="X5" s="107">
        <v>0.0</v>
      </c>
      <c r="Y5" s="107">
        <v>0.0</v>
      </c>
      <c r="Z5" s="107">
        <v>0.0</v>
      </c>
      <c r="AA5" s="107">
        <v>0.0</v>
      </c>
    </row>
    <row r="6">
      <c r="A6" s="160" t="s">
        <v>251</v>
      </c>
      <c r="B6" s="160">
        <v>0.0372</v>
      </c>
      <c r="D6" s="126" t="s">
        <v>173</v>
      </c>
      <c r="E6" s="178">
        <v>0.93</v>
      </c>
      <c r="F6" s="178">
        <v>0.87</v>
      </c>
      <c r="G6" s="178">
        <v>0.87</v>
      </c>
      <c r="H6" s="178">
        <v>0.76</v>
      </c>
      <c r="I6" s="105">
        <v>1.0</v>
      </c>
      <c r="K6" s="130" t="s">
        <v>231</v>
      </c>
      <c r="L6" s="136">
        <v>0.52421527</v>
      </c>
      <c r="N6" s="105">
        <v>4.0</v>
      </c>
      <c r="O6" s="106">
        <v>1.0</v>
      </c>
      <c r="P6" s="107">
        <v>0.0</v>
      </c>
      <c r="Q6" s="107">
        <v>0.0</v>
      </c>
      <c r="R6" s="107">
        <v>0.0</v>
      </c>
      <c r="S6" s="107">
        <v>0.0</v>
      </c>
      <c r="V6" s="105">
        <v>4.0</v>
      </c>
      <c r="W6" s="107">
        <v>1.0</v>
      </c>
      <c r="X6" s="107">
        <v>0.0</v>
      </c>
      <c r="Y6" s="107">
        <v>0.0</v>
      </c>
      <c r="Z6" s="107">
        <v>0.0</v>
      </c>
      <c r="AA6" s="107">
        <v>0.0</v>
      </c>
    </row>
    <row r="7">
      <c r="A7" s="42" t="s">
        <v>180</v>
      </c>
      <c r="B7" s="42">
        <v>0.0348</v>
      </c>
      <c r="K7" s="130" t="s">
        <v>192</v>
      </c>
      <c r="L7" s="136">
        <v>0.0</v>
      </c>
      <c r="N7" s="105">
        <v>5.0</v>
      </c>
      <c r="O7" s="106">
        <v>1.0</v>
      </c>
      <c r="P7" s="107">
        <v>0.0</v>
      </c>
      <c r="Q7" s="107">
        <v>0.0</v>
      </c>
      <c r="R7" s="107">
        <v>0.0</v>
      </c>
      <c r="S7" s="107">
        <v>0.0</v>
      </c>
      <c r="V7" s="105">
        <v>5.0</v>
      </c>
      <c r="W7" s="107">
        <v>1.0</v>
      </c>
      <c r="X7" s="107">
        <v>0.0</v>
      </c>
      <c r="Y7" s="107">
        <v>0.0</v>
      </c>
      <c r="Z7" s="107">
        <v>0.0</v>
      </c>
      <c r="AA7" s="107">
        <v>0.0</v>
      </c>
    </row>
    <row r="8">
      <c r="D8" s="126" t="s">
        <v>169</v>
      </c>
      <c r="E8" s="126" t="s">
        <v>170</v>
      </c>
      <c r="F8" s="126" t="s">
        <v>171</v>
      </c>
      <c r="G8" s="126" t="s">
        <v>172</v>
      </c>
      <c r="H8" s="126" t="s">
        <v>173</v>
      </c>
      <c r="K8" s="130" t="s">
        <v>236</v>
      </c>
      <c r="L8" s="136">
        <v>0.31680135</v>
      </c>
      <c r="N8" s="105">
        <v>6.0</v>
      </c>
      <c r="O8" s="106">
        <v>1.0</v>
      </c>
      <c r="P8" s="107">
        <v>0.0</v>
      </c>
      <c r="Q8" s="107">
        <v>0.0</v>
      </c>
      <c r="R8" s="107">
        <v>1.0</v>
      </c>
      <c r="S8" s="107">
        <v>0.0</v>
      </c>
      <c r="V8" s="105">
        <v>6.0</v>
      </c>
      <c r="W8" s="107">
        <v>1.0</v>
      </c>
      <c r="X8" s="107">
        <v>0.0</v>
      </c>
      <c r="Y8" s="107">
        <v>0.0</v>
      </c>
      <c r="Z8" s="107">
        <v>1.0</v>
      </c>
      <c r="AA8" s="107">
        <v>0.0</v>
      </c>
    </row>
    <row r="9">
      <c r="D9" s="136">
        <v>0.9004</v>
      </c>
      <c r="E9" s="136">
        <v>0.898</v>
      </c>
      <c r="F9" s="136">
        <v>0.8814</v>
      </c>
      <c r="G9" s="136">
        <v>0.7778</v>
      </c>
      <c r="H9" s="136">
        <v>0.8696</v>
      </c>
      <c r="K9" s="130" t="s">
        <v>195</v>
      </c>
      <c r="L9" s="136">
        <v>0.0</v>
      </c>
      <c r="M9" s="194"/>
      <c r="N9" s="105">
        <v>7.0</v>
      </c>
      <c r="O9" s="106">
        <v>1.0</v>
      </c>
      <c r="P9" s="107">
        <v>0.0</v>
      </c>
      <c r="Q9" s="107">
        <v>0.0</v>
      </c>
      <c r="R9" s="107">
        <v>0.0</v>
      </c>
      <c r="S9" s="107">
        <v>0.0</v>
      </c>
      <c r="V9" s="105">
        <v>7.0</v>
      </c>
      <c r="W9" s="107">
        <v>1.0</v>
      </c>
      <c r="X9" s="107">
        <v>0.0</v>
      </c>
      <c r="Y9" s="107">
        <v>0.0</v>
      </c>
      <c r="Z9" s="107">
        <v>0.0</v>
      </c>
      <c r="AA9" s="107">
        <v>0.0</v>
      </c>
    </row>
    <row r="10">
      <c r="K10" s="130" t="s">
        <v>238</v>
      </c>
      <c r="L10" s="136">
        <v>0.10228749</v>
      </c>
      <c r="N10" s="105">
        <v>8.0</v>
      </c>
      <c r="O10" s="106">
        <v>0.0</v>
      </c>
      <c r="P10" s="107">
        <v>1.0</v>
      </c>
      <c r="Q10" s="107">
        <v>0.0</v>
      </c>
      <c r="R10" s="107">
        <v>0.0</v>
      </c>
      <c r="S10" s="107">
        <v>0.0</v>
      </c>
      <c r="V10" s="105">
        <v>8.0</v>
      </c>
      <c r="W10" s="107">
        <v>0.0</v>
      </c>
      <c r="X10" s="107">
        <v>1.0</v>
      </c>
      <c r="Y10" s="107">
        <v>0.0</v>
      </c>
      <c r="Z10" s="107">
        <v>0.0</v>
      </c>
      <c r="AA10" s="107">
        <v>0.0</v>
      </c>
    </row>
    <row r="11">
      <c r="A11" s="170" t="s">
        <v>275</v>
      </c>
      <c r="F11" s="57"/>
      <c r="G11" s="57"/>
      <c r="H11" s="57"/>
      <c r="I11" s="57"/>
      <c r="J11" s="57"/>
      <c r="K11" s="130" t="s">
        <v>241</v>
      </c>
      <c r="L11" s="136">
        <v>0.18003318</v>
      </c>
      <c r="N11" s="105">
        <v>9.0</v>
      </c>
      <c r="O11" s="106">
        <v>0.0</v>
      </c>
      <c r="P11" s="107">
        <v>1.0</v>
      </c>
      <c r="Q11" s="107">
        <v>0.0</v>
      </c>
      <c r="R11" s="107">
        <v>0.0</v>
      </c>
      <c r="S11" s="107">
        <v>0.0</v>
      </c>
      <c r="V11" s="105">
        <v>9.0</v>
      </c>
      <c r="W11" s="107">
        <v>0.0</v>
      </c>
      <c r="X11" s="107">
        <v>1.0</v>
      </c>
      <c r="Y11" s="107">
        <v>0.0</v>
      </c>
      <c r="Z11" s="107">
        <v>0.0</v>
      </c>
      <c r="AA11" s="107">
        <v>0.0</v>
      </c>
    </row>
    <row r="12">
      <c r="A12" s="170"/>
      <c r="F12" s="57"/>
      <c r="G12" s="57"/>
      <c r="H12" s="57"/>
      <c r="I12" s="57"/>
      <c r="J12" s="57"/>
      <c r="K12" s="130" t="s">
        <v>197</v>
      </c>
      <c r="L12" s="136">
        <v>0.0</v>
      </c>
      <c r="N12" s="105">
        <v>10.0</v>
      </c>
      <c r="O12" s="106">
        <v>0.0</v>
      </c>
      <c r="P12" s="107">
        <v>1.0</v>
      </c>
      <c r="Q12" s="107">
        <v>0.0</v>
      </c>
      <c r="R12" s="107">
        <v>0.0</v>
      </c>
      <c r="S12" s="107">
        <v>0.0</v>
      </c>
      <c r="V12" s="105">
        <v>10.0</v>
      </c>
      <c r="W12" s="107">
        <v>0.0</v>
      </c>
      <c r="X12" s="107">
        <v>1.0</v>
      </c>
      <c r="Y12" s="107">
        <v>0.0</v>
      </c>
      <c r="Z12" s="107">
        <v>0.0</v>
      </c>
      <c r="AA12" s="107">
        <v>0.0</v>
      </c>
    </row>
    <row r="13">
      <c r="K13" s="130" t="s">
        <v>200</v>
      </c>
      <c r="L13" s="136">
        <v>0.0</v>
      </c>
      <c r="N13" s="105">
        <v>11.0</v>
      </c>
      <c r="O13" s="106">
        <v>0.0</v>
      </c>
      <c r="P13" s="107">
        <v>1.0</v>
      </c>
      <c r="Q13" s="107">
        <v>0.0</v>
      </c>
      <c r="R13" s="107">
        <v>0.0</v>
      </c>
      <c r="S13" s="107">
        <v>0.0</v>
      </c>
      <c r="V13" s="105">
        <v>11.0</v>
      </c>
      <c r="W13" s="107">
        <v>0.0</v>
      </c>
      <c r="X13" s="107">
        <v>1.0</v>
      </c>
      <c r="Y13" s="107">
        <v>0.0</v>
      </c>
      <c r="Z13" s="107">
        <v>0.0</v>
      </c>
      <c r="AA13" s="107">
        <v>0.0</v>
      </c>
      <c r="AC13" s="57"/>
    </row>
    <row r="14">
      <c r="A14" s="105"/>
      <c r="B14" s="165" t="s">
        <v>252</v>
      </c>
      <c r="C14" s="165" t="s">
        <v>253</v>
      </c>
      <c r="D14" s="143" t="s">
        <v>271</v>
      </c>
      <c r="E14" s="165" t="s">
        <v>255</v>
      </c>
      <c r="K14" s="130" t="s">
        <v>262</v>
      </c>
      <c r="L14" s="136">
        <v>0.0</v>
      </c>
      <c r="M14" s="114"/>
      <c r="N14" s="105">
        <v>13.0</v>
      </c>
      <c r="O14" s="106">
        <v>0.0</v>
      </c>
      <c r="P14" s="107">
        <v>0.0</v>
      </c>
      <c r="Q14" s="107">
        <v>1.0</v>
      </c>
      <c r="R14" s="107">
        <v>0.0</v>
      </c>
      <c r="S14" s="107">
        <v>0.0</v>
      </c>
      <c r="V14" s="105">
        <v>13.0</v>
      </c>
      <c r="W14" s="117" t="s">
        <v>174</v>
      </c>
      <c r="X14" s="107">
        <v>0.0</v>
      </c>
      <c r="Y14" s="107">
        <v>1.0</v>
      </c>
      <c r="Z14" s="107">
        <v>0.0</v>
      </c>
      <c r="AA14" s="107">
        <v>0.0</v>
      </c>
    </row>
    <row r="15">
      <c r="A15" s="165">
        <v>1.0</v>
      </c>
      <c r="B15" s="108">
        <v>0.0699</v>
      </c>
      <c r="C15" s="195">
        <v>0.7684</v>
      </c>
      <c r="D15" s="108">
        <v>0.0094</v>
      </c>
      <c r="E15" s="108">
        <v>0.0214</v>
      </c>
      <c r="K15" s="130" t="s">
        <v>202</v>
      </c>
      <c r="L15" s="136">
        <v>0.0</v>
      </c>
      <c r="M15" s="114"/>
      <c r="N15" s="105">
        <v>14.0</v>
      </c>
      <c r="O15" s="106">
        <v>0.0</v>
      </c>
      <c r="P15" s="107">
        <v>0.0</v>
      </c>
      <c r="Q15" s="107">
        <v>0.0</v>
      </c>
      <c r="R15" s="107">
        <v>1.0</v>
      </c>
      <c r="S15" s="107">
        <v>0.0</v>
      </c>
      <c r="V15" s="105">
        <v>14.0</v>
      </c>
      <c r="W15" s="107">
        <v>0.0</v>
      </c>
      <c r="X15" s="107">
        <v>0.0</v>
      </c>
      <c r="Y15" s="107">
        <v>0.0</v>
      </c>
      <c r="Z15" s="107">
        <v>1.0</v>
      </c>
      <c r="AA15" s="107">
        <v>0.0</v>
      </c>
    </row>
    <row r="16">
      <c r="A16" s="165">
        <v>2.0</v>
      </c>
      <c r="B16" s="196">
        <v>0.1788</v>
      </c>
      <c r="C16" s="195">
        <v>0.3762</v>
      </c>
      <c r="D16" s="108">
        <v>0.0143</v>
      </c>
      <c r="E16" s="108">
        <v>0.0274</v>
      </c>
      <c r="G16" s="114"/>
      <c r="H16" s="114"/>
      <c r="K16" s="130" t="s">
        <v>205</v>
      </c>
      <c r="L16" s="136">
        <v>0.0</v>
      </c>
      <c r="M16" s="114"/>
      <c r="N16" s="105">
        <v>15.0</v>
      </c>
      <c r="O16" s="106">
        <v>0.0</v>
      </c>
      <c r="P16" s="107">
        <v>0.0</v>
      </c>
      <c r="Q16" s="107">
        <v>1.0</v>
      </c>
      <c r="R16" s="107">
        <v>0.0</v>
      </c>
      <c r="S16" s="107">
        <v>0.0</v>
      </c>
      <c r="V16" s="105">
        <v>15.0</v>
      </c>
      <c r="W16" s="107">
        <v>0.0</v>
      </c>
      <c r="X16" s="107">
        <v>0.0</v>
      </c>
      <c r="Y16" s="107">
        <v>1.0</v>
      </c>
      <c r="Z16" s="107">
        <v>0.0</v>
      </c>
      <c r="AA16" s="107">
        <v>0.0</v>
      </c>
    </row>
    <row r="17">
      <c r="A17" s="165">
        <v>3.0</v>
      </c>
      <c r="B17" s="197">
        <v>0.4545</v>
      </c>
      <c r="C17" s="108">
        <v>0.146</v>
      </c>
      <c r="D17" s="108">
        <v>0.0176</v>
      </c>
      <c r="E17" s="108">
        <v>0.0208</v>
      </c>
      <c r="G17" s="114"/>
      <c r="H17" s="114"/>
      <c r="K17" s="130" t="s">
        <v>263</v>
      </c>
      <c r="L17" s="136">
        <v>0.0</v>
      </c>
      <c r="M17" s="114"/>
      <c r="N17" s="105">
        <v>16.0</v>
      </c>
      <c r="O17" s="106">
        <v>0.0</v>
      </c>
      <c r="P17" s="107">
        <v>0.0</v>
      </c>
      <c r="Q17" s="107">
        <v>1.0</v>
      </c>
      <c r="R17" s="107">
        <v>0.0</v>
      </c>
      <c r="S17" s="107">
        <v>0.0</v>
      </c>
      <c r="V17" s="105">
        <v>16.0</v>
      </c>
      <c r="W17" s="107">
        <v>0.0</v>
      </c>
      <c r="X17" s="107">
        <v>0.0</v>
      </c>
      <c r="Y17" s="107">
        <v>1.0</v>
      </c>
      <c r="Z17" s="107">
        <v>0.0</v>
      </c>
      <c r="AA17" s="107">
        <v>0.0</v>
      </c>
    </row>
    <row r="18">
      <c r="A18" s="165">
        <v>4.0</v>
      </c>
      <c r="B18" s="196">
        <v>0.2831</v>
      </c>
      <c r="C18" s="195">
        <v>0.403</v>
      </c>
      <c r="D18" s="108">
        <v>0.0163</v>
      </c>
      <c r="E18" s="108">
        <v>0.0264</v>
      </c>
      <c r="G18" s="114"/>
      <c r="H18" s="114"/>
      <c r="K18" s="130" t="s">
        <v>239</v>
      </c>
      <c r="L18" s="136">
        <v>0.0</v>
      </c>
      <c r="M18" s="114"/>
      <c r="N18" s="105">
        <v>17.0</v>
      </c>
      <c r="O18" s="106">
        <v>0.0</v>
      </c>
      <c r="P18" s="107">
        <v>0.0</v>
      </c>
      <c r="Q18" s="107">
        <v>0.0</v>
      </c>
      <c r="R18" s="107">
        <v>0.0</v>
      </c>
      <c r="S18" s="107">
        <v>1.0</v>
      </c>
      <c r="V18" s="105">
        <v>17.0</v>
      </c>
      <c r="W18" s="107">
        <v>0.0</v>
      </c>
      <c r="X18" s="107">
        <v>0.0</v>
      </c>
      <c r="Y18" s="107">
        <v>0.0</v>
      </c>
      <c r="Z18" s="107">
        <v>0.0</v>
      </c>
      <c r="AA18" s="107">
        <v>1.0</v>
      </c>
    </row>
    <row r="19">
      <c r="A19" s="165">
        <v>5.0</v>
      </c>
      <c r="B19" s="197">
        <v>0.4819</v>
      </c>
      <c r="C19" s="195">
        <v>0.3437</v>
      </c>
      <c r="D19" s="108">
        <v>0.0177</v>
      </c>
      <c r="E19" s="108">
        <v>0.0254</v>
      </c>
      <c r="G19" s="114"/>
      <c r="H19" s="114"/>
      <c r="K19" s="130" t="s">
        <v>243</v>
      </c>
      <c r="L19" s="136">
        <v>0.06404423</v>
      </c>
      <c r="M19" s="114"/>
      <c r="N19" s="105">
        <v>18.0</v>
      </c>
      <c r="O19" s="106">
        <v>0.0</v>
      </c>
      <c r="P19" s="107">
        <v>0.0</v>
      </c>
      <c r="Q19" s="107">
        <v>0.0</v>
      </c>
      <c r="R19" s="107">
        <v>0.0</v>
      </c>
      <c r="S19" s="107">
        <v>1.0</v>
      </c>
      <c r="V19" s="105">
        <v>18.0</v>
      </c>
      <c r="W19" s="107">
        <v>0.0</v>
      </c>
      <c r="X19" s="107">
        <v>0.0</v>
      </c>
      <c r="Y19" s="107">
        <v>0.0</v>
      </c>
      <c r="Z19" s="107">
        <v>0.0</v>
      </c>
      <c r="AA19" s="107">
        <v>1.0</v>
      </c>
    </row>
    <row r="20">
      <c r="A20" s="165">
        <v>6.0</v>
      </c>
      <c r="B20" s="197">
        <v>0.3089</v>
      </c>
      <c r="C20" s="108">
        <v>0.283</v>
      </c>
      <c r="D20" s="108">
        <v>0.0159</v>
      </c>
      <c r="E20" s="108">
        <v>0.0287</v>
      </c>
      <c r="G20" s="114"/>
      <c r="H20" s="114"/>
      <c r="K20" s="130" t="s">
        <v>264</v>
      </c>
      <c r="L20" s="136">
        <v>0.0</v>
      </c>
      <c r="M20" s="114"/>
      <c r="N20" s="124"/>
      <c r="O20" s="124"/>
      <c r="P20" s="124"/>
      <c r="Q20" s="124"/>
      <c r="R20" s="124"/>
      <c r="S20" s="124"/>
    </row>
    <row r="21">
      <c r="A21" s="165">
        <v>7.0</v>
      </c>
      <c r="B21" s="197">
        <v>0.4192</v>
      </c>
      <c r="C21" s="108">
        <v>0.1514</v>
      </c>
      <c r="D21" s="108">
        <v>0.0178</v>
      </c>
      <c r="E21" s="108">
        <v>0.0213</v>
      </c>
      <c r="G21" s="114"/>
      <c r="H21" s="114"/>
      <c r="K21" s="130" t="s">
        <v>208</v>
      </c>
      <c r="L21" s="136">
        <v>0.0</v>
      </c>
      <c r="M21" s="114"/>
    </row>
    <row r="22">
      <c r="A22" s="165">
        <v>8.0</v>
      </c>
      <c r="B22" s="197">
        <v>0.3828</v>
      </c>
      <c r="C22" s="108">
        <v>0.2609</v>
      </c>
      <c r="D22" s="108">
        <v>0.0178</v>
      </c>
      <c r="E22" s="108">
        <v>0.0234</v>
      </c>
      <c r="G22" s="114"/>
      <c r="K22" s="130" t="s">
        <v>211</v>
      </c>
      <c r="L22" s="136">
        <v>0.0</v>
      </c>
      <c r="M22" s="114"/>
    </row>
    <row r="23">
      <c r="A23" s="165">
        <v>9.0</v>
      </c>
      <c r="B23" s="197">
        <v>0.3813</v>
      </c>
      <c r="C23" s="108">
        <v>0.1649</v>
      </c>
      <c r="D23" s="108">
        <v>0.0179</v>
      </c>
      <c r="E23" s="108">
        <v>0.021</v>
      </c>
      <c r="G23" s="114"/>
      <c r="K23" s="130" t="s">
        <v>213</v>
      </c>
      <c r="L23" s="136">
        <v>0.0</v>
      </c>
      <c r="M23" s="114"/>
      <c r="N23" s="198"/>
      <c r="O23" s="199"/>
    </row>
    <row r="24">
      <c r="A24" s="165">
        <v>10.0</v>
      </c>
      <c r="B24" s="196">
        <v>0.2836</v>
      </c>
      <c r="C24" s="108">
        <v>0.2055</v>
      </c>
      <c r="D24" s="108">
        <v>0.0171</v>
      </c>
      <c r="E24" s="108">
        <v>0.0233</v>
      </c>
      <c r="G24" s="114"/>
      <c r="K24" s="130" t="s">
        <v>234</v>
      </c>
      <c r="L24" s="136">
        <v>0.39007266</v>
      </c>
      <c r="M24" s="200"/>
      <c r="N24" s="198"/>
      <c r="O24" s="199"/>
    </row>
    <row r="25">
      <c r="A25" s="165">
        <v>11.0</v>
      </c>
      <c r="B25" s="196">
        <v>0.1809</v>
      </c>
      <c r="C25" s="195">
        <v>0.4964</v>
      </c>
      <c r="D25" s="108">
        <v>0.0144</v>
      </c>
      <c r="E25" s="108">
        <v>0.0261</v>
      </c>
      <c r="G25" s="114"/>
      <c r="K25" s="130" t="s">
        <v>265</v>
      </c>
      <c r="L25" s="136">
        <v>0.0</v>
      </c>
      <c r="M25" s="114"/>
      <c r="N25" s="198"/>
      <c r="O25" s="199"/>
      <c r="P25" s="199"/>
      <c r="Q25" s="199"/>
      <c r="R25" s="199"/>
    </row>
    <row r="26">
      <c r="A26" s="165">
        <v>12.0</v>
      </c>
      <c r="B26" s="196">
        <v>0.1246</v>
      </c>
      <c r="C26" s="195">
        <v>0.7984</v>
      </c>
      <c r="D26" s="108">
        <v>0.0119</v>
      </c>
      <c r="E26" s="108">
        <v>0.0228</v>
      </c>
      <c r="G26" s="114"/>
      <c r="K26" s="130" t="s">
        <v>266</v>
      </c>
      <c r="L26" s="136">
        <v>0.0</v>
      </c>
      <c r="M26" s="114"/>
      <c r="N26" s="198"/>
      <c r="O26" s="199"/>
      <c r="P26" s="199"/>
      <c r="Q26" s="199"/>
      <c r="R26" s="199"/>
    </row>
    <row r="27">
      <c r="A27" s="165">
        <v>13.0</v>
      </c>
      <c r="B27" s="196">
        <v>0.1729</v>
      </c>
      <c r="C27" s="195">
        <v>0.4218</v>
      </c>
      <c r="D27" s="108">
        <v>0.0279</v>
      </c>
      <c r="E27" s="108">
        <v>0.0288</v>
      </c>
      <c r="G27" s="114"/>
      <c r="K27" s="130" t="s">
        <v>215</v>
      </c>
      <c r="L27" s="136">
        <v>0.0</v>
      </c>
      <c r="M27" s="114"/>
      <c r="N27" s="198"/>
      <c r="O27" s="199"/>
      <c r="P27" s="199"/>
      <c r="Q27" s="199"/>
      <c r="R27" s="199"/>
    </row>
    <row r="28">
      <c r="A28" s="165">
        <v>14.0</v>
      </c>
      <c r="B28" s="108">
        <v>0.1821</v>
      </c>
      <c r="C28" s="195">
        <v>0.5254</v>
      </c>
      <c r="D28" s="108">
        <v>0.0138</v>
      </c>
      <c r="E28" s="108">
        <v>0.0291</v>
      </c>
      <c r="G28" s="114"/>
      <c r="K28" s="130" t="s">
        <v>216</v>
      </c>
      <c r="L28" s="136">
        <v>0.0</v>
      </c>
      <c r="M28" s="114"/>
      <c r="N28" s="198"/>
      <c r="O28" s="199"/>
      <c r="P28" s="199"/>
      <c r="Q28" s="199"/>
      <c r="R28" s="199"/>
    </row>
    <row r="29">
      <c r="A29" s="165">
        <v>15.0</v>
      </c>
      <c r="B29" s="195">
        <v>0.5367</v>
      </c>
      <c r="C29" s="108">
        <v>0.0705</v>
      </c>
      <c r="D29" s="108">
        <v>0.0175</v>
      </c>
      <c r="E29" s="108">
        <v>0.0195</v>
      </c>
      <c r="G29" s="114"/>
      <c r="K29" s="130" t="s">
        <v>267</v>
      </c>
      <c r="L29" s="136">
        <v>0.0</v>
      </c>
      <c r="M29" s="114"/>
      <c r="N29" s="198"/>
      <c r="O29" s="199"/>
      <c r="P29" s="199"/>
      <c r="Q29" s="199"/>
      <c r="R29" s="199"/>
    </row>
    <row r="30">
      <c r="A30" s="165">
        <v>16.0</v>
      </c>
      <c r="B30" s="108">
        <v>0.2027</v>
      </c>
      <c r="C30" s="108">
        <v>0.2101</v>
      </c>
      <c r="D30" s="108">
        <v>0.0159</v>
      </c>
      <c r="E30" s="108">
        <v>0.0337</v>
      </c>
      <c r="G30" s="114"/>
      <c r="K30" s="130" t="s">
        <v>268</v>
      </c>
      <c r="L30" s="136">
        <v>0.0</v>
      </c>
      <c r="M30" s="114"/>
      <c r="N30" s="198"/>
      <c r="O30" s="199"/>
      <c r="P30" s="199"/>
      <c r="Q30" s="199"/>
      <c r="R30" s="199"/>
    </row>
    <row r="31">
      <c r="A31" s="165">
        <v>17.0</v>
      </c>
      <c r="B31" s="108">
        <v>0.1442</v>
      </c>
      <c r="C31" s="195">
        <v>0.7361</v>
      </c>
      <c r="D31" s="108">
        <v>0.0123</v>
      </c>
      <c r="E31" s="108">
        <v>0.0275</v>
      </c>
      <c r="G31" s="114"/>
      <c r="K31" s="130" t="s">
        <v>269</v>
      </c>
      <c r="L31" s="136">
        <v>0.0</v>
      </c>
      <c r="M31" s="114"/>
      <c r="N31" s="198"/>
      <c r="O31" s="199"/>
      <c r="P31" s="199"/>
      <c r="Q31" s="199"/>
      <c r="R31" s="199"/>
    </row>
    <row r="32">
      <c r="G32" s="114"/>
      <c r="K32" s="130" t="s">
        <v>270</v>
      </c>
      <c r="L32" s="136">
        <v>0.0</v>
      </c>
      <c r="M32" s="114"/>
      <c r="N32" s="198"/>
      <c r="O32" s="199"/>
      <c r="P32" s="199"/>
      <c r="Q32" s="199"/>
      <c r="R32" s="199"/>
    </row>
    <row r="33">
      <c r="G33" s="114"/>
      <c r="K33" s="130" t="s">
        <v>217</v>
      </c>
      <c r="L33" s="133">
        <v>0.89242956</v>
      </c>
      <c r="M33" s="114"/>
      <c r="N33" s="198"/>
      <c r="O33" s="199"/>
      <c r="P33" s="199"/>
      <c r="Q33" s="199"/>
      <c r="R33" s="199"/>
    </row>
    <row r="34">
      <c r="G34" s="114"/>
      <c r="M34" s="114"/>
      <c r="N34" s="198"/>
      <c r="O34" s="199"/>
      <c r="P34" s="199"/>
      <c r="Q34" s="199"/>
      <c r="R34" s="199"/>
    </row>
    <row r="35">
      <c r="G35" s="114"/>
      <c r="M35" s="114"/>
      <c r="N35" s="198"/>
      <c r="O35" s="199"/>
      <c r="P35" s="199"/>
      <c r="Q35" s="199"/>
      <c r="R35" s="199"/>
    </row>
    <row r="36">
      <c r="G36" s="114"/>
      <c r="M36" s="114"/>
      <c r="N36" s="198"/>
      <c r="O36" s="199"/>
      <c r="P36" s="199"/>
      <c r="Q36" s="199"/>
      <c r="R36" s="199"/>
    </row>
    <row r="37">
      <c r="G37" s="114"/>
      <c r="M37" s="114"/>
      <c r="N37" s="198"/>
      <c r="O37" s="199"/>
      <c r="P37" s="199"/>
      <c r="Q37" s="199"/>
      <c r="R37" s="199"/>
    </row>
    <row r="38">
      <c r="G38" s="114"/>
      <c r="M38" s="114"/>
      <c r="N38" s="198"/>
      <c r="O38" s="199"/>
      <c r="P38" s="199"/>
      <c r="Q38" s="199"/>
      <c r="R38" s="199"/>
    </row>
    <row r="39">
      <c r="M39" s="114"/>
      <c r="N39" s="198"/>
      <c r="O39" s="199"/>
      <c r="P39" s="199"/>
      <c r="Q39" s="199"/>
      <c r="R39" s="199"/>
      <c r="S39" s="47"/>
    </row>
    <row r="40">
      <c r="M40" s="114"/>
      <c r="N40" s="198"/>
      <c r="O40" s="199"/>
      <c r="P40" s="199"/>
      <c r="Q40" s="199"/>
      <c r="R40" s="199"/>
      <c r="S40" s="47"/>
    </row>
    <row r="41">
      <c r="M41" s="114"/>
      <c r="N41" s="198"/>
      <c r="O41" s="199"/>
      <c r="P41" s="199"/>
      <c r="Q41" s="199"/>
      <c r="R41" s="199"/>
      <c r="S41" s="47"/>
    </row>
    <row r="42">
      <c r="M42" s="114"/>
      <c r="N42" s="198"/>
      <c r="O42" s="199"/>
      <c r="P42" s="47"/>
      <c r="Q42" s="47"/>
      <c r="R42" s="47"/>
      <c r="S42" s="47"/>
    </row>
    <row r="43">
      <c r="M43" s="114"/>
      <c r="N43" s="198"/>
      <c r="O43" s="199"/>
      <c r="P43" s="47"/>
      <c r="Q43" s="47"/>
      <c r="R43" s="47"/>
      <c r="S43" s="47"/>
    </row>
    <row r="44">
      <c r="M44" s="114"/>
      <c r="N44" s="198"/>
      <c r="O44" s="199"/>
      <c r="P44" s="47"/>
      <c r="Q44" s="47"/>
      <c r="R44" s="47"/>
      <c r="S44" s="47"/>
    </row>
    <row r="45">
      <c r="M45" s="114"/>
      <c r="N45" s="198"/>
      <c r="O45" s="199"/>
      <c r="P45" s="47"/>
      <c r="Q45" s="47"/>
      <c r="R45" s="47"/>
      <c r="S45" s="47"/>
    </row>
    <row r="46">
      <c r="L46" s="183"/>
      <c r="N46" s="198"/>
      <c r="O46" s="199"/>
      <c r="P46" s="47"/>
      <c r="Q46" s="47"/>
      <c r="R46" s="47"/>
      <c r="S46" s="47"/>
    </row>
    <row r="47">
      <c r="L47" s="183"/>
      <c r="N47" s="198"/>
      <c r="O47" s="199"/>
      <c r="P47" s="47"/>
      <c r="Q47" s="47"/>
      <c r="R47" s="47"/>
      <c r="S47" s="47"/>
    </row>
    <row r="48">
      <c r="L48" s="183"/>
      <c r="N48" s="198"/>
      <c r="O48" s="199"/>
      <c r="P48" s="47"/>
      <c r="Q48" s="47"/>
      <c r="R48" s="47"/>
      <c r="S48" s="47"/>
    </row>
    <row r="49">
      <c r="L49" s="183"/>
      <c r="N49" s="198"/>
      <c r="O49" s="199"/>
      <c r="P49" s="47"/>
      <c r="Q49" s="47"/>
      <c r="R49" s="47"/>
      <c r="S49" s="47"/>
    </row>
    <row r="50">
      <c r="L50" s="183"/>
      <c r="N50" s="198"/>
      <c r="O50" s="199"/>
      <c r="P50" s="47"/>
      <c r="Q50" s="47"/>
      <c r="R50" s="47"/>
      <c r="S50" s="47"/>
    </row>
    <row r="51">
      <c r="L51" s="183"/>
      <c r="N51" s="198"/>
      <c r="O51" s="199"/>
      <c r="P51" s="47"/>
      <c r="Q51" s="47"/>
      <c r="R51" s="47"/>
      <c r="S51" s="47"/>
    </row>
    <row r="52">
      <c r="L52" s="183"/>
      <c r="N52" s="198"/>
      <c r="O52" s="199"/>
      <c r="P52" s="47"/>
      <c r="Q52" s="47"/>
      <c r="R52" s="47"/>
      <c r="S52" s="47"/>
    </row>
    <row r="53">
      <c r="L53" s="183"/>
      <c r="N53" s="198"/>
      <c r="O53" s="199"/>
      <c r="P53" s="47"/>
      <c r="Q53" s="47"/>
      <c r="R53" s="47"/>
      <c r="S53" s="47"/>
    </row>
    <row r="54">
      <c r="L54" s="183"/>
      <c r="N54" s="198"/>
      <c r="O54" s="199"/>
      <c r="P54" s="47"/>
      <c r="Q54" s="47"/>
      <c r="R54" s="47"/>
      <c r="S54" s="47"/>
    </row>
    <row r="55">
      <c r="L55" s="183"/>
      <c r="O55" s="47"/>
      <c r="P55" s="47"/>
      <c r="Q55" s="47"/>
      <c r="R55" s="47"/>
      <c r="S55" s="47"/>
    </row>
    <row r="56">
      <c r="L56" s="183"/>
      <c r="O56" s="47"/>
      <c r="P56" s="47"/>
      <c r="Q56" s="47"/>
      <c r="R56" s="47"/>
      <c r="S56" s="47"/>
    </row>
    <row r="57">
      <c r="L57" s="183"/>
      <c r="O57" s="47"/>
      <c r="P57" s="47"/>
      <c r="Q57" s="47"/>
      <c r="R57" s="47"/>
      <c r="S57" s="47"/>
    </row>
    <row r="58">
      <c r="L58" s="183"/>
      <c r="O58" s="47"/>
      <c r="P58" s="47"/>
      <c r="Q58" s="47"/>
      <c r="R58" s="47"/>
      <c r="S58" s="47"/>
    </row>
    <row r="59">
      <c r="L59" s="183"/>
      <c r="O59" s="47"/>
      <c r="P59" s="47"/>
      <c r="Q59" s="47"/>
      <c r="R59" s="47"/>
      <c r="S59" s="47"/>
    </row>
    <row r="60">
      <c r="L60" s="183"/>
      <c r="O60" s="47"/>
      <c r="P60" s="47"/>
      <c r="Q60" s="47"/>
      <c r="R60" s="47"/>
      <c r="S60" s="47"/>
    </row>
    <row r="61">
      <c r="L61" s="183"/>
      <c r="O61" s="47"/>
      <c r="P61" s="47"/>
      <c r="Q61" s="47"/>
      <c r="R61" s="47"/>
      <c r="S61" s="47"/>
    </row>
    <row r="62">
      <c r="L62" s="183"/>
      <c r="O62" s="47"/>
      <c r="P62" s="47"/>
      <c r="Q62" s="47"/>
      <c r="R62" s="47"/>
      <c r="S62" s="47"/>
    </row>
    <row r="63">
      <c r="L63" s="183"/>
      <c r="O63" s="47"/>
      <c r="P63" s="47"/>
      <c r="Q63" s="47"/>
      <c r="R63" s="47"/>
      <c r="S63" s="47"/>
    </row>
    <row r="64">
      <c r="L64" s="183"/>
      <c r="O64" s="47"/>
      <c r="P64" s="47"/>
      <c r="Q64" s="47"/>
      <c r="R64" s="47"/>
      <c r="S64" s="47"/>
    </row>
    <row r="65">
      <c r="L65" s="183"/>
      <c r="O65" s="47"/>
      <c r="P65" s="47"/>
      <c r="Q65" s="47"/>
      <c r="R65" s="47"/>
      <c r="S65" s="47"/>
    </row>
    <row r="66">
      <c r="L66" s="183"/>
      <c r="O66" s="47"/>
      <c r="P66" s="47"/>
      <c r="Q66" s="47"/>
      <c r="R66" s="47"/>
      <c r="S66" s="47"/>
    </row>
    <row r="67">
      <c r="L67" s="183"/>
      <c r="O67" s="47"/>
      <c r="P67" s="47"/>
      <c r="Q67" s="47"/>
      <c r="R67" s="47"/>
      <c r="S67" s="47"/>
    </row>
    <row r="68">
      <c r="L68" s="183"/>
      <c r="O68" s="47"/>
      <c r="P68" s="47"/>
      <c r="Q68" s="47"/>
      <c r="R68" s="47"/>
      <c r="S68" s="47"/>
    </row>
    <row r="69">
      <c r="L69" s="183"/>
      <c r="O69" s="47"/>
      <c r="P69" s="47"/>
      <c r="Q69" s="47"/>
      <c r="R69" s="47"/>
      <c r="S69" s="47"/>
    </row>
    <row r="70">
      <c r="L70" s="183"/>
      <c r="O70" s="47"/>
      <c r="P70" s="47"/>
      <c r="Q70" s="47"/>
      <c r="R70" s="47"/>
      <c r="S70" s="47"/>
    </row>
    <row r="71">
      <c r="L71" s="183"/>
      <c r="O71" s="47"/>
      <c r="P71" s="47"/>
      <c r="Q71" s="47"/>
      <c r="R71" s="47"/>
      <c r="S71" s="47"/>
    </row>
    <row r="72">
      <c r="L72" s="183"/>
      <c r="O72" s="47"/>
      <c r="P72" s="47"/>
      <c r="Q72" s="47"/>
      <c r="R72" s="47"/>
      <c r="S72" s="47"/>
    </row>
    <row r="73">
      <c r="L73" s="183"/>
      <c r="O73" s="47"/>
      <c r="P73" s="47"/>
      <c r="Q73" s="47"/>
      <c r="R73" s="47"/>
      <c r="S73" s="47"/>
    </row>
    <row r="74">
      <c r="L74" s="183"/>
      <c r="O74" s="47"/>
      <c r="P74" s="47"/>
      <c r="Q74" s="47"/>
      <c r="R74" s="47"/>
      <c r="S74" s="47"/>
    </row>
    <row r="75">
      <c r="L75" s="183"/>
      <c r="O75" s="47"/>
      <c r="P75" s="47"/>
      <c r="Q75" s="47"/>
      <c r="R75" s="47"/>
      <c r="S75" s="47"/>
    </row>
    <row r="76">
      <c r="L76" s="183"/>
      <c r="O76" s="47"/>
      <c r="P76" s="47"/>
      <c r="Q76" s="47"/>
      <c r="R76" s="47"/>
      <c r="S76" s="47"/>
    </row>
    <row r="77">
      <c r="L77" s="183"/>
      <c r="O77" s="47"/>
      <c r="P77" s="47"/>
      <c r="Q77" s="47"/>
      <c r="R77" s="47"/>
      <c r="S77" s="47"/>
    </row>
    <row r="78">
      <c r="L78" s="183"/>
      <c r="O78" s="47"/>
      <c r="P78" s="47"/>
      <c r="Q78" s="47"/>
      <c r="R78" s="47"/>
      <c r="S78" s="47"/>
    </row>
    <row r="79">
      <c r="L79" s="183"/>
      <c r="O79" s="47"/>
      <c r="P79" s="47"/>
      <c r="Q79" s="47"/>
      <c r="R79" s="47"/>
      <c r="S79" s="47"/>
    </row>
    <row r="80">
      <c r="L80" s="183"/>
      <c r="O80" s="47"/>
      <c r="P80" s="47"/>
      <c r="Q80" s="47"/>
      <c r="R80" s="47"/>
      <c r="S80" s="47"/>
    </row>
    <row r="81">
      <c r="L81" s="183"/>
      <c r="O81" s="47"/>
      <c r="P81" s="47"/>
      <c r="Q81" s="47"/>
      <c r="R81" s="47"/>
      <c r="S81" s="47"/>
    </row>
    <row r="82">
      <c r="L82" s="183"/>
      <c r="O82" s="47"/>
      <c r="P82" s="47"/>
      <c r="Q82" s="47"/>
      <c r="R82" s="47"/>
      <c r="S82" s="47"/>
    </row>
    <row r="83">
      <c r="L83" s="183"/>
      <c r="O83" s="47"/>
      <c r="P83" s="47"/>
      <c r="Q83" s="47"/>
      <c r="R83" s="47"/>
      <c r="S83" s="47"/>
    </row>
    <row r="84">
      <c r="L84" s="183"/>
      <c r="O84" s="47"/>
      <c r="P84" s="47"/>
      <c r="Q84" s="47"/>
      <c r="R84" s="47"/>
      <c r="S84" s="47"/>
    </row>
    <row r="85">
      <c r="L85" s="183"/>
      <c r="O85" s="47"/>
      <c r="P85" s="47"/>
      <c r="Q85" s="47"/>
      <c r="R85" s="47"/>
      <c r="S85" s="47"/>
    </row>
    <row r="86">
      <c r="L86" s="183"/>
      <c r="O86" s="47"/>
      <c r="P86" s="47"/>
      <c r="Q86" s="47"/>
      <c r="R86" s="47"/>
      <c r="S86" s="47"/>
    </row>
    <row r="87">
      <c r="L87" s="183"/>
      <c r="O87" s="47"/>
      <c r="P87" s="47"/>
      <c r="Q87" s="47"/>
      <c r="R87" s="47"/>
      <c r="S87" s="47"/>
    </row>
    <row r="88">
      <c r="L88" s="183"/>
      <c r="O88" s="47"/>
      <c r="P88" s="47"/>
      <c r="Q88" s="47"/>
      <c r="R88" s="47"/>
      <c r="S88" s="47"/>
    </row>
    <row r="89">
      <c r="L89" s="183"/>
      <c r="O89" s="47"/>
      <c r="P89" s="47"/>
      <c r="Q89" s="47"/>
      <c r="R89" s="47"/>
      <c r="S89" s="47"/>
    </row>
    <row r="90">
      <c r="L90" s="183"/>
      <c r="O90" s="47"/>
      <c r="P90" s="47"/>
      <c r="Q90" s="47"/>
      <c r="R90" s="47"/>
      <c r="S90" s="47"/>
    </row>
    <row r="91">
      <c r="L91" s="183"/>
      <c r="O91" s="47"/>
      <c r="P91" s="47"/>
      <c r="Q91" s="47"/>
      <c r="R91" s="47"/>
      <c r="S91" s="47"/>
    </row>
    <row r="92">
      <c r="L92" s="183"/>
      <c r="O92" s="47"/>
      <c r="P92" s="47"/>
      <c r="Q92" s="47"/>
      <c r="R92" s="47"/>
      <c r="S92" s="47"/>
    </row>
    <row r="93">
      <c r="L93" s="183"/>
      <c r="O93" s="47"/>
      <c r="P93" s="47"/>
      <c r="Q93" s="47"/>
      <c r="R93" s="47"/>
      <c r="S93" s="47"/>
    </row>
    <row r="94">
      <c r="L94" s="183"/>
      <c r="O94" s="47"/>
      <c r="P94" s="47"/>
      <c r="Q94" s="47"/>
      <c r="R94" s="47"/>
      <c r="S94" s="47"/>
    </row>
    <row r="95">
      <c r="L95" s="183"/>
      <c r="O95" s="47"/>
      <c r="P95" s="47"/>
      <c r="Q95" s="47"/>
      <c r="R95" s="47"/>
      <c r="S95" s="47"/>
    </row>
    <row r="96">
      <c r="L96" s="183"/>
      <c r="O96" s="47"/>
      <c r="P96" s="47"/>
      <c r="Q96" s="47"/>
      <c r="R96" s="47"/>
      <c r="S96" s="47"/>
    </row>
    <row r="97">
      <c r="L97" s="183"/>
      <c r="O97" s="47"/>
      <c r="P97" s="47"/>
      <c r="Q97" s="47"/>
      <c r="R97" s="47"/>
      <c r="S97" s="47"/>
    </row>
    <row r="98">
      <c r="L98" s="183"/>
      <c r="O98" s="47"/>
      <c r="P98" s="47"/>
      <c r="Q98" s="47"/>
      <c r="R98" s="47"/>
      <c r="S98" s="47"/>
    </row>
    <row r="99">
      <c r="L99" s="183"/>
      <c r="O99" s="47"/>
      <c r="P99" s="47"/>
      <c r="Q99" s="47"/>
      <c r="R99" s="47"/>
      <c r="S99" s="47"/>
    </row>
    <row r="100">
      <c r="L100" s="183"/>
      <c r="O100" s="47"/>
      <c r="P100" s="47"/>
      <c r="Q100" s="47"/>
      <c r="R100" s="47"/>
      <c r="S100" s="47"/>
    </row>
    <row r="101">
      <c r="L101" s="183"/>
      <c r="O101" s="47"/>
      <c r="P101" s="47"/>
      <c r="Q101" s="47"/>
      <c r="R101" s="47"/>
      <c r="S101" s="47"/>
    </row>
    <row r="102">
      <c r="L102" s="183"/>
      <c r="O102" s="47"/>
      <c r="P102" s="47"/>
      <c r="Q102" s="47"/>
      <c r="R102" s="47"/>
      <c r="S102" s="47"/>
    </row>
    <row r="103">
      <c r="L103" s="183"/>
      <c r="O103" s="47"/>
      <c r="P103" s="47"/>
      <c r="Q103" s="47"/>
      <c r="R103" s="47"/>
      <c r="S103" s="47"/>
    </row>
    <row r="104">
      <c r="L104" s="183"/>
      <c r="O104" s="47"/>
      <c r="P104" s="47"/>
      <c r="Q104" s="47"/>
      <c r="R104" s="47"/>
      <c r="S104" s="47"/>
    </row>
    <row r="105">
      <c r="L105" s="183"/>
      <c r="O105" s="47"/>
      <c r="P105" s="47"/>
      <c r="Q105" s="47"/>
      <c r="R105" s="47"/>
      <c r="S105" s="47"/>
    </row>
    <row r="106">
      <c r="L106" s="183"/>
      <c r="O106" s="47"/>
      <c r="P106" s="47"/>
      <c r="Q106" s="47"/>
      <c r="R106" s="47"/>
      <c r="S106" s="47"/>
    </row>
    <row r="107">
      <c r="L107" s="183"/>
      <c r="O107" s="47"/>
      <c r="P107" s="47"/>
      <c r="Q107" s="47"/>
      <c r="R107" s="47"/>
      <c r="S107" s="47"/>
    </row>
    <row r="108">
      <c r="L108" s="183"/>
      <c r="O108" s="47"/>
      <c r="P108" s="47"/>
      <c r="Q108" s="47"/>
      <c r="R108" s="47"/>
      <c r="S108" s="47"/>
    </row>
    <row r="109">
      <c r="L109" s="183"/>
      <c r="O109" s="47"/>
      <c r="P109" s="47"/>
      <c r="Q109" s="47"/>
      <c r="R109" s="47"/>
      <c r="S109" s="47"/>
    </row>
    <row r="110">
      <c r="L110" s="183"/>
      <c r="O110" s="47"/>
      <c r="P110" s="47"/>
      <c r="Q110" s="47"/>
      <c r="R110" s="47"/>
      <c r="S110" s="47"/>
    </row>
    <row r="111">
      <c r="L111" s="183"/>
      <c r="O111" s="47"/>
      <c r="P111" s="47"/>
      <c r="Q111" s="47"/>
      <c r="R111" s="47"/>
      <c r="S111" s="47"/>
    </row>
    <row r="112">
      <c r="L112" s="183"/>
      <c r="O112" s="47"/>
      <c r="P112" s="47"/>
      <c r="Q112" s="47"/>
      <c r="R112" s="47"/>
      <c r="S112" s="47"/>
    </row>
    <row r="113">
      <c r="L113" s="183"/>
      <c r="O113" s="47"/>
      <c r="P113" s="47"/>
      <c r="Q113" s="47"/>
      <c r="R113" s="47"/>
      <c r="S113" s="47"/>
    </row>
    <row r="114">
      <c r="L114" s="183"/>
      <c r="O114" s="47"/>
      <c r="P114" s="47"/>
      <c r="Q114" s="47"/>
      <c r="R114" s="47"/>
      <c r="S114" s="47"/>
    </row>
    <row r="115">
      <c r="L115" s="183"/>
      <c r="O115" s="47"/>
      <c r="P115" s="47"/>
      <c r="Q115" s="47"/>
      <c r="R115" s="47"/>
      <c r="S115" s="47"/>
    </row>
    <row r="116">
      <c r="L116" s="183"/>
      <c r="O116" s="47"/>
      <c r="P116" s="47"/>
      <c r="Q116" s="47"/>
      <c r="R116" s="47"/>
      <c r="S116" s="47"/>
    </row>
    <row r="117">
      <c r="L117" s="183"/>
      <c r="O117" s="47"/>
      <c r="P117" s="47"/>
      <c r="Q117" s="47"/>
      <c r="R117" s="47"/>
      <c r="S117" s="47"/>
    </row>
    <row r="118">
      <c r="L118" s="183"/>
      <c r="O118" s="47"/>
      <c r="P118" s="47"/>
      <c r="Q118" s="47"/>
      <c r="R118" s="47"/>
      <c r="S118" s="47"/>
    </row>
    <row r="119">
      <c r="L119" s="183"/>
      <c r="O119" s="47"/>
      <c r="P119" s="47"/>
      <c r="Q119" s="47"/>
      <c r="R119" s="47"/>
      <c r="S119" s="47"/>
    </row>
    <row r="120">
      <c r="L120" s="183"/>
      <c r="O120" s="47"/>
      <c r="P120" s="47"/>
      <c r="Q120" s="47"/>
      <c r="R120" s="47"/>
      <c r="S120" s="47"/>
    </row>
    <row r="121">
      <c r="L121" s="183"/>
      <c r="O121" s="47"/>
      <c r="P121" s="47"/>
      <c r="Q121" s="47"/>
      <c r="R121" s="47"/>
      <c r="S121" s="47"/>
    </row>
    <row r="122">
      <c r="L122" s="183"/>
      <c r="O122" s="47"/>
      <c r="P122" s="47"/>
      <c r="Q122" s="47"/>
      <c r="R122" s="47"/>
      <c r="S122" s="47"/>
    </row>
    <row r="123">
      <c r="L123" s="183"/>
      <c r="O123" s="47"/>
      <c r="P123" s="47"/>
      <c r="Q123" s="47"/>
      <c r="R123" s="47"/>
      <c r="S123" s="47"/>
    </row>
    <row r="124">
      <c r="L124" s="183"/>
      <c r="O124" s="47"/>
      <c r="P124" s="47"/>
      <c r="Q124" s="47"/>
      <c r="R124" s="47"/>
      <c r="S124" s="47"/>
    </row>
    <row r="125">
      <c r="L125" s="183"/>
      <c r="O125" s="47"/>
      <c r="P125" s="47"/>
      <c r="Q125" s="47"/>
      <c r="R125" s="47"/>
      <c r="S125" s="47"/>
    </row>
    <row r="126">
      <c r="L126" s="183"/>
      <c r="O126" s="47"/>
      <c r="P126" s="47"/>
      <c r="Q126" s="47"/>
      <c r="R126" s="47"/>
      <c r="S126" s="47"/>
    </row>
    <row r="127">
      <c r="L127" s="183"/>
      <c r="O127" s="47"/>
      <c r="P127" s="47"/>
      <c r="Q127" s="47"/>
      <c r="R127" s="47"/>
      <c r="S127" s="47"/>
    </row>
    <row r="128">
      <c r="L128" s="183"/>
      <c r="O128" s="47"/>
      <c r="P128" s="47"/>
      <c r="Q128" s="47"/>
      <c r="R128" s="47"/>
      <c r="S128" s="47"/>
    </row>
    <row r="129">
      <c r="L129" s="183"/>
      <c r="O129" s="47"/>
      <c r="P129" s="47"/>
      <c r="Q129" s="47"/>
      <c r="R129" s="47"/>
      <c r="S129" s="47"/>
    </row>
    <row r="130">
      <c r="L130" s="183"/>
      <c r="O130" s="47"/>
      <c r="P130" s="47"/>
      <c r="Q130" s="47"/>
      <c r="R130" s="47"/>
      <c r="S130" s="47"/>
    </row>
    <row r="131">
      <c r="L131" s="183"/>
      <c r="O131" s="47"/>
      <c r="P131" s="47"/>
      <c r="Q131" s="47"/>
      <c r="R131" s="47"/>
      <c r="S131" s="47"/>
    </row>
    <row r="132">
      <c r="L132" s="183"/>
      <c r="O132" s="47"/>
      <c r="P132" s="47"/>
      <c r="Q132" s="47"/>
      <c r="R132" s="47"/>
      <c r="S132" s="47"/>
    </row>
    <row r="133">
      <c r="L133" s="183"/>
      <c r="O133" s="47"/>
      <c r="P133" s="47"/>
      <c r="Q133" s="47"/>
      <c r="R133" s="47"/>
      <c r="S133" s="47"/>
    </row>
    <row r="134">
      <c r="L134" s="183"/>
      <c r="O134" s="47"/>
      <c r="P134" s="47"/>
      <c r="Q134" s="47"/>
      <c r="R134" s="47"/>
      <c r="S134" s="47"/>
    </row>
    <row r="135">
      <c r="L135" s="183"/>
      <c r="O135" s="47"/>
      <c r="P135" s="47"/>
      <c r="Q135" s="47"/>
      <c r="R135" s="47"/>
      <c r="S135" s="47"/>
    </row>
    <row r="136">
      <c r="L136" s="183"/>
      <c r="O136" s="47"/>
      <c r="P136" s="47"/>
      <c r="Q136" s="47"/>
      <c r="R136" s="47"/>
      <c r="S136" s="47"/>
    </row>
    <row r="137">
      <c r="L137" s="183"/>
      <c r="O137" s="47"/>
      <c r="P137" s="47"/>
      <c r="Q137" s="47"/>
      <c r="R137" s="47"/>
      <c r="S137" s="47"/>
    </row>
    <row r="138">
      <c r="L138" s="183"/>
      <c r="O138" s="47"/>
      <c r="P138" s="47"/>
      <c r="Q138" s="47"/>
      <c r="R138" s="47"/>
      <c r="S138" s="47"/>
    </row>
    <row r="139">
      <c r="L139" s="183"/>
      <c r="O139" s="47"/>
      <c r="P139" s="47"/>
      <c r="Q139" s="47"/>
      <c r="R139" s="47"/>
      <c r="S139" s="47"/>
    </row>
    <row r="140">
      <c r="L140" s="183"/>
      <c r="O140" s="47"/>
      <c r="P140" s="47"/>
      <c r="Q140" s="47"/>
      <c r="R140" s="47"/>
      <c r="S140" s="47"/>
    </row>
    <row r="141">
      <c r="L141" s="183"/>
      <c r="O141" s="47"/>
      <c r="P141" s="47"/>
      <c r="Q141" s="47"/>
      <c r="R141" s="47"/>
      <c r="S141" s="47"/>
    </row>
    <row r="142">
      <c r="L142" s="183"/>
      <c r="O142" s="47"/>
      <c r="P142" s="47"/>
      <c r="Q142" s="47"/>
      <c r="R142" s="47"/>
      <c r="S142" s="47"/>
    </row>
    <row r="143">
      <c r="L143" s="183"/>
      <c r="O143" s="47"/>
      <c r="P143" s="47"/>
      <c r="Q143" s="47"/>
      <c r="R143" s="47"/>
      <c r="S143" s="47"/>
    </row>
    <row r="144">
      <c r="L144" s="183"/>
      <c r="O144" s="47"/>
      <c r="P144" s="47"/>
      <c r="Q144" s="47"/>
      <c r="R144" s="47"/>
      <c r="S144" s="47"/>
    </row>
    <row r="145">
      <c r="L145" s="183"/>
      <c r="O145" s="47"/>
      <c r="P145" s="47"/>
      <c r="Q145" s="47"/>
      <c r="R145" s="47"/>
      <c r="S145" s="47"/>
    </row>
    <row r="146">
      <c r="L146" s="183"/>
      <c r="O146" s="47"/>
      <c r="P146" s="47"/>
      <c r="Q146" s="47"/>
      <c r="R146" s="47"/>
      <c r="S146" s="47"/>
    </row>
    <row r="147">
      <c r="L147" s="183"/>
      <c r="O147" s="47"/>
      <c r="P147" s="47"/>
      <c r="Q147" s="47"/>
      <c r="R147" s="47"/>
      <c r="S147" s="47"/>
    </row>
    <row r="148">
      <c r="L148" s="183"/>
      <c r="O148" s="47"/>
      <c r="P148" s="47"/>
      <c r="Q148" s="47"/>
      <c r="R148" s="47"/>
      <c r="S148" s="47"/>
    </row>
    <row r="149">
      <c r="L149" s="183"/>
      <c r="O149" s="47"/>
      <c r="P149" s="47"/>
      <c r="Q149" s="47"/>
      <c r="R149" s="47"/>
      <c r="S149" s="47"/>
    </row>
    <row r="150">
      <c r="L150" s="183"/>
      <c r="O150" s="47"/>
      <c r="P150" s="47"/>
      <c r="Q150" s="47"/>
      <c r="R150" s="47"/>
      <c r="S150" s="47"/>
    </row>
    <row r="151">
      <c r="L151" s="183"/>
      <c r="O151" s="47"/>
      <c r="P151" s="47"/>
      <c r="Q151" s="47"/>
      <c r="R151" s="47"/>
      <c r="S151" s="47"/>
    </row>
    <row r="152">
      <c r="L152" s="183"/>
      <c r="O152" s="47"/>
      <c r="P152" s="47"/>
      <c r="Q152" s="47"/>
      <c r="R152" s="47"/>
      <c r="S152" s="47"/>
    </row>
    <row r="153">
      <c r="L153" s="183"/>
      <c r="O153" s="47"/>
      <c r="P153" s="47"/>
      <c r="Q153" s="47"/>
      <c r="R153" s="47"/>
      <c r="S153" s="47"/>
    </row>
    <row r="154">
      <c r="L154" s="183"/>
      <c r="O154" s="47"/>
      <c r="P154" s="47"/>
      <c r="Q154" s="47"/>
      <c r="R154" s="47"/>
      <c r="S154" s="47"/>
    </row>
    <row r="155">
      <c r="L155" s="183"/>
      <c r="O155" s="47"/>
      <c r="P155" s="47"/>
      <c r="Q155" s="47"/>
      <c r="R155" s="47"/>
      <c r="S155" s="47"/>
    </row>
    <row r="156">
      <c r="L156" s="183"/>
      <c r="O156" s="47"/>
      <c r="P156" s="47"/>
      <c r="Q156" s="47"/>
      <c r="R156" s="47"/>
      <c r="S156" s="47"/>
    </row>
    <row r="157">
      <c r="L157" s="183"/>
      <c r="O157" s="47"/>
      <c r="P157" s="47"/>
      <c r="Q157" s="47"/>
      <c r="R157" s="47"/>
      <c r="S157" s="47"/>
    </row>
    <row r="158">
      <c r="L158" s="183"/>
      <c r="O158" s="47"/>
      <c r="P158" s="47"/>
      <c r="Q158" s="47"/>
      <c r="R158" s="47"/>
      <c r="S158" s="47"/>
    </row>
    <row r="159">
      <c r="L159" s="183"/>
      <c r="O159" s="47"/>
      <c r="P159" s="47"/>
      <c r="Q159" s="47"/>
      <c r="R159" s="47"/>
      <c r="S159" s="47"/>
    </row>
    <row r="160">
      <c r="L160" s="183"/>
      <c r="O160" s="47"/>
      <c r="P160" s="47"/>
      <c r="Q160" s="47"/>
      <c r="R160" s="47"/>
      <c r="S160" s="47"/>
    </row>
    <row r="161">
      <c r="L161" s="183"/>
      <c r="O161" s="47"/>
      <c r="P161" s="47"/>
      <c r="Q161" s="47"/>
      <c r="R161" s="47"/>
      <c r="S161" s="47"/>
    </row>
    <row r="162">
      <c r="L162" s="183"/>
      <c r="O162" s="47"/>
      <c r="P162" s="47"/>
      <c r="Q162" s="47"/>
      <c r="R162" s="47"/>
      <c r="S162" s="47"/>
    </row>
    <row r="163">
      <c r="L163" s="183"/>
      <c r="O163" s="47"/>
      <c r="P163" s="47"/>
      <c r="Q163" s="47"/>
      <c r="R163" s="47"/>
      <c r="S163" s="47"/>
    </row>
    <row r="164">
      <c r="L164" s="183"/>
      <c r="O164" s="47"/>
      <c r="P164" s="47"/>
      <c r="Q164" s="47"/>
      <c r="R164" s="47"/>
      <c r="S164" s="47"/>
    </row>
    <row r="165">
      <c r="L165" s="183"/>
      <c r="O165" s="47"/>
      <c r="P165" s="47"/>
      <c r="Q165" s="47"/>
      <c r="R165" s="47"/>
      <c r="S165" s="47"/>
    </row>
    <row r="166">
      <c r="L166" s="183"/>
      <c r="O166" s="47"/>
      <c r="P166" s="47"/>
      <c r="Q166" s="47"/>
      <c r="R166" s="47"/>
      <c r="S166" s="47"/>
    </row>
    <row r="167">
      <c r="L167" s="183"/>
      <c r="O167" s="47"/>
      <c r="P167" s="47"/>
      <c r="Q167" s="47"/>
      <c r="R167" s="47"/>
      <c r="S167" s="47"/>
    </row>
    <row r="168">
      <c r="L168" s="183"/>
      <c r="O168" s="47"/>
      <c r="P168" s="47"/>
      <c r="Q168" s="47"/>
      <c r="R168" s="47"/>
      <c r="S168" s="47"/>
    </row>
    <row r="169">
      <c r="L169" s="183"/>
      <c r="O169" s="47"/>
      <c r="P169" s="47"/>
      <c r="Q169" s="47"/>
      <c r="R169" s="47"/>
      <c r="S169" s="47"/>
    </row>
    <row r="170">
      <c r="L170" s="183"/>
      <c r="O170" s="47"/>
      <c r="P170" s="47"/>
      <c r="Q170" s="47"/>
      <c r="R170" s="47"/>
      <c r="S170" s="47"/>
    </row>
    <row r="171">
      <c r="L171" s="183"/>
      <c r="O171" s="47"/>
      <c r="P171" s="47"/>
      <c r="Q171" s="47"/>
      <c r="R171" s="47"/>
      <c r="S171" s="47"/>
    </row>
    <row r="172">
      <c r="L172" s="183"/>
      <c r="O172" s="47"/>
      <c r="P172" s="47"/>
      <c r="Q172" s="47"/>
      <c r="R172" s="47"/>
      <c r="S172" s="47"/>
    </row>
    <row r="173">
      <c r="L173" s="183"/>
      <c r="O173" s="47"/>
      <c r="P173" s="47"/>
      <c r="Q173" s="47"/>
      <c r="R173" s="47"/>
      <c r="S173" s="47"/>
    </row>
    <row r="174">
      <c r="L174" s="183"/>
      <c r="O174" s="47"/>
      <c r="P174" s="47"/>
      <c r="Q174" s="47"/>
      <c r="R174" s="47"/>
      <c r="S174" s="47"/>
    </row>
    <row r="175">
      <c r="L175" s="183"/>
      <c r="O175" s="47"/>
      <c r="P175" s="47"/>
      <c r="Q175" s="47"/>
      <c r="R175" s="47"/>
      <c r="S175" s="47"/>
    </row>
    <row r="176">
      <c r="L176" s="183"/>
      <c r="O176" s="47"/>
      <c r="P176" s="47"/>
      <c r="Q176" s="47"/>
      <c r="R176" s="47"/>
      <c r="S176" s="47"/>
    </row>
    <row r="177">
      <c r="L177" s="183"/>
      <c r="O177" s="47"/>
      <c r="P177" s="47"/>
      <c r="Q177" s="47"/>
      <c r="R177" s="47"/>
      <c r="S177" s="47"/>
    </row>
    <row r="178">
      <c r="L178" s="183"/>
      <c r="O178" s="47"/>
      <c r="P178" s="47"/>
      <c r="Q178" s="47"/>
      <c r="R178" s="47"/>
      <c r="S178" s="47"/>
    </row>
    <row r="179">
      <c r="L179" s="183"/>
      <c r="O179" s="47"/>
      <c r="P179" s="47"/>
      <c r="Q179" s="47"/>
      <c r="R179" s="47"/>
      <c r="S179" s="47"/>
    </row>
    <row r="180">
      <c r="L180" s="183"/>
      <c r="O180" s="47"/>
      <c r="P180" s="47"/>
      <c r="Q180" s="47"/>
      <c r="R180" s="47"/>
      <c r="S180" s="47"/>
    </row>
    <row r="181">
      <c r="L181" s="183"/>
      <c r="O181" s="47"/>
      <c r="P181" s="47"/>
      <c r="Q181" s="47"/>
      <c r="R181" s="47"/>
      <c r="S181" s="47"/>
    </row>
    <row r="182">
      <c r="L182" s="183"/>
      <c r="O182" s="47"/>
      <c r="P182" s="47"/>
      <c r="Q182" s="47"/>
      <c r="R182" s="47"/>
      <c r="S182" s="47"/>
    </row>
    <row r="183">
      <c r="L183" s="183"/>
      <c r="O183" s="47"/>
      <c r="P183" s="47"/>
      <c r="Q183" s="47"/>
      <c r="R183" s="47"/>
      <c r="S183" s="47"/>
    </row>
    <row r="184">
      <c r="L184" s="183"/>
      <c r="O184" s="47"/>
      <c r="P184" s="47"/>
      <c r="Q184" s="47"/>
      <c r="R184" s="47"/>
      <c r="S184" s="47"/>
    </row>
    <row r="185">
      <c r="L185" s="183"/>
      <c r="O185" s="47"/>
      <c r="P185" s="47"/>
      <c r="Q185" s="47"/>
      <c r="R185" s="47"/>
      <c r="S185" s="47"/>
    </row>
    <row r="186">
      <c r="L186" s="183"/>
      <c r="O186" s="47"/>
      <c r="P186" s="47"/>
      <c r="Q186" s="47"/>
      <c r="R186" s="47"/>
      <c r="S186" s="47"/>
    </row>
    <row r="187">
      <c r="L187" s="183"/>
      <c r="O187" s="47"/>
      <c r="P187" s="47"/>
      <c r="Q187" s="47"/>
      <c r="R187" s="47"/>
      <c r="S187" s="47"/>
    </row>
    <row r="188">
      <c r="L188" s="183"/>
      <c r="O188" s="47"/>
      <c r="P188" s="47"/>
      <c r="Q188" s="47"/>
      <c r="R188" s="47"/>
      <c r="S188" s="47"/>
    </row>
    <row r="189">
      <c r="L189" s="183"/>
      <c r="O189" s="47"/>
      <c r="P189" s="47"/>
      <c r="Q189" s="47"/>
      <c r="R189" s="47"/>
      <c r="S189" s="47"/>
    </row>
    <row r="190">
      <c r="L190" s="183"/>
      <c r="O190" s="47"/>
      <c r="P190" s="47"/>
      <c r="Q190" s="47"/>
      <c r="R190" s="47"/>
      <c r="S190" s="47"/>
    </row>
    <row r="191">
      <c r="L191" s="183"/>
      <c r="O191" s="47"/>
      <c r="P191" s="47"/>
      <c r="Q191" s="47"/>
      <c r="R191" s="47"/>
      <c r="S191" s="47"/>
    </row>
    <row r="192">
      <c r="L192" s="183"/>
      <c r="O192" s="47"/>
      <c r="P192" s="47"/>
      <c r="Q192" s="47"/>
      <c r="R192" s="47"/>
      <c r="S192" s="47"/>
    </row>
    <row r="193">
      <c r="L193" s="183"/>
      <c r="O193" s="47"/>
      <c r="P193" s="47"/>
      <c r="Q193" s="47"/>
      <c r="R193" s="47"/>
      <c r="S193" s="47"/>
    </row>
    <row r="194">
      <c r="L194" s="183"/>
      <c r="O194" s="47"/>
      <c r="P194" s="47"/>
      <c r="Q194" s="47"/>
      <c r="R194" s="47"/>
      <c r="S194" s="47"/>
    </row>
    <row r="195">
      <c r="L195" s="183"/>
      <c r="O195" s="47"/>
      <c r="P195" s="47"/>
      <c r="Q195" s="47"/>
      <c r="R195" s="47"/>
      <c r="S195" s="47"/>
    </row>
    <row r="196">
      <c r="L196" s="183"/>
      <c r="O196" s="47"/>
      <c r="P196" s="47"/>
      <c r="Q196" s="47"/>
      <c r="R196" s="47"/>
      <c r="S196" s="47"/>
    </row>
    <row r="197">
      <c r="L197" s="183"/>
      <c r="O197" s="47"/>
      <c r="P197" s="47"/>
      <c r="Q197" s="47"/>
      <c r="R197" s="47"/>
      <c r="S197" s="47"/>
    </row>
    <row r="198">
      <c r="L198" s="183"/>
      <c r="O198" s="47"/>
      <c r="P198" s="47"/>
      <c r="Q198" s="47"/>
      <c r="R198" s="47"/>
      <c r="S198" s="47"/>
    </row>
    <row r="199">
      <c r="L199" s="183"/>
      <c r="O199" s="47"/>
      <c r="P199" s="47"/>
      <c r="Q199" s="47"/>
      <c r="R199" s="47"/>
      <c r="S199" s="47"/>
    </row>
    <row r="200">
      <c r="L200" s="183"/>
      <c r="O200" s="47"/>
      <c r="P200" s="47"/>
      <c r="Q200" s="47"/>
      <c r="R200" s="47"/>
      <c r="S200" s="47"/>
    </row>
    <row r="201">
      <c r="L201" s="183"/>
      <c r="O201" s="47"/>
      <c r="P201" s="47"/>
      <c r="Q201" s="47"/>
      <c r="R201" s="47"/>
      <c r="S201" s="47"/>
    </row>
    <row r="202">
      <c r="L202" s="183"/>
      <c r="O202" s="47"/>
      <c r="P202" s="47"/>
      <c r="Q202" s="47"/>
      <c r="R202" s="47"/>
      <c r="S202" s="47"/>
    </row>
    <row r="203">
      <c r="L203" s="183"/>
      <c r="O203" s="47"/>
      <c r="P203" s="47"/>
      <c r="Q203" s="47"/>
      <c r="R203" s="47"/>
      <c r="S203" s="47"/>
    </row>
    <row r="204">
      <c r="L204" s="183"/>
      <c r="O204" s="47"/>
      <c r="P204" s="47"/>
      <c r="Q204" s="47"/>
      <c r="R204" s="47"/>
      <c r="S204" s="47"/>
    </row>
    <row r="205">
      <c r="L205" s="183"/>
      <c r="O205" s="47"/>
      <c r="P205" s="47"/>
      <c r="Q205" s="47"/>
      <c r="R205" s="47"/>
      <c r="S205" s="47"/>
    </row>
    <row r="206">
      <c r="L206" s="183"/>
      <c r="O206" s="47"/>
      <c r="P206" s="47"/>
      <c r="Q206" s="47"/>
      <c r="R206" s="47"/>
      <c r="S206" s="47"/>
    </row>
    <row r="207">
      <c r="L207" s="183"/>
      <c r="O207" s="47"/>
      <c r="P207" s="47"/>
      <c r="Q207" s="47"/>
      <c r="R207" s="47"/>
      <c r="S207" s="47"/>
    </row>
    <row r="208">
      <c r="L208" s="183"/>
      <c r="O208" s="47"/>
      <c r="P208" s="47"/>
      <c r="Q208" s="47"/>
      <c r="R208" s="47"/>
      <c r="S208" s="47"/>
    </row>
    <row r="209">
      <c r="L209" s="183"/>
      <c r="O209" s="47"/>
      <c r="P209" s="47"/>
      <c r="Q209" s="47"/>
      <c r="R209" s="47"/>
      <c r="S209" s="47"/>
    </row>
    <row r="210">
      <c r="L210" s="183"/>
      <c r="O210" s="47"/>
      <c r="P210" s="47"/>
      <c r="Q210" s="47"/>
      <c r="R210" s="47"/>
      <c r="S210" s="47"/>
    </row>
    <row r="211">
      <c r="L211" s="183"/>
      <c r="O211" s="47"/>
      <c r="P211" s="47"/>
      <c r="Q211" s="47"/>
      <c r="R211" s="47"/>
      <c r="S211" s="47"/>
    </row>
    <row r="212">
      <c r="L212" s="183"/>
      <c r="O212" s="47"/>
      <c r="P212" s="47"/>
      <c r="Q212" s="47"/>
      <c r="R212" s="47"/>
      <c r="S212" s="47"/>
    </row>
    <row r="213">
      <c r="L213" s="183"/>
      <c r="O213" s="47"/>
      <c r="P213" s="47"/>
      <c r="Q213" s="47"/>
      <c r="R213" s="47"/>
      <c r="S213" s="47"/>
    </row>
    <row r="214">
      <c r="L214" s="183"/>
      <c r="O214" s="47"/>
      <c r="P214" s="47"/>
      <c r="Q214" s="47"/>
      <c r="R214" s="47"/>
      <c r="S214" s="47"/>
    </row>
    <row r="215">
      <c r="L215" s="183"/>
      <c r="O215" s="47"/>
      <c r="P215" s="47"/>
      <c r="Q215" s="47"/>
      <c r="R215" s="47"/>
      <c r="S215" s="47"/>
    </row>
    <row r="216">
      <c r="L216" s="183"/>
      <c r="O216" s="47"/>
      <c r="P216" s="47"/>
      <c r="Q216" s="47"/>
      <c r="R216" s="47"/>
      <c r="S216" s="47"/>
    </row>
    <row r="217">
      <c r="L217" s="183"/>
      <c r="O217" s="47"/>
      <c r="P217" s="47"/>
      <c r="Q217" s="47"/>
      <c r="R217" s="47"/>
      <c r="S217" s="47"/>
    </row>
    <row r="218">
      <c r="L218" s="183"/>
      <c r="O218" s="47"/>
      <c r="P218" s="47"/>
      <c r="Q218" s="47"/>
      <c r="R218" s="47"/>
      <c r="S218" s="47"/>
    </row>
    <row r="219">
      <c r="L219" s="183"/>
      <c r="O219" s="47"/>
      <c r="P219" s="47"/>
      <c r="Q219" s="47"/>
      <c r="R219" s="47"/>
      <c r="S219" s="47"/>
    </row>
    <row r="220">
      <c r="L220" s="183"/>
      <c r="O220" s="47"/>
      <c r="P220" s="47"/>
      <c r="Q220" s="47"/>
      <c r="R220" s="47"/>
      <c r="S220" s="47"/>
    </row>
    <row r="221">
      <c r="L221" s="183"/>
      <c r="O221" s="47"/>
      <c r="P221" s="47"/>
      <c r="Q221" s="47"/>
      <c r="R221" s="47"/>
      <c r="S221" s="47"/>
    </row>
    <row r="222">
      <c r="L222" s="183"/>
      <c r="O222" s="47"/>
      <c r="P222" s="47"/>
      <c r="Q222" s="47"/>
      <c r="R222" s="47"/>
      <c r="S222" s="47"/>
    </row>
    <row r="223">
      <c r="L223" s="183"/>
      <c r="O223" s="47"/>
      <c r="P223" s="47"/>
      <c r="Q223" s="47"/>
      <c r="R223" s="47"/>
      <c r="S223" s="47"/>
    </row>
    <row r="224">
      <c r="L224" s="183"/>
      <c r="O224" s="47"/>
      <c r="P224" s="47"/>
      <c r="Q224" s="47"/>
      <c r="R224" s="47"/>
      <c r="S224" s="47"/>
    </row>
    <row r="225">
      <c r="L225" s="183"/>
      <c r="O225" s="47"/>
      <c r="P225" s="47"/>
      <c r="Q225" s="47"/>
      <c r="R225" s="47"/>
      <c r="S225" s="47"/>
    </row>
    <row r="226">
      <c r="L226" s="183"/>
      <c r="O226" s="47"/>
      <c r="P226" s="47"/>
      <c r="Q226" s="47"/>
      <c r="R226" s="47"/>
      <c r="S226" s="47"/>
    </row>
    <row r="227">
      <c r="L227" s="183"/>
      <c r="O227" s="47"/>
      <c r="P227" s="47"/>
      <c r="Q227" s="47"/>
      <c r="R227" s="47"/>
      <c r="S227" s="47"/>
    </row>
    <row r="228">
      <c r="L228" s="183"/>
      <c r="O228" s="47"/>
      <c r="P228" s="47"/>
      <c r="Q228" s="47"/>
      <c r="R228" s="47"/>
      <c r="S228" s="47"/>
    </row>
    <row r="229">
      <c r="L229" s="183"/>
      <c r="O229" s="47"/>
      <c r="P229" s="47"/>
      <c r="Q229" s="47"/>
      <c r="R229" s="47"/>
      <c r="S229" s="47"/>
    </row>
    <row r="230">
      <c r="L230" s="183"/>
      <c r="O230" s="47"/>
      <c r="P230" s="47"/>
      <c r="Q230" s="47"/>
      <c r="R230" s="47"/>
      <c r="S230" s="47"/>
    </row>
    <row r="231">
      <c r="L231" s="183"/>
      <c r="O231" s="47"/>
      <c r="P231" s="47"/>
      <c r="Q231" s="47"/>
      <c r="R231" s="47"/>
      <c r="S231" s="47"/>
    </row>
    <row r="232">
      <c r="L232" s="183"/>
      <c r="O232" s="47"/>
      <c r="P232" s="47"/>
      <c r="Q232" s="47"/>
      <c r="R232" s="47"/>
      <c r="S232" s="47"/>
    </row>
    <row r="233">
      <c r="L233" s="183"/>
      <c r="O233" s="47"/>
      <c r="P233" s="47"/>
      <c r="Q233" s="47"/>
      <c r="R233" s="47"/>
      <c r="S233" s="47"/>
    </row>
    <row r="234">
      <c r="L234" s="183"/>
      <c r="O234" s="47"/>
      <c r="P234" s="47"/>
      <c r="Q234" s="47"/>
      <c r="R234" s="47"/>
      <c r="S234" s="47"/>
    </row>
    <row r="235">
      <c r="L235" s="183"/>
      <c r="O235" s="47"/>
      <c r="P235" s="47"/>
      <c r="Q235" s="47"/>
      <c r="R235" s="47"/>
      <c r="S235" s="47"/>
    </row>
    <row r="236">
      <c r="L236" s="183"/>
      <c r="O236" s="47"/>
      <c r="P236" s="47"/>
      <c r="Q236" s="47"/>
      <c r="R236" s="47"/>
      <c r="S236" s="47"/>
    </row>
    <row r="237">
      <c r="L237" s="183"/>
      <c r="O237" s="47"/>
      <c r="P237" s="47"/>
      <c r="Q237" s="47"/>
      <c r="R237" s="47"/>
      <c r="S237" s="47"/>
    </row>
    <row r="238">
      <c r="L238" s="183"/>
      <c r="O238" s="47"/>
      <c r="P238" s="47"/>
      <c r="Q238" s="47"/>
      <c r="R238" s="47"/>
      <c r="S238" s="47"/>
    </row>
    <row r="239">
      <c r="L239" s="183"/>
      <c r="O239" s="47"/>
      <c r="P239" s="47"/>
      <c r="Q239" s="47"/>
      <c r="R239" s="47"/>
      <c r="S239" s="47"/>
    </row>
    <row r="240">
      <c r="L240" s="183"/>
      <c r="O240" s="47"/>
      <c r="P240" s="47"/>
      <c r="Q240" s="47"/>
      <c r="R240" s="47"/>
      <c r="S240" s="47"/>
    </row>
    <row r="241">
      <c r="L241" s="183"/>
      <c r="O241" s="47"/>
      <c r="P241" s="47"/>
      <c r="Q241" s="47"/>
      <c r="R241" s="47"/>
      <c r="S241" s="47"/>
    </row>
    <row r="242">
      <c r="L242" s="183"/>
      <c r="O242" s="47"/>
      <c r="P242" s="47"/>
      <c r="Q242" s="47"/>
      <c r="R242" s="47"/>
      <c r="S242" s="47"/>
    </row>
    <row r="243">
      <c r="L243" s="183"/>
      <c r="O243" s="47"/>
      <c r="P243" s="47"/>
      <c r="Q243" s="47"/>
      <c r="R243" s="47"/>
      <c r="S243" s="47"/>
    </row>
    <row r="244">
      <c r="L244" s="183"/>
      <c r="O244" s="47"/>
      <c r="P244" s="47"/>
      <c r="Q244" s="47"/>
      <c r="R244" s="47"/>
      <c r="S244" s="47"/>
    </row>
    <row r="245">
      <c r="L245" s="183"/>
      <c r="O245" s="47"/>
      <c r="P245" s="47"/>
      <c r="Q245" s="47"/>
      <c r="R245" s="47"/>
      <c r="S245" s="47"/>
    </row>
    <row r="246">
      <c r="L246" s="183"/>
      <c r="O246" s="47"/>
      <c r="P246" s="47"/>
      <c r="Q246" s="47"/>
      <c r="R246" s="47"/>
      <c r="S246" s="47"/>
    </row>
    <row r="247">
      <c r="L247" s="183"/>
      <c r="O247" s="47"/>
      <c r="P247" s="47"/>
      <c r="Q247" s="47"/>
      <c r="R247" s="47"/>
      <c r="S247" s="47"/>
    </row>
    <row r="248">
      <c r="L248" s="183"/>
      <c r="O248" s="47"/>
      <c r="P248" s="47"/>
      <c r="Q248" s="47"/>
      <c r="R248" s="47"/>
      <c r="S248" s="47"/>
    </row>
    <row r="249">
      <c r="L249" s="183"/>
      <c r="O249" s="47"/>
      <c r="P249" s="47"/>
      <c r="Q249" s="47"/>
      <c r="R249" s="47"/>
      <c r="S249" s="47"/>
    </row>
    <row r="250">
      <c r="L250" s="183"/>
      <c r="O250" s="47"/>
      <c r="P250" s="47"/>
      <c r="Q250" s="47"/>
      <c r="R250" s="47"/>
      <c r="S250" s="47"/>
    </row>
    <row r="251">
      <c r="L251" s="183"/>
      <c r="O251" s="47"/>
      <c r="P251" s="47"/>
      <c r="Q251" s="47"/>
      <c r="R251" s="47"/>
      <c r="S251" s="47"/>
    </row>
    <row r="252">
      <c r="L252" s="183"/>
      <c r="O252" s="47"/>
      <c r="P252" s="47"/>
      <c r="Q252" s="47"/>
      <c r="R252" s="47"/>
      <c r="S252" s="47"/>
    </row>
    <row r="253">
      <c r="L253" s="183"/>
      <c r="O253" s="47"/>
      <c r="P253" s="47"/>
      <c r="Q253" s="47"/>
      <c r="R253" s="47"/>
      <c r="S253" s="47"/>
    </row>
    <row r="254">
      <c r="L254" s="183"/>
      <c r="O254" s="47"/>
      <c r="P254" s="47"/>
      <c r="Q254" s="47"/>
      <c r="R254" s="47"/>
      <c r="S254" s="47"/>
    </row>
    <row r="255">
      <c r="L255" s="183"/>
      <c r="O255" s="47"/>
      <c r="P255" s="47"/>
      <c r="Q255" s="47"/>
      <c r="R255" s="47"/>
      <c r="S255" s="47"/>
    </row>
    <row r="256">
      <c r="L256" s="183"/>
      <c r="O256" s="47"/>
      <c r="P256" s="47"/>
      <c r="Q256" s="47"/>
      <c r="R256" s="47"/>
      <c r="S256" s="47"/>
    </row>
    <row r="257">
      <c r="L257" s="183"/>
      <c r="O257" s="47"/>
      <c r="P257" s="47"/>
      <c r="Q257" s="47"/>
      <c r="R257" s="47"/>
      <c r="S257" s="47"/>
    </row>
    <row r="258">
      <c r="L258" s="183"/>
      <c r="O258" s="47"/>
      <c r="P258" s="47"/>
      <c r="Q258" s="47"/>
      <c r="R258" s="47"/>
      <c r="S258" s="47"/>
    </row>
    <row r="259">
      <c r="L259" s="183"/>
      <c r="O259" s="47"/>
      <c r="P259" s="47"/>
      <c r="Q259" s="47"/>
      <c r="R259" s="47"/>
      <c r="S259" s="47"/>
    </row>
    <row r="260">
      <c r="L260" s="183"/>
      <c r="O260" s="47"/>
      <c r="P260" s="47"/>
      <c r="Q260" s="47"/>
      <c r="R260" s="47"/>
      <c r="S260" s="47"/>
    </row>
    <row r="261">
      <c r="L261" s="183"/>
      <c r="O261" s="47"/>
      <c r="P261" s="47"/>
      <c r="Q261" s="47"/>
      <c r="R261" s="47"/>
      <c r="S261" s="47"/>
    </row>
    <row r="262">
      <c r="L262" s="183"/>
      <c r="O262" s="47"/>
      <c r="P262" s="47"/>
      <c r="Q262" s="47"/>
      <c r="R262" s="47"/>
      <c r="S262" s="47"/>
    </row>
    <row r="263">
      <c r="L263" s="183"/>
      <c r="O263" s="47"/>
      <c r="P263" s="47"/>
      <c r="Q263" s="47"/>
      <c r="R263" s="47"/>
      <c r="S263" s="47"/>
    </row>
    <row r="264">
      <c r="L264" s="183"/>
      <c r="O264" s="47"/>
      <c r="P264" s="47"/>
      <c r="Q264" s="47"/>
      <c r="R264" s="47"/>
      <c r="S264" s="47"/>
    </row>
    <row r="265">
      <c r="L265" s="183"/>
      <c r="O265" s="47"/>
      <c r="P265" s="47"/>
      <c r="Q265" s="47"/>
      <c r="R265" s="47"/>
      <c r="S265" s="47"/>
    </row>
    <row r="266">
      <c r="L266" s="183"/>
      <c r="O266" s="47"/>
      <c r="P266" s="47"/>
      <c r="Q266" s="47"/>
      <c r="R266" s="47"/>
      <c r="S266" s="47"/>
    </row>
    <row r="267">
      <c r="L267" s="183"/>
      <c r="O267" s="47"/>
      <c r="P267" s="47"/>
      <c r="Q267" s="47"/>
      <c r="R267" s="47"/>
      <c r="S267" s="47"/>
    </row>
    <row r="268">
      <c r="L268" s="183"/>
      <c r="O268" s="47"/>
      <c r="P268" s="47"/>
      <c r="Q268" s="47"/>
      <c r="R268" s="47"/>
      <c r="S268" s="47"/>
    </row>
    <row r="269">
      <c r="L269" s="183"/>
      <c r="O269" s="47"/>
      <c r="P269" s="47"/>
      <c r="Q269" s="47"/>
      <c r="R269" s="47"/>
      <c r="S269" s="47"/>
    </row>
    <row r="270">
      <c r="L270" s="183"/>
      <c r="O270" s="47"/>
      <c r="P270" s="47"/>
      <c r="Q270" s="47"/>
      <c r="R270" s="47"/>
      <c r="S270" s="47"/>
    </row>
    <row r="271">
      <c r="L271" s="183"/>
      <c r="O271" s="47"/>
      <c r="P271" s="47"/>
      <c r="Q271" s="47"/>
      <c r="R271" s="47"/>
      <c r="S271" s="47"/>
    </row>
    <row r="272">
      <c r="L272" s="183"/>
      <c r="O272" s="47"/>
      <c r="P272" s="47"/>
      <c r="Q272" s="47"/>
      <c r="R272" s="47"/>
      <c r="S272" s="47"/>
    </row>
    <row r="273">
      <c r="L273" s="183"/>
      <c r="O273" s="47"/>
      <c r="P273" s="47"/>
      <c r="Q273" s="47"/>
      <c r="R273" s="47"/>
      <c r="S273" s="47"/>
    </row>
    <row r="274">
      <c r="L274" s="183"/>
      <c r="O274" s="47"/>
      <c r="P274" s="47"/>
      <c r="Q274" s="47"/>
      <c r="R274" s="47"/>
      <c r="S274" s="47"/>
    </row>
    <row r="275">
      <c r="L275" s="183"/>
      <c r="O275" s="47"/>
      <c r="P275" s="47"/>
      <c r="Q275" s="47"/>
      <c r="R275" s="47"/>
      <c r="S275" s="47"/>
    </row>
    <row r="276">
      <c r="L276" s="183"/>
      <c r="O276" s="47"/>
      <c r="P276" s="47"/>
      <c r="Q276" s="47"/>
      <c r="R276" s="47"/>
      <c r="S276" s="47"/>
    </row>
    <row r="277">
      <c r="L277" s="183"/>
      <c r="O277" s="47"/>
      <c r="P277" s="47"/>
      <c r="Q277" s="47"/>
      <c r="R277" s="47"/>
      <c r="S277" s="47"/>
    </row>
    <row r="278">
      <c r="L278" s="183"/>
      <c r="O278" s="47"/>
      <c r="P278" s="47"/>
      <c r="Q278" s="47"/>
      <c r="R278" s="47"/>
      <c r="S278" s="47"/>
    </row>
    <row r="279">
      <c r="L279" s="183"/>
      <c r="O279" s="47"/>
      <c r="P279" s="47"/>
      <c r="Q279" s="47"/>
      <c r="R279" s="47"/>
      <c r="S279" s="47"/>
    </row>
    <row r="280">
      <c r="L280" s="183"/>
      <c r="O280" s="47"/>
      <c r="P280" s="47"/>
      <c r="Q280" s="47"/>
      <c r="R280" s="47"/>
      <c r="S280" s="47"/>
    </row>
    <row r="281">
      <c r="L281" s="183"/>
      <c r="O281" s="47"/>
      <c r="P281" s="47"/>
      <c r="Q281" s="47"/>
      <c r="R281" s="47"/>
      <c r="S281" s="47"/>
    </row>
    <row r="282">
      <c r="L282" s="183"/>
      <c r="O282" s="47"/>
      <c r="P282" s="47"/>
      <c r="Q282" s="47"/>
      <c r="R282" s="47"/>
      <c r="S282" s="47"/>
    </row>
    <row r="283">
      <c r="L283" s="183"/>
      <c r="O283" s="47"/>
      <c r="P283" s="47"/>
      <c r="Q283" s="47"/>
      <c r="R283" s="47"/>
      <c r="S283" s="47"/>
    </row>
    <row r="284">
      <c r="L284" s="183"/>
      <c r="O284" s="47"/>
      <c r="P284" s="47"/>
      <c r="Q284" s="47"/>
      <c r="R284" s="47"/>
      <c r="S284" s="47"/>
    </row>
    <row r="285">
      <c r="L285" s="183"/>
      <c r="O285" s="47"/>
      <c r="P285" s="47"/>
      <c r="Q285" s="47"/>
      <c r="R285" s="47"/>
      <c r="S285" s="47"/>
    </row>
    <row r="286">
      <c r="L286" s="183"/>
      <c r="O286" s="47"/>
      <c r="P286" s="47"/>
      <c r="Q286" s="47"/>
      <c r="R286" s="47"/>
      <c r="S286" s="47"/>
    </row>
    <row r="287">
      <c r="L287" s="183"/>
      <c r="O287" s="47"/>
      <c r="P287" s="47"/>
      <c r="Q287" s="47"/>
      <c r="R287" s="47"/>
      <c r="S287" s="47"/>
    </row>
    <row r="288">
      <c r="L288" s="183"/>
      <c r="O288" s="47"/>
      <c r="P288" s="47"/>
      <c r="Q288" s="47"/>
      <c r="R288" s="47"/>
      <c r="S288" s="47"/>
    </row>
    <row r="289">
      <c r="L289" s="183"/>
      <c r="O289" s="47"/>
      <c r="P289" s="47"/>
      <c r="Q289" s="47"/>
      <c r="R289" s="47"/>
      <c r="S289" s="47"/>
    </row>
    <row r="290">
      <c r="L290" s="183"/>
      <c r="O290" s="47"/>
      <c r="P290" s="47"/>
      <c r="Q290" s="47"/>
      <c r="R290" s="47"/>
      <c r="S290" s="47"/>
    </row>
    <row r="291">
      <c r="L291" s="183"/>
      <c r="O291" s="47"/>
      <c r="P291" s="47"/>
      <c r="Q291" s="47"/>
      <c r="R291" s="47"/>
      <c r="S291" s="47"/>
    </row>
    <row r="292">
      <c r="L292" s="183"/>
      <c r="O292" s="47"/>
      <c r="P292" s="47"/>
      <c r="Q292" s="47"/>
      <c r="R292" s="47"/>
      <c r="S292" s="47"/>
    </row>
    <row r="293">
      <c r="L293" s="183"/>
      <c r="O293" s="47"/>
      <c r="P293" s="47"/>
      <c r="Q293" s="47"/>
      <c r="R293" s="47"/>
      <c r="S293" s="47"/>
    </row>
    <row r="294">
      <c r="L294" s="183"/>
      <c r="O294" s="47"/>
      <c r="P294" s="47"/>
      <c r="Q294" s="47"/>
      <c r="R294" s="47"/>
      <c r="S294" s="47"/>
    </row>
    <row r="295">
      <c r="L295" s="183"/>
      <c r="O295" s="47"/>
      <c r="P295" s="47"/>
      <c r="Q295" s="47"/>
      <c r="R295" s="47"/>
      <c r="S295" s="47"/>
    </row>
    <row r="296">
      <c r="L296" s="183"/>
      <c r="O296" s="47"/>
      <c r="P296" s="47"/>
      <c r="Q296" s="47"/>
      <c r="R296" s="47"/>
      <c r="S296" s="47"/>
    </row>
    <row r="297">
      <c r="L297" s="183"/>
      <c r="O297" s="47"/>
      <c r="P297" s="47"/>
      <c r="Q297" s="47"/>
      <c r="R297" s="47"/>
      <c r="S297" s="47"/>
    </row>
    <row r="298">
      <c r="L298" s="183"/>
      <c r="O298" s="47"/>
      <c r="P298" s="47"/>
      <c r="Q298" s="47"/>
      <c r="R298" s="47"/>
      <c r="S298" s="47"/>
    </row>
    <row r="299">
      <c r="L299" s="183"/>
      <c r="O299" s="47"/>
      <c r="P299" s="47"/>
      <c r="Q299" s="47"/>
      <c r="R299" s="47"/>
      <c r="S299" s="47"/>
    </row>
    <row r="300">
      <c r="L300" s="183"/>
      <c r="O300" s="47"/>
      <c r="P300" s="47"/>
      <c r="Q300" s="47"/>
      <c r="R300" s="47"/>
      <c r="S300" s="47"/>
    </row>
    <row r="301">
      <c r="L301" s="183"/>
      <c r="O301" s="47"/>
      <c r="P301" s="47"/>
      <c r="Q301" s="47"/>
      <c r="R301" s="47"/>
      <c r="S301" s="47"/>
    </row>
    <row r="302">
      <c r="L302" s="183"/>
      <c r="O302" s="47"/>
      <c r="P302" s="47"/>
      <c r="Q302" s="47"/>
      <c r="R302" s="47"/>
      <c r="S302" s="47"/>
    </row>
    <row r="303">
      <c r="L303" s="183"/>
      <c r="O303" s="47"/>
      <c r="P303" s="47"/>
      <c r="Q303" s="47"/>
      <c r="R303" s="47"/>
      <c r="S303" s="47"/>
    </row>
    <row r="304">
      <c r="L304" s="183"/>
      <c r="O304" s="47"/>
      <c r="P304" s="47"/>
      <c r="Q304" s="47"/>
      <c r="R304" s="47"/>
      <c r="S304" s="47"/>
    </row>
    <row r="305">
      <c r="L305" s="183"/>
      <c r="O305" s="47"/>
      <c r="P305" s="47"/>
      <c r="Q305" s="47"/>
      <c r="R305" s="47"/>
      <c r="S305" s="47"/>
    </row>
    <row r="306">
      <c r="L306" s="183"/>
      <c r="O306" s="47"/>
      <c r="P306" s="47"/>
      <c r="Q306" s="47"/>
      <c r="R306" s="47"/>
      <c r="S306" s="47"/>
    </row>
    <row r="307">
      <c r="L307" s="183"/>
      <c r="O307" s="47"/>
      <c r="P307" s="47"/>
      <c r="Q307" s="47"/>
      <c r="R307" s="47"/>
      <c r="S307" s="47"/>
    </row>
    <row r="308">
      <c r="L308" s="183"/>
      <c r="O308" s="47"/>
      <c r="P308" s="47"/>
      <c r="Q308" s="47"/>
      <c r="R308" s="47"/>
      <c r="S308" s="47"/>
    </row>
    <row r="309">
      <c r="L309" s="183"/>
      <c r="O309" s="47"/>
      <c r="P309" s="47"/>
      <c r="Q309" s="47"/>
      <c r="R309" s="47"/>
      <c r="S309" s="47"/>
    </row>
    <row r="310">
      <c r="L310" s="183"/>
      <c r="O310" s="47"/>
      <c r="P310" s="47"/>
      <c r="Q310" s="47"/>
      <c r="R310" s="47"/>
      <c r="S310" s="47"/>
    </row>
    <row r="311">
      <c r="L311" s="183"/>
      <c r="O311" s="47"/>
      <c r="P311" s="47"/>
      <c r="Q311" s="47"/>
      <c r="R311" s="47"/>
      <c r="S311" s="47"/>
    </row>
    <row r="312">
      <c r="L312" s="183"/>
      <c r="O312" s="47"/>
      <c r="P312" s="47"/>
      <c r="Q312" s="47"/>
      <c r="R312" s="47"/>
      <c r="S312" s="47"/>
    </row>
    <row r="313">
      <c r="L313" s="183"/>
      <c r="O313" s="47"/>
      <c r="P313" s="47"/>
      <c r="Q313" s="47"/>
      <c r="R313" s="47"/>
      <c r="S313" s="47"/>
    </row>
    <row r="314">
      <c r="L314" s="183"/>
      <c r="O314" s="47"/>
      <c r="P314" s="47"/>
      <c r="Q314" s="47"/>
      <c r="R314" s="47"/>
      <c r="S314" s="47"/>
    </row>
    <row r="315">
      <c r="L315" s="183"/>
      <c r="O315" s="47"/>
      <c r="P315" s="47"/>
      <c r="Q315" s="47"/>
      <c r="R315" s="47"/>
      <c r="S315" s="47"/>
    </row>
    <row r="316">
      <c r="L316" s="183"/>
      <c r="O316" s="47"/>
      <c r="P316" s="47"/>
      <c r="Q316" s="47"/>
      <c r="R316" s="47"/>
      <c r="S316" s="47"/>
    </row>
    <row r="317">
      <c r="L317" s="183"/>
      <c r="O317" s="47"/>
      <c r="P317" s="47"/>
      <c r="Q317" s="47"/>
      <c r="R317" s="47"/>
      <c r="S317" s="47"/>
    </row>
    <row r="318">
      <c r="L318" s="183"/>
      <c r="O318" s="47"/>
      <c r="P318" s="47"/>
      <c r="Q318" s="47"/>
      <c r="R318" s="47"/>
      <c r="S318" s="47"/>
    </row>
    <row r="319">
      <c r="L319" s="183"/>
      <c r="O319" s="47"/>
      <c r="P319" s="47"/>
      <c r="Q319" s="47"/>
      <c r="R319" s="47"/>
      <c r="S319" s="47"/>
    </row>
    <row r="320">
      <c r="L320" s="183"/>
      <c r="O320" s="47"/>
      <c r="P320" s="47"/>
      <c r="Q320" s="47"/>
      <c r="R320" s="47"/>
      <c r="S320" s="47"/>
    </row>
    <row r="321">
      <c r="L321" s="183"/>
      <c r="O321" s="47"/>
      <c r="P321" s="47"/>
      <c r="Q321" s="47"/>
      <c r="R321" s="47"/>
      <c r="S321" s="47"/>
    </row>
    <row r="322">
      <c r="L322" s="183"/>
      <c r="O322" s="47"/>
      <c r="P322" s="47"/>
      <c r="Q322" s="47"/>
      <c r="R322" s="47"/>
      <c r="S322" s="47"/>
    </row>
    <row r="323">
      <c r="L323" s="183"/>
      <c r="O323" s="47"/>
      <c r="P323" s="47"/>
      <c r="Q323" s="47"/>
      <c r="R323" s="47"/>
      <c r="S323" s="47"/>
    </row>
    <row r="324">
      <c r="L324" s="183"/>
      <c r="O324" s="47"/>
      <c r="P324" s="47"/>
      <c r="Q324" s="47"/>
      <c r="R324" s="47"/>
      <c r="S324" s="47"/>
    </row>
    <row r="325">
      <c r="L325" s="183"/>
      <c r="O325" s="47"/>
      <c r="P325" s="47"/>
      <c r="Q325" s="47"/>
      <c r="R325" s="47"/>
      <c r="S325" s="47"/>
    </row>
    <row r="326">
      <c r="L326" s="183"/>
      <c r="O326" s="47"/>
      <c r="P326" s="47"/>
      <c r="Q326" s="47"/>
      <c r="R326" s="47"/>
      <c r="S326" s="47"/>
    </row>
    <row r="327">
      <c r="L327" s="183"/>
      <c r="O327" s="47"/>
      <c r="P327" s="47"/>
      <c r="Q327" s="47"/>
      <c r="R327" s="47"/>
      <c r="S327" s="47"/>
    </row>
    <row r="328">
      <c r="L328" s="183"/>
      <c r="O328" s="47"/>
      <c r="P328" s="47"/>
      <c r="Q328" s="47"/>
      <c r="R328" s="47"/>
      <c r="S328" s="47"/>
    </row>
    <row r="329">
      <c r="L329" s="183"/>
      <c r="O329" s="47"/>
      <c r="P329" s="47"/>
      <c r="Q329" s="47"/>
      <c r="R329" s="47"/>
      <c r="S329" s="47"/>
    </row>
    <row r="330">
      <c r="L330" s="183"/>
      <c r="O330" s="47"/>
      <c r="P330" s="47"/>
      <c r="Q330" s="47"/>
      <c r="R330" s="47"/>
      <c r="S330" s="47"/>
    </row>
    <row r="331">
      <c r="L331" s="183"/>
      <c r="O331" s="47"/>
      <c r="P331" s="47"/>
      <c r="Q331" s="47"/>
      <c r="R331" s="47"/>
      <c r="S331" s="47"/>
    </row>
    <row r="332">
      <c r="L332" s="183"/>
      <c r="O332" s="47"/>
      <c r="P332" s="47"/>
      <c r="Q332" s="47"/>
      <c r="R332" s="47"/>
      <c r="S332" s="47"/>
    </row>
    <row r="333">
      <c r="L333" s="183"/>
      <c r="O333" s="47"/>
      <c r="P333" s="47"/>
      <c r="Q333" s="47"/>
      <c r="R333" s="47"/>
      <c r="S333" s="47"/>
    </row>
    <row r="334">
      <c r="L334" s="183"/>
      <c r="O334" s="47"/>
      <c r="P334" s="47"/>
      <c r="Q334" s="47"/>
      <c r="R334" s="47"/>
      <c r="S334" s="47"/>
    </row>
    <row r="335">
      <c r="L335" s="183"/>
      <c r="O335" s="47"/>
      <c r="P335" s="47"/>
      <c r="Q335" s="47"/>
      <c r="R335" s="47"/>
      <c r="S335" s="47"/>
    </row>
    <row r="336">
      <c r="L336" s="183"/>
      <c r="O336" s="47"/>
      <c r="P336" s="47"/>
      <c r="Q336" s="47"/>
      <c r="R336" s="47"/>
      <c r="S336" s="47"/>
    </row>
    <row r="337">
      <c r="L337" s="183"/>
      <c r="O337" s="47"/>
      <c r="P337" s="47"/>
      <c r="Q337" s="47"/>
      <c r="R337" s="47"/>
      <c r="S337" s="47"/>
    </row>
    <row r="338">
      <c r="L338" s="183"/>
      <c r="O338" s="47"/>
      <c r="P338" s="47"/>
      <c r="Q338" s="47"/>
      <c r="R338" s="47"/>
      <c r="S338" s="47"/>
    </row>
    <row r="339">
      <c r="L339" s="183"/>
      <c r="O339" s="47"/>
      <c r="P339" s="47"/>
      <c r="Q339" s="47"/>
      <c r="R339" s="47"/>
      <c r="S339" s="47"/>
    </row>
    <row r="340">
      <c r="L340" s="183"/>
      <c r="O340" s="47"/>
      <c r="P340" s="47"/>
      <c r="Q340" s="47"/>
      <c r="R340" s="47"/>
      <c r="S340" s="47"/>
    </row>
    <row r="341">
      <c r="L341" s="183"/>
      <c r="O341" s="47"/>
      <c r="P341" s="47"/>
      <c r="Q341" s="47"/>
      <c r="R341" s="47"/>
      <c r="S341" s="47"/>
    </row>
    <row r="342">
      <c r="L342" s="183"/>
      <c r="O342" s="47"/>
      <c r="P342" s="47"/>
      <c r="Q342" s="47"/>
      <c r="R342" s="47"/>
      <c r="S342" s="47"/>
    </row>
    <row r="343">
      <c r="L343" s="183"/>
      <c r="O343" s="47"/>
      <c r="P343" s="47"/>
      <c r="Q343" s="47"/>
      <c r="R343" s="47"/>
      <c r="S343" s="47"/>
    </row>
    <row r="344">
      <c r="L344" s="183"/>
      <c r="O344" s="47"/>
      <c r="P344" s="47"/>
      <c r="Q344" s="47"/>
      <c r="R344" s="47"/>
      <c r="S344" s="47"/>
    </row>
    <row r="345">
      <c r="L345" s="183"/>
      <c r="O345" s="47"/>
      <c r="P345" s="47"/>
      <c r="Q345" s="47"/>
      <c r="R345" s="47"/>
      <c r="S345" s="47"/>
    </row>
    <row r="346">
      <c r="L346" s="183"/>
      <c r="O346" s="47"/>
      <c r="P346" s="47"/>
      <c r="Q346" s="47"/>
      <c r="R346" s="47"/>
      <c r="S346" s="47"/>
    </row>
    <row r="347">
      <c r="L347" s="183"/>
      <c r="O347" s="47"/>
      <c r="P347" s="47"/>
      <c r="Q347" s="47"/>
      <c r="R347" s="47"/>
      <c r="S347" s="47"/>
    </row>
    <row r="348">
      <c r="L348" s="183"/>
      <c r="O348" s="47"/>
      <c r="P348" s="47"/>
      <c r="Q348" s="47"/>
      <c r="R348" s="47"/>
      <c r="S348" s="47"/>
    </row>
    <row r="349">
      <c r="L349" s="183"/>
      <c r="O349" s="47"/>
      <c r="P349" s="47"/>
      <c r="Q349" s="47"/>
      <c r="R349" s="47"/>
      <c r="S349" s="47"/>
    </row>
    <row r="350">
      <c r="L350" s="183"/>
      <c r="O350" s="47"/>
      <c r="P350" s="47"/>
      <c r="Q350" s="47"/>
      <c r="R350" s="47"/>
      <c r="S350" s="47"/>
    </row>
    <row r="351">
      <c r="L351" s="183"/>
      <c r="O351" s="47"/>
      <c r="P351" s="47"/>
      <c r="Q351" s="47"/>
      <c r="R351" s="47"/>
      <c r="S351" s="47"/>
    </row>
    <row r="352">
      <c r="L352" s="183"/>
      <c r="O352" s="47"/>
      <c r="P352" s="47"/>
      <c r="Q352" s="47"/>
      <c r="R352" s="47"/>
      <c r="S352" s="47"/>
    </row>
    <row r="353">
      <c r="L353" s="183"/>
      <c r="O353" s="47"/>
      <c r="P353" s="47"/>
      <c r="Q353" s="47"/>
      <c r="R353" s="47"/>
      <c r="S353" s="47"/>
    </row>
    <row r="354">
      <c r="L354" s="183"/>
      <c r="O354" s="47"/>
      <c r="P354" s="47"/>
      <c r="Q354" s="47"/>
      <c r="R354" s="47"/>
      <c r="S354" s="47"/>
    </row>
    <row r="355">
      <c r="L355" s="183"/>
      <c r="O355" s="47"/>
      <c r="P355" s="47"/>
      <c r="Q355" s="47"/>
      <c r="R355" s="47"/>
      <c r="S355" s="47"/>
    </row>
    <row r="356">
      <c r="L356" s="183"/>
      <c r="O356" s="47"/>
      <c r="P356" s="47"/>
      <c r="Q356" s="47"/>
      <c r="R356" s="47"/>
      <c r="S356" s="47"/>
    </row>
    <row r="357">
      <c r="L357" s="183"/>
      <c r="O357" s="47"/>
      <c r="P357" s="47"/>
      <c r="Q357" s="47"/>
      <c r="R357" s="47"/>
      <c r="S357" s="47"/>
    </row>
    <row r="358">
      <c r="L358" s="183"/>
      <c r="O358" s="47"/>
      <c r="P358" s="47"/>
      <c r="Q358" s="47"/>
      <c r="R358" s="47"/>
      <c r="S358" s="47"/>
    </row>
    <row r="359">
      <c r="L359" s="183"/>
      <c r="O359" s="47"/>
      <c r="P359" s="47"/>
      <c r="Q359" s="47"/>
      <c r="R359" s="47"/>
      <c r="S359" s="47"/>
    </row>
    <row r="360">
      <c r="L360" s="183"/>
      <c r="O360" s="47"/>
      <c r="P360" s="47"/>
      <c r="Q360" s="47"/>
      <c r="R360" s="47"/>
      <c r="S360" s="47"/>
    </row>
    <row r="361">
      <c r="L361" s="183"/>
      <c r="O361" s="47"/>
      <c r="P361" s="47"/>
      <c r="Q361" s="47"/>
      <c r="R361" s="47"/>
      <c r="S361" s="47"/>
    </row>
    <row r="362">
      <c r="L362" s="183"/>
      <c r="O362" s="47"/>
      <c r="P362" s="47"/>
      <c r="Q362" s="47"/>
      <c r="R362" s="47"/>
      <c r="S362" s="47"/>
    </row>
    <row r="363">
      <c r="L363" s="183"/>
      <c r="O363" s="47"/>
      <c r="P363" s="47"/>
      <c r="Q363" s="47"/>
      <c r="R363" s="47"/>
      <c r="S363" s="47"/>
    </row>
    <row r="364">
      <c r="L364" s="183"/>
      <c r="O364" s="47"/>
      <c r="P364" s="47"/>
      <c r="Q364" s="47"/>
      <c r="R364" s="47"/>
      <c r="S364" s="47"/>
    </row>
    <row r="365">
      <c r="L365" s="183"/>
      <c r="O365" s="47"/>
      <c r="P365" s="47"/>
      <c r="Q365" s="47"/>
      <c r="R365" s="47"/>
      <c r="S365" s="47"/>
    </row>
    <row r="366">
      <c r="L366" s="183"/>
      <c r="O366" s="47"/>
      <c r="P366" s="47"/>
      <c r="Q366" s="47"/>
      <c r="R366" s="47"/>
      <c r="S366" s="47"/>
    </row>
    <row r="367">
      <c r="L367" s="183"/>
      <c r="O367" s="47"/>
      <c r="P367" s="47"/>
      <c r="Q367" s="47"/>
      <c r="R367" s="47"/>
      <c r="S367" s="47"/>
    </row>
    <row r="368">
      <c r="L368" s="183"/>
      <c r="O368" s="47"/>
      <c r="P368" s="47"/>
      <c r="Q368" s="47"/>
      <c r="R368" s="47"/>
      <c r="S368" s="47"/>
    </row>
    <row r="369">
      <c r="L369" s="183"/>
      <c r="O369" s="47"/>
      <c r="P369" s="47"/>
      <c r="Q369" s="47"/>
      <c r="R369" s="47"/>
      <c r="S369" s="47"/>
    </row>
    <row r="370">
      <c r="L370" s="183"/>
      <c r="O370" s="47"/>
      <c r="P370" s="47"/>
      <c r="Q370" s="47"/>
      <c r="R370" s="47"/>
      <c r="S370" s="47"/>
    </row>
    <row r="371">
      <c r="L371" s="183"/>
      <c r="O371" s="47"/>
      <c r="P371" s="47"/>
      <c r="Q371" s="47"/>
      <c r="R371" s="47"/>
      <c r="S371" s="47"/>
    </row>
    <row r="372">
      <c r="L372" s="183"/>
      <c r="O372" s="47"/>
      <c r="P372" s="47"/>
      <c r="Q372" s="47"/>
      <c r="R372" s="47"/>
      <c r="S372" s="47"/>
    </row>
    <row r="373">
      <c r="L373" s="183"/>
      <c r="O373" s="47"/>
      <c r="P373" s="47"/>
      <c r="Q373" s="47"/>
      <c r="R373" s="47"/>
      <c r="S373" s="47"/>
    </row>
    <row r="374">
      <c r="L374" s="183"/>
      <c r="O374" s="47"/>
      <c r="P374" s="47"/>
      <c r="Q374" s="47"/>
      <c r="R374" s="47"/>
      <c r="S374" s="47"/>
    </row>
    <row r="375">
      <c r="L375" s="183"/>
      <c r="O375" s="47"/>
      <c r="P375" s="47"/>
      <c r="Q375" s="47"/>
      <c r="R375" s="47"/>
      <c r="S375" s="47"/>
    </row>
    <row r="376">
      <c r="L376" s="183"/>
      <c r="O376" s="47"/>
      <c r="P376" s="47"/>
      <c r="Q376" s="47"/>
      <c r="R376" s="47"/>
      <c r="S376" s="47"/>
    </row>
    <row r="377">
      <c r="L377" s="183"/>
      <c r="O377" s="47"/>
      <c r="P377" s="47"/>
      <c r="Q377" s="47"/>
      <c r="R377" s="47"/>
      <c r="S377" s="47"/>
    </row>
    <row r="378">
      <c r="L378" s="183"/>
      <c r="O378" s="47"/>
      <c r="P378" s="47"/>
      <c r="Q378" s="47"/>
      <c r="R378" s="47"/>
      <c r="S378" s="47"/>
    </row>
    <row r="379">
      <c r="L379" s="183"/>
      <c r="O379" s="47"/>
      <c r="P379" s="47"/>
      <c r="Q379" s="47"/>
      <c r="R379" s="47"/>
      <c r="S379" s="47"/>
    </row>
    <row r="380">
      <c r="L380" s="183"/>
      <c r="O380" s="47"/>
      <c r="P380" s="47"/>
      <c r="Q380" s="47"/>
      <c r="R380" s="47"/>
      <c r="S380" s="47"/>
    </row>
    <row r="381">
      <c r="L381" s="183"/>
      <c r="O381" s="47"/>
      <c r="P381" s="47"/>
      <c r="Q381" s="47"/>
      <c r="R381" s="47"/>
      <c r="S381" s="47"/>
    </row>
    <row r="382">
      <c r="L382" s="183"/>
      <c r="O382" s="47"/>
      <c r="P382" s="47"/>
      <c r="Q382" s="47"/>
      <c r="R382" s="47"/>
      <c r="S382" s="47"/>
    </row>
    <row r="383">
      <c r="L383" s="183"/>
      <c r="O383" s="47"/>
      <c r="P383" s="47"/>
      <c r="Q383" s="47"/>
      <c r="R383" s="47"/>
      <c r="S383" s="47"/>
    </row>
    <row r="384">
      <c r="L384" s="183"/>
      <c r="O384" s="47"/>
      <c r="P384" s="47"/>
      <c r="Q384" s="47"/>
      <c r="R384" s="47"/>
      <c r="S384" s="47"/>
    </row>
    <row r="385">
      <c r="L385" s="183"/>
      <c r="O385" s="47"/>
      <c r="P385" s="47"/>
      <c r="Q385" s="47"/>
      <c r="R385" s="47"/>
      <c r="S385" s="47"/>
    </row>
    <row r="386">
      <c r="L386" s="183"/>
      <c r="O386" s="47"/>
      <c r="P386" s="47"/>
      <c r="Q386" s="47"/>
      <c r="R386" s="47"/>
      <c r="S386" s="47"/>
    </row>
    <row r="387">
      <c r="L387" s="183"/>
      <c r="O387" s="47"/>
      <c r="P387" s="47"/>
      <c r="Q387" s="47"/>
      <c r="R387" s="47"/>
      <c r="S387" s="47"/>
    </row>
    <row r="388">
      <c r="L388" s="183"/>
      <c r="O388" s="47"/>
      <c r="P388" s="47"/>
      <c r="Q388" s="47"/>
      <c r="R388" s="47"/>
      <c r="S388" s="47"/>
    </row>
    <row r="389">
      <c r="L389" s="183"/>
      <c r="O389" s="47"/>
      <c r="P389" s="47"/>
      <c r="Q389" s="47"/>
      <c r="R389" s="47"/>
      <c r="S389" s="47"/>
    </row>
    <row r="390">
      <c r="L390" s="183"/>
      <c r="O390" s="47"/>
      <c r="P390" s="47"/>
      <c r="Q390" s="47"/>
      <c r="R390" s="47"/>
      <c r="S390" s="47"/>
    </row>
    <row r="391">
      <c r="L391" s="183"/>
      <c r="O391" s="47"/>
      <c r="P391" s="47"/>
      <c r="Q391" s="47"/>
      <c r="R391" s="47"/>
      <c r="S391" s="47"/>
    </row>
    <row r="392">
      <c r="L392" s="183"/>
      <c r="O392" s="47"/>
      <c r="P392" s="47"/>
      <c r="Q392" s="47"/>
      <c r="R392" s="47"/>
      <c r="S392" s="47"/>
    </row>
    <row r="393">
      <c r="L393" s="183"/>
      <c r="O393" s="47"/>
      <c r="P393" s="47"/>
      <c r="Q393" s="47"/>
      <c r="R393" s="47"/>
      <c r="S393" s="47"/>
    </row>
    <row r="394">
      <c r="L394" s="183"/>
      <c r="O394" s="47"/>
      <c r="P394" s="47"/>
      <c r="Q394" s="47"/>
      <c r="R394" s="47"/>
      <c r="S394" s="47"/>
    </row>
    <row r="395">
      <c r="L395" s="183"/>
      <c r="O395" s="47"/>
      <c r="P395" s="47"/>
      <c r="Q395" s="47"/>
      <c r="R395" s="47"/>
      <c r="S395" s="47"/>
    </row>
    <row r="396">
      <c r="L396" s="183"/>
      <c r="O396" s="47"/>
      <c r="P396" s="47"/>
      <c r="Q396" s="47"/>
      <c r="R396" s="47"/>
      <c r="S396" s="47"/>
    </row>
    <row r="397">
      <c r="L397" s="183"/>
      <c r="O397" s="47"/>
      <c r="P397" s="47"/>
      <c r="Q397" s="47"/>
      <c r="R397" s="47"/>
      <c r="S397" s="47"/>
    </row>
    <row r="398">
      <c r="L398" s="183"/>
      <c r="O398" s="47"/>
      <c r="P398" s="47"/>
      <c r="Q398" s="47"/>
      <c r="R398" s="47"/>
      <c r="S398" s="47"/>
    </row>
    <row r="399">
      <c r="L399" s="183"/>
      <c r="O399" s="47"/>
      <c r="P399" s="47"/>
      <c r="Q399" s="47"/>
      <c r="R399" s="47"/>
      <c r="S399" s="47"/>
    </row>
    <row r="400">
      <c r="L400" s="183"/>
      <c r="O400" s="47"/>
      <c r="P400" s="47"/>
      <c r="Q400" s="47"/>
      <c r="R400" s="47"/>
      <c r="S400" s="47"/>
    </row>
    <row r="401">
      <c r="L401" s="183"/>
      <c r="O401" s="47"/>
      <c r="P401" s="47"/>
      <c r="Q401" s="47"/>
      <c r="R401" s="47"/>
      <c r="S401" s="47"/>
    </row>
    <row r="402">
      <c r="L402" s="183"/>
      <c r="O402" s="47"/>
      <c r="P402" s="47"/>
      <c r="Q402" s="47"/>
      <c r="R402" s="47"/>
      <c r="S402" s="47"/>
    </row>
    <row r="403">
      <c r="L403" s="183"/>
      <c r="O403" s="47"/>
      <c r="P403" s="47"/>
      <c r="Q403" s="47"/>
      <c r="R403" s="47"/>
      <c r="S403" s="47"/>
    </row>
    <row r="404">
      <c r="L404" s="183"/>
      <c r="O404" s="47"/>
      <c r="P404" s="47"/>
      <c r="Q404" s="47"/>
      <c r="R404" s="47"/>
      <c r="S404" s="47"/>
    </row>
    <row r="405">
      <c r="L405" s="183"/>
      <c r="O405" s="47"/>
      <c r="P405" s="47"/>
      <c r="Q405" s="47"/>
      <c r="R405" s="47"/>
      <c r="S405" s="47"/>
    </row>
    <row r="406">
      <c r="L406" s="183"/>
      <c r="O406" s="47"/>
      <c r="P406" s="47"/>
      <c r="Q406" s="47"/>
      <c r="R406" s="47"/>
      <c r="S406" s="47"/>
    </row>
    <row r="407">
      <c r="L407" s="183"/>
      <c r="O407" s="47"/>
      <c r="P407" s="47"/>
      <c r="Q407" s="47"/>
      <c r="R407" s="47"/>
      <c r="S407" s="47"/>
    </row>
    <row r="408">
      <c r="L408" s="183"/>
      <c r="O408" s="47"/>
      <c r="P408" s="47"/>
      <c r="Q408" s="47"/>
      <c r="R408" s="47"/>
      <c r="S408" s="47"/>
    </row>
    <row r="409">
      <c r="L409" s="183"/>
      <c r="O409" s="47"/>
      <c r="P409" s="47"/>
      <c r="Q409" s="47"/>
      <c r="R409" s="47"/>
      <c r="S409" s="47"/>
    </row>
    <row r="410">
      <c r="L410" s="183"/>
      <c r="O410" s="47"/>
      <c r="P410" s="47"/>
      <c r="Q410" s="47"/>
      <c r="R410" s="47"/>
      <c r="S410" s="47"/>
    </row>
    <row r="411">
      <c r="L411" s="183"/>
      <c r="O411" s="47"/>
      <c r="P411" s="47"/>
      <c r="Q411" s="47"/>
      <c r="R411" s="47"/>
      <c r="S411" s="47"/>
    </row>
    <row r="412">
      <c r="L412" s="183"/>
      <c r="O412" s="47"/>
      <c r="P412" s="47"/>
      <c r="Q412" s="47"/>
      <c r="R412" s="47"/>
      <c r="S412" s="47"/>
    </row>
    <row r="413">
      <c r="L413" s="183"/>
      <c r="O413" s="47"/>
      <c r="P413" s="47"/>
      <c r="Q413" s="47"/>
      <c r="R413" s="47"/>
      <c r="S413" s="47"/>
    </row>
    <row r="414">
      <c r="L414" s="183"/>
      <c r="O414" s="47"/>
      <c r="P414" s="47"/>
      <c r="Q414" s="47"/>
      <c r="R414" s="47"/>
      <c r="S414" s="47"/>
    </row>
    <row r="415">
      <c r="L415" s="183"/>
      <c r="O415" s="47"/>
      <c r="P415" s="47"/>
      <c r="Q415" s="47"/>
      <c r="R415" s="47"/>
      <c r="S415" s="47"/>
    </row>
    <row r="416">
      <c r="L416" s="183"/>
      <c r="O416" s="47"/>
      <c r="P416" s="47"/>
      <c r="Q416" s="47"/>
      <c r="R416" s="47"/>
      <c r="S416" s="47"/>
    </row>
    <row r="417">
      <c r="L417" s="183"/>
      <c r="O417" s="47"/>
      <c r="P417" s="47"/>
      <c r="Q417" s="47"/>
      <c r="R417" s="47"/>
      <c r="S417" s="47"/>
    </row>
    <row r="418">
      <c r="L418" s="183"/>
      <c r="O418" s="47"/>
      <c r="P418" s="47"/>
      <c r="Q418" s="47"/>
      <c r="R418" s="47"/>
      <c r="S418" s="47"/>
    </row>
    <row r="419">
      <c r="L419" s="183"/>
      <c r="O419" s="47"/>
      <c r="P419" s="47"/>
      <c r="Q419" s="47"/>
      <c r="R419" s="47"/>
      <c r="S419" s="47"/>
    </row>
    <row r="420">
      <c r="L420" s="183"/>
      <c r="O420" s="47"/>
      <c r="P420" s="47"/>
      <c r="Q420" s="47"/>
      <c r="R420" s="47"/>
      <c r="S420" s="47"/>
    </row>
    <row r="421">
      <c r="L421" s="183"/>
      <c r="O421" s="47"/>
      <c r="P421" s="47"/>
      <c r="Q421" s="47"/>
      <c r="R421" s="47"/>
      <c r="S421" s="47"/>
    </row>
    <row r="422">
      <c r="L422" s="183"/>
      <c r="O422" s="47"/>
      <c r="P422" s="47"/>
      <c r="Q422" s="47"/>
      <c r="R422" s="47"/>
      <c r="S422" s="47"/>
    </row>
    <row r="423">
      <c r="L423" s="183"/>
      <c r="O423" s="47"/>
      <c r="P423" s="47"/>
      <c r="Q423" s="47"/>
      <c r="R423" s="47"/>
      <c r="S423" s="47"/>
    </row>
    <row r="424">
      <c r="L424" s="183"/>
      <c r="O424" s="47"/>
      <c r="P424" s="47"/>
      <c r="Q424" s="47"/>
      <c r="R424" s="47"/>
      <c r="S424" s="47"/>
    </row>
    <row r="425">
      <c r="L425" s="183"/>
      <c r="O425" s="47"/>
      <c r="P425" s="47"/>
      <c r="Q425" s="47"/>
      <c r="R425" s="47"/>
      <c r="S425" s="47"/>
    </row>
    <row r="426">
      <c r="L426" s="183"/>
      <c r="O426" s="47"/>
      <c r="P426" s="47"/>
      <c r="Q426" s="47"/>
      <c r="R426" s="47"/>
      <c r="S426" s="47"/>
    </row>
    <row r="427">
      <c r="L427" s="183"/>
      <c r="O427" s="47"/>
      <c r="P427" s="47"/>
      <c r="Q427" s="47"/>
      <c r="R427" s="47"/>
      <c r="S427" s="47"/>
    </row>
    <row r="428">
      <c r="L428" s="183"/>
      <c r="O428" s="47"/>
      <c r="P428" s="47"/>
      <c r="Q428" s="47"/>
      <c r="R428" s="47"/>
      <c r="S428" s="47"/>
    </row>
    <row r="429">
      <c r="L429" s="183"/>
      <c r="O429" s="47"/>
      <c r="P429" s="47"/>
      <c r="Q429" s="47"/>
      <c r="R429" s="47"/>
      <c r="S429" s="47"/>
    </row>
    <row r="430">
      <c r="L430" s="183"/>
      <c r="O430" s="47"/>
      <c r="P430" s="47"/>
      <c r="Q430" s="47"/>
      <c r="R430" s="47"/>
      <c r="S430" s="47"/>
    </row>
    <row r="431">
      <c r="L431" s="183"/>
      <c r="O431" s="47"/>
      <c r="P431" s="47"/>
      <c r="Q431" s="47"/>
      <c r="R431" s="47"/>
      <c r="S431" s="47"/>
    </row>
    <row r="432">
      <c r="L432" s="183"/>
      <c r="O432" s="47"/>
      <c r="P432" s="47"/>
      <c r="Q432" s="47"/>
      <c r="R432" s="47"/>
      <c r="S432" s="47"/>
    </row>
    <row r="433">
      <c r="L433" s="183"/>
      <c r="O433" s="47"/>
      <c r="P433" s="47"/>
      <c r="Q433" s="47"/>
      <c r="R433" s="47"/>
      <c r="S433" s="47"/>
    </row>
    <row r="434">
      <c r="L434" s="183"/>
      <c r="O434" s="47"/>
      <c r="P434" s="47"/>
      <c r="Q434" s="47"/>
      <c r="R434" s="47"/>
      <c r="S434" s="47"/>
    </row>
    <row r="435">
      <c r="L435" s="183"/>
      <c r="O435" s="47"/>
      <c r="P435" s="47"/>
      <c r="Q435" s="47"/>
      <c r="R435" s="47"/>
      <c r="S435" s="47"/>
    </row>
    <row r="436">
      <c r="L436" s="183"/>
      <c r="O436" s="47"/>
      <c r="P436" s="47"/>
      <c r="Q436" s="47"/>
      <c r="R436" s="47"/>
      <c r="S436" s="47"/>
    </row>
    <row r="437">
      <c r="L437" s="183"/>
      <c r="O437" s="47"/>
      <c r="P437" s="47"/>
      <c r="Q437" s="47"/>
      <c r="R437" s="47"/>
      <c r="S437" s="47"/>
    </row>
    <row r="438">
      <c r="L438" s="183"/>
      <c r="O438" s="47"/>
      <c r="P438" s="47"/>
      <c r="Q438" s="47"/>
      <c r="R438" s="47"/>
      <c r="S438" s="47"/>
    </row>
    <row r="439">
      <c r="L439" s="183"/>
      <c r="O439" s="47"/>
      <c r="P439" s="47"/>
      <c r="Q439" s="47"/>
      <c r="R439" s="47"/>
      <c r="S439" s="47"/>
    </row>
    <row r="440">
      <c r="L440" s="183"/>
      <c r="O440" s="47"/>
      <c r="P440" s="47"/>
      <c r="Q440" s="47"/>
      <c r="R440" s="47"/>
      <c r="S440" s="47"/>
    </row>
    <row r="441">
      <c r="L441" s="183"/>
      <c r="O441" s="47"/>
      <c r="P441" s="47"/>
      <c r="Q441" s="47"/>
      <c r="R441" s="47"/>
      <c r="S441" s="47"/>
    </row>
    <row r="442">
      <c r="L442" s="183"/>
      <c r="O442" s="47"/>
      <c r="P442" s="47"/>
      <c r="Q442" s="47"/>
      <c r="R442" s="47"/>
      <c r="S442" s="47"/>
    </row>
    <row r="443">
      <c r="L443" s="183"/>
      <c r="O443" s="47"/>
      <c r="P443" s="47"/>
      <c r="Q443" s="47"/>
      <c r="R443" s="47"/>
      <c r="S443" s="47"/>
    </row>
    <row r="444">
      <c r="L444" s="183"/>
      <c r="O444" s="47"/>
      <c r="P444" s="47"/>
      <c r="Q444" s="47"/>
      <c r="R444" s="47"/>
      <c r="S444" s="47"/>
    </row>
    <row r="445">
      <c r="L445" s="183"/>
      <c r="O445" s="47"/>
      <c r="P445" s="47"/>
      <c r="Q445" s="47"/>
      <c r="R445" s="47"/>
      <c r="S445" s="47"/>
    </row>
    <row r="446">
      <c r="L446" s="183"/>
      <c r="O446" s="47"/>
      <c r="P446" s="47"/>
      <c r="Q446" s="47"/>
      <c r="R446" s="47"/>
      <c r="S446" s="47"/>
    </row>
    <row r="447">
      <c r="L447" s="183"/>
      <c r="O447" s="47"/>
      <c r="P447" s="47"/>
      <c r="Q447" s="47"/>
      <c r="R447" s="47"/>
      <c r="S447" s="47"/>
    </row>
    <row r="448">
      <c r="L448" s="183"/>
      <c r="O448" s="47"/>
      <c r="P448" s="47"/>
      <c r="Q448" s="47"/>
      <c r="R448" s="47"/>
      <c r="S448" s="47"/>
    </row>
    <row r="449">
      <c r="L449" s="183"/>
      <c r="O449" s="47"/>
      <c r="P449" s="47"/>
      <c r="Q449" s="47"/>
      <c r="R449" s="47"/>
      <c r="S449" s="47"/>
    </row>
    <row r="450">
      <c r="L450" s="183"/>
      <c r="O450" s="47"/>
      <c r="P450" s="47"/>
      <c r="Q450" s="47"/>
      <c r="R450" s="47"/>
      <c r="S450" s="47"/>
    </row>
    <row r="451">
      <c r="L451" s="183"/>
      <c r="O451" s="47"/>
      <c r="P451" s="47"/>
      <c r="Q451" s="47"/>
      <c r="R451" s="47"/>
      <c r="S451" s="47"/>
    </row>
    <row r="452">
      <c r="L452" s="183"/>
      <c r="O452" s="47"/>
      <c r="P452" s="47"/>
      <c r="Q452" s="47"/>
      <c r="R452" s="47"/>
      <c r="S452" s="47"/>
    </row>
    <row r="453">
      <c r="L453" s="183"/>
      <c r="O453" s="47"/>
      <c r="P453" s="47"/>
      <c r="Q453" s="47"/>
      <c r="R453" s="47"/>
      <c r="S453" s="47"/>
    </row>
    <row r="454">
      <c r="L454" s="183"/>
      <c r="O454" s="47"/>
      <c r="P454" s="47"/>
      <c r="Q454" s="47"/>
      <c r="R454" s="47"/>
      <c r="S454" s="47"/>
    </row>
    <row r="455">
      <c r="L455" s="183"/>
      <c r="O455" s="47"/>
      <c r="P455" s="47"/>
      <c r="Q455" s="47"/>
      <c r="R455" s="47"/>
      <c r="S455" s="47"/>
    </row>
    <row r="456">
      <c r="L456" s="183"/>
      <c r="O456" s="47"/>
      <c r="P456" s="47"/>
      <c r="Q456" s="47"/>
      <c r="R456" s="47"/>
      <c r="S456" s="47"/>
    </row>
    <row r="457">
      <c r="L457" s="183"/>
      <c r="O457" s="47"/>
      <c r="P457" s="47"/>
      <c r="Q457" s="47"/>
      <c r="R457" s="47"/>
      <c r="S457" s="47"/>
    </row>
    <row r="458">
      <c r="L458" s="183"/>
      <c r="O458" s="47"/>
      <c r="P458" s="47"/>
      <c r="Q458" s="47"/>
      <c r="R458" s="47"/>
      <c r="S458" s="47"/>
    </row>
    <row r="459">
      <c r="L459" s="183"/>
      <c r="O459" s="47"/>
      <c r="P459" s="47"/>
      <c r="Q459" s="47"/>
      <c r="R459" s="47"/>
      <c r="S459" s="47"/>
    </row>
    <row r="460">
      <c r="L460" s="183"/>
      <c r="O460" s="47"/>
      <c r="P460" s="47"/>
      <c r="Q460" s="47"/>
      <c r="R460" s="47"/>
      <c r="S460" s="47"/>
    </row>
    <row r="461">
      <c r="L461" s="183"/>
      <c r="O461" s="47"/>
      <c r="P461" s="47"/>
      <c r="Q461" s="47"/>
      <c r="R461" s="47"/>
      <c r="S461" s="47"/>
    </row>
    <row r="462">
      <c r="L462" s="183"/>
      <c r="O462" s="47"/>
      <c r="P462" s="47"/>
      <c r="Q462" s="47"/>
      <c r="R462" s="47"/>
      <c r="S462" s="47"/>
    </row>
    <row r="463">
      <c r="L463" s="183"/>
      <c r="O463" s="47"/>
      <c r="P463" s="47"/>
      <c r="Q463" s="47"/>
      <c r="R463" s="47"/>
      <c r="S463" s="47"/>
    </row>
    <row r="464">
      <c r="L464" s="183"/>
      <c r="O464" s="47"/>
      <c r="P464" s="47"/>
      <c r="Q464" s="47"/>
      <c r="R464" s="47"/>
      <c r="S464" s="47"/>
    </row>
    <row r="465">
      <c r="L465" s="183"/>
      <c r="O465" s="47"/>
      <c r="P465" s="47"/>
      <c r="Q465" s="47"/>
      <c r="R465" s="47"/>
      <c r="S465" s="47"/>
    </row>
    <row r="466">
      <c r="L466" s="183"/>
      <c r="O466" s="47"/>
      <c r="P466" s="47"/>
      <c r="Q466" s="47"/>
      <c r="R466" s="47"/>
      <c r="S466" s="47"/>
    </row>
    <row r="467">
      <c r="L467" s="183"/>
      <c r="O467" s="47"/>
      <c r="P467" s="47"/>
      <c r="Q467" s="47"/>
      <c r="R467" s="47"/>
      <c r="S467" s="47"/>
    </row>
    <row r="468">
      <c r="L468" s="183"/>
      <c r="O468" s="47"/>
      <c r="P468" s="47"/>
      <c r="Q468" s="47"/>
      <c r="R468" s="47"/>
      <c r="S468" s="47"/>
    </row>
    <row r="469">
      <c r="L469" s="183"/>
      <c r="O469" s="47"/>
      <c r="P469" s="47"/>
      <c r="Q469" s="47"/>
      <c r="R469" s="47"/>
      <c r="S469" s="47"/>
    </row>
    <row r="470">
      <c r="L470" s="183"/>
      <c r="O470" s="47"/>
      <c r="P470" s="47"/>
      <c r="Q470" s="47"/>
      <c r="R470" s="47"/>
      <c r="S470" s="47"/>
    </row>
    <row r="471">
      <c r="L471" s="183"/>
      <c r="O471" s="47"/>
      <c r="P471" s="47"/>
      <c r="Q471" s="47"/>
      <c r="R471" s="47"/>
      <c r="S471" s="47"/>
    </row>
    <row r="472">
      <c r="L472" s="183"/>
      <c r="O472" s="47"/>
      <c r="P472" s="47"/>
      <c r="Q472" s="47"/>
      <c r="R472" s="47"/>
      <c r="S472" s="47"/>
    </row>
    <row r="473">
      <c r="L473" s="183"/>
      <c r="O473" s="47"/>
      <c r="P473" s="47"/>
      <c r="Q473" s="47"/>
      <c r="R473" s="47"/>
      <c r="S473" s="47"/>
    </row>
    <row r="474">
      <c r="L474" s="183"/>
      <c r="O474" s="47"/>
      <c r="P474" s="47"/>
      <c r="Q474" s="47"/>
      <c r="R474" s="47"/>
      <c r="S474" s="47"/>
    </row>
    <row r="475">
      <c r="L475" s="183"/>
      <c r="O475" s="47"/>
      <c r="P475" s="47"/>
      <c r="Q475" s="47"/>
      <c r="R475" s="47"/>
      <c r="S475" s="47"/>
    </row>
    <row r="476">
      <c r="L476" s="183"/>
      <c r="O476" s="47"/>
      <c r="P476" s="47"/>
      <c r="Q476" s="47"/>
      <c r="R476" s="47"/>
      <c r="S476" s="47"/>
    </row>
    <row r="477">
      <c r="L477" s="183"/>
      <c r="O477" s="47"/>
      <c r="P477" s="47"/>
      <c r="Q477" s="47"/>
      <c r="R477" s="47"/>
      <c r="S477" s="47"/>
    </row>
    <row r="478">
      <c r="L478" s="183"/>
      <c r="O478" s="47"/>
      <c r="P478" s="47"/>
      <c r="Q478" s="47"/>
      <c r="R478" s="47"/>
      <c r="S478" s="47"/>
    </row>
    <row r="479">
      <c r="L479" s="183"/>
      <c r="O479" s="47"/>
      <c r="P479" s="47"/>
      <c r="Q479" s="47"/>
      <c r="R479" s="47"/>
      <c r="S479" s="47"/>
    </row>
    <row r="480">
      <c r="L480" s="183"/>
      <c r="O480" s="47"/>
      <c r="P480" s="47"/>
      <c r="Q480" s="47"/>
      <c r="R480" s="47"/>
      <c r="S480" s="47"/>
    </row>
    <row r="481">
      <c r="L481" s="183"/>
      <c r="O481" s="47"/>
      <c r="P481" s="47"/>
      <c r="Q481" s="47"/>
      <c r="R481" s="47"/>
      <c r="S481" s="47"/>
    </row>
    <row r="482">
      <c r="L482" s="183"/>
      <c r="O482" s="47"/>
      <c r="P482" s="47"/>
      <c r="Q482" s="47"/>
      <c r="R482" s="47"/>
      <c r="S482" s="47"/>
    </row>
    <row r="483">
      <c r="L483" s="183"/>
      <c r="O483" s="47"/>
      <c r="P483" s="47"/>
      <c r="Q483" s="47"/>
      <c r="R483" s="47"/>
      <c r="S483" s="47"/>
    </row>
    <row r="484">
      <c r="L484" s="183"/>
      <c r="O484" s="47"/>
      <c r="P484" s="47"/>
      <c r="Q484" s="47"/>
      <c r="R484" s="47"/>
      <c r="S484" s="47"/>
    </row>
    <row r="485">
      <c r="L485" s="183"/>
      <c r="O485" s="47"/>
      <c r="P485" s="47"/>
      <c r="Q485" s="47"/>
      <c r="R485" s="47"/>
      <c r="S485" s="47"/>
    </row>
    <row r="486">
      <c r="L486" s="183"/>
      <c r="O486" s="47"/>
      <c r="P486" s="47"/>
      <c r="Q486" s="47"/>
      <c r="R486" s="47"/>
      <c r="S486" s="47"/>
    </row>
    <row r="487">
      <c r="L487" s="183"/>
      <c r="O487" s="47"/>
      <c r="P487" s="47"/>
      <c r="Q487" s="47"/>
      <c r="R487" s="47"/>
      <c r="S487" s="47"/>
    </row>
    <row r="488">
      <c r="L488" s="183"/>
      <c r="O488" s="47"/>
      <c r="P488" s="47"/>
      <c r="Q488" s="47"/>
      <c r="R488" s="47"/>
      <c r="S488" s="47"/>
    </row>
    <row r="489">
      <c r="L489" s="183"/>
      <c r="O489" s="47"/>
      <c r="P489" s="47"/>
      <c r="Q489" s="47"/>
      <c r="R489" s="47"/>
      <c r="S489" s="47"/>
    </row>
    <row r="490">
      <c r="L490" s="183"/>
      <c r="O490" s="47"/>
      <c r="P490" s="47"/>
      <c r="Q490" s="47"/>
      <c r="R490" s="47"/>
      <c r="S490" s="47"/>
    </row>
    <row r="491">
      <c r="L491" s="183"/>
      <c r="O491" s="47"/>
      <c r="P491" s="47"/>
      <c r="Q491" s="47"/>
      <c r="R491" s="47"/>
      <c r="S491" s="47"/>
    </row>
    <row r="492">
      <c r="L492" s="183"/>
      <c r="O492" s="47"/>
      <c r="P492" s="47"/>
      <c r="Q492" s="47"/>
      <c r="R492" s="47"/>
      <c r="S492" s="47"/>
    </row>
    <row r="493">
      <c r="L493" s="183"/>
      <c r="O493" s="47"/>
      <c r="P493" s="47"/>
      <c r="Q493" s="47"/>
      <c r="R493" s="47"/>
      <c r="S493" s="47"/>
    </row>
    <row r="494">
      <c r="L494" s="183"/>
      <c r="O494" s="47"/>
      <c r="P494" s="47"/>
      <c r="Q494" s="47"/>
      <c r="R494" s="47"/>
      <c r="S494" s="47"/>
    </row>
    <row r="495">
      <c r="L495" s="183"/>
      <c r="O495" s="47"/>
      <c r="P495" s="47"/>
      <c r="Q495" s="47"/>
      <c r="R495" s="47"/>
      <c r="S495" s="47"/>
    </row>
    <row r="496">
      <c r="L496" s="183"/>
      <c r="O496" s="47"/>
      <c r="P496" s="47"/>
      <c r="Q496" s="47"/>
      <c r="R496" s="47"/>
      <c r="S496" s="47"/>
    </row>
    <row r="497">
      <c r="L497" s="183"/>
      <c r="O497" s="47"/>
      <c r="P497" s="47"/>
      <c r="Q497" s="47"/>
      <c r="R497" s="47"/>
      <c r="S497" s="47"/>
    </row>
    <row r="498">
      <c r="L498" s="183"/>
      <c r="O498" s="47"/>
      <c r="P498" s="47"/>
      <c r="Q498" s="47"/>
      <c r="R498" s="47"/>
      <c r="S498" s="47"/>
    </row>
    <row r="499">
      <c r="L499" s="183"/>
      <c r="O499" s="47"/>
      <c r="P499" s="47"/>
      <c r="Q499" s="47"/>
      <c r="R499" s="47"/>
      <c r="S499" s="47"/>
    </row>
    <row r="500">
      <c r="L500" s="183"/>
      <c r="O500" s="47"/>
      <c r="P500" s="47"/>
      <c r="Q500" s="47"/>
      <c r="R500" s="47"/>
      <c r="S500" s="47"/>
    </row>
    <row r="501">
      <c r="L501" s="183"/>
      <c r="O501" s="47"/>
      <c r="P501" s="47"/>
      <c r="Q501" s="47"/>
      <c r="R501" s="47"/>
      <c r="S501" s="47"/>
    </row>
    <row r="502">
      <c r="L502" s="183"/>
      <c r="O502" s="47"/>
      <c r="P502" s="47"/>
      <c r="Q502" s="47"/>
      <c r="R502" s="47"/>
      <c r="S502" s="47"/>
    </row>
    <row r="503">
      <c r="L503" s="183"/>
      <c r="O503" s="47"/>
      <c r="P503" s="47"/>
      <c r="Q503" s="47"/>
      <c r="R503" s="47"/>
      <c r="S503" s="47"/>
    </row>
    <row r="504">
      <c r="L504" s="183"/>
      <c r="O504" s="47"/>
      <c r="P504" s="47"/>
      <c r="Q504" s="47"/>
      <c r="R504" s="47"/>
      <c r="S504" s="47"/>
    </row>
    <row r="505">
      <c r="L505" s="183"/>
      <c r="O505" s="47"/>
      <c r="P505" s="47"/>
      <c r="Q505" s="47"/>
      <c r="R505" s="47"/>
      <c r="S505" s="47"/>
    </row>
    <row r="506">
      <c r="L506" s="183"/>
      <c r="O506" s="47"/>
      <c r="P506" s="47"/>
      <c r="Q506" s="47"/>
      <c r="R506" s="47"/>
      <c r="S506" s="47"/>
    </row>
    <row r="507">
      <c r="L507" s="183"/>
      <c r="O507" s="47"/>
      <c r="P507" s="47"/>
      <c r="Q507" s="47"/>
      <c r="R507" s="47"/>
      <c r="S507" s="47"/>
    </row>
    <row r="508">
      <c r="L508" s="183"/>
      <c r="O508" s="47"/>
      <c r="P508" s="47"/>
      <c r="Q508" s="47"/>
      <c r="R508" s="47"/>
      <c r="S508" s="47"/>
    </row>
    <row r="509">
      <c r="L509" s="183"/>
      <c r="O509" s="47"/>
      <c r="P509" s="47"/>
      <c r="Q509" s="47"/>
      <c r="R509" s="47"/>
      <c r="S509" s="47"/>
    </row>
    <row r="510">
      <c r="L510" s="183"/>
      <c r="O510" s="47"/>
      <c r="P510" s="47"/>
      <c r="Q510" s="47"/>
      <c r="R510" s="47"/>
      <c r="S510" s="47"/>
    </row>
    <row r="511">
      <c r="L511" s="183"/>
      <c r="O511" s="47"/>
      <c r="P511" s="47"/>
      <c r="Q511" s="47"/>
      <c r="R511" s="47"/>
      <c r="S511" s="47"/>
    </row>
    <row r="512">
      <c r="L512" s="183"/>
      <c r="O512" s="47"/>
      <c r="P512" s="47"/>
      <c r="Q512" s="47"/>
      <c r="R512" s="47"/>
      <c r="S512" s="47"/>
    </row>
    <row r="513">
      <c r="L513" s="183"/>
      <c r="O513" s="47"/>
      <c r="P513" s="47"/>
      <c r="Q513" s="47"/>
      <c r="R513" s="47"/>
      <c r="S513" s="47"/>
    </row>
    <row r="514">
      <c r="L514" s="183"/>
      <c r="O514" s="47"/>
      <c r="P514" s="47"/>
      <c r="Q514" s="47"/>
      <c r="R514" s="47"/>
      <c r="S514" s="47"/>
    </row>
    <row r="515">
      <c r="L515" s="183"/>
      <c r="O515" s="47"/>
      <c r="P515" s="47"/>
      <c r="Q515" s="47"/>
      <c r="R515" s="47"/>
      <c r="S515" s="47"/>
    </row>
    <row r="516">
      <c r="L516" s="183"/>
      <c r="O516" s="47"/>
      <c r="P516" s="47"/>
      <c r="Q516" s="47"/>
      <c r="R516" s="47"/>
      <c r="S516" s="47"/>
    </row>
    <row r="517">
      <c r="L517" s="183"/>
      <c r="O517" s="47"/>
      <c r="P517" s="47"/>
      <c r="Q517" s="47"/>
      <c r="R517" s="47"/>
      <c r="S517" s="47"/>
    </row>
    <row r="518">
      <c r="L518" s="183"/>
      <c r="O518" s="47"/>
      <c r="P518" s="47"/>
      <c r="Q518" s="47"/>
      <c r="R518" s="47"/>
      <c r="S518" s="47"/>
    </row>
    <row r="519">
      <c r="L519" s="183"/>
      <c r="O519" s="47"/>
      <c r="P519" s="47"/>
      <c r="Q519" s="47"/>
      <c r="R519" s="47"/>
      <c r="S519" s="47"/>
    </row>
    <row r="520">
      <c r="L520" s="183"/>
      <c r="O520" s="47"/>
      <c r="P520" s="47"/>
      <c r="Q520" s="47"/>
      <c r="R520" s="47"/>
      <c r="S520" s="47"/>
    </row>
    <row r="521">
      <c r="L521" s="183"/>
      <c r="O521" s="47"/>
      <c r="P521" s="47"/>
      <c r="Q521" s="47"/>
      <c r="R521" s="47"/>
      <c r="S521" s="47"/>
    </row>
    <row r="522">
      <c r="L522" s="183"/>
      <c r="O522" s="47"/>
      <c r="P522" s="47"/>
      <c r="Q522" s="47"/>
      <c r="R522" s="47"/>
      <c r="S522" s="47"/>
    </row>
    <row r="523">
      <c r="L523" s="183"/>
      <c r="O523" s="47"/>
      <c r="P523" s="47"/>
      <c r="Q523" s="47"/>
      <c r="R523" s="47"/>
      <c r="S523" s="47"/>
    </row>
    <row r="524">
      <c r="L524" s="183"/>
      <c r="O524" s="47"/>
      <c r="P524" s="47"/>
      <c r="Q524" s="47"/>
      <c r="R524" s="47"/>
      <c r="S524" s="47"/>
    </row>
    <row r="525">
      <c r="L525" s="183"/>
      <c r="O525" s="47"/>
      <c r="P525" s="47"/>
      <c r="Q525" s="47"/>
      <c r="R525" s="47"/>
      <c r="S525" s="47"/>
    </row>
    <row r="526">
      <c r="L526" s="183"/>
      <c r="O526" s="47"/>
      <c r="P526" s="47"/>
      <c r="Q526" s="47"/>
      <c r="R526" s="47"/>
      <c r="S526" s="47"/>
    </row>
    <row r="527">
      <c r="L527" s="183"/>
      <c r="O527" s="47"/>
      <c r="P527" s="47"/>
      <c r="Q527" s="47"/>
      <c r="R527" s="47"/>
      <c r="S527" s="47"/>
    </row>
    <row r="528">
      <c r="L528" s="183"/>
      <c r="O528" s="47"/>
      <c r="P528" s="47"/>
      <c r="Q528" s="47"/>
      <c r="R528" s="47"/>
      <c r="S528" s="47"/>
    </row>
    <row r="529">
      <c r="L529" s="183"/>
      <c r="O529" s="47"/>
      <c r="P529" s="47"/>
      <c r="Q529" s="47"/>
      <c r="R529" s="47"/>
      <c r="S529" s="47"/>
    </row>
    <row r="530">
      <c r="L530" s="183"/>
      <c r="O530" s="47"/>
      <c r="P530" s="47"/>
      <c r="Q530" s="47"/>
      <c r="R530" s="47"/>
      <c r="S530" s="47"/>
    </row>
    <row r="531">
      <c r="L531" s="183"/>
      <c r="O531" s="47"/>
      <c r="P531" s="47"/>
      <c r="Q531" s="47"/>
      <c r="R531" s="47"/>
      <c r="S531" s="47"/>
    </row>
    <row r="532">
      <c r="L532" s="183"/>
      <c r="O532" s="47"/>
      <c r="P532" s="47"/>
      <c r="Q532" s="47"/>
      <c r="R532" s="47"/>
      <c r="S532" s="47"/>
    </row>
    <row r="533">
      <c r="L533" s="183"/>
      <c r="O533" s="47"/>
      <c r="P533" s="47"/>
      <c r="Q533" s="47"/>
      <c r="R533" s="47"/>
      <c r="S533" s="47"/>
    </row>
    <row r="534">
      <c r="L534" s="183"/>
      <c r="O534" s="47"/>
      <c r="P534" s="47"/>
      <c r="Q534" s="47"/>
      <c r="R534" s="47"/>
      <c r="S534" s="47"/>
    </row>
    <row r="535">
      <c r="L535" s="183"/>
      <c r="O535" s="47"/>
      <c r="P535" s="47"/>
      <c r="Q535" s="47"/>
      <c r="R535" s="47"/>
      <c r="S535" s="47"/>
    </row>
    <row r="536">
      <c r="L536" s="183"/>
      <c r="O536" s="47"/>
      <c r="P536" s="47"/>
      <c r="Q536" s="47"/>
      <c r="R536" s="47"/>
      <c r="S536" s="47"/>
    </row>
    <row r="537">
      <c r="L537" s="183"/>
      <c r="O537" s="47"/>
      <c r="P537" s="47"/>
      <c r="Q537" s="47"/>
      <c r="R537" s="47"/>
      <c r="S537" s="47"/>
    </row>
    <row r="538">
      <c r="L538" s="183"/>
      <c r="O538" s="47"/>
      <c r="P538" s="47"/>
      <c r="Q538" s="47"/>
      <c r="R538" s="47"/>
      <c r="S538" s="47"/>
    </row>
    <row r="539">
      <c r="L539" s="183"/>
      <c r="O539" s="47"/>
      <c r="P539" s="47"/>
      <c r="Q539" s="47"/>
      <c r="R539" s="47"/>
      <c r="S539" s="47"/>
    </row>
    <row r="540">
      <c r="L540" s="183"/>
      <c r="O540" s="47"/>
      <c r="P540" s="47"/>
      <c r="Q540" s="47"/>
      <c r="R540" s="47"/>
      <c r="S540" s="47"/>
    </row>
    <row r="541">
      <c r="L541" s="183"/>
      <c r="O541" s="47"/>
      <c r="P541" s="47"/>
      <c r="Q541" s="47"/>
      <c r="R541" s="47"/>
      <c r="S541" s="47"/>
    </row>
    <row r="542">
      <c r="L542" s="183"/>
      <c r="O542" s="47"/>
      <c r="P542" s="47"/>
      <c r="Q542" s="47"/>
      <c r="R542" s="47"/>
      <c r="S542" s="47"/>
    </row>
    <row r="543">
      <c r="L543" s="183"/>
      <c r="O543" s="47"/>
      <c r="P543" s="47"/>
      <c r="Q543" s="47"/>
      <c r="R543" s="47"/>
      <c r="S543" s="47"/>
    </row>
    <row r="544">
      <c r="L544" s="183"/>
      <c r="O544" s="47"/>
      <c r="P544" s="47"/>
      <c r="Q544" s="47"/>
      <c r="R544" s="47"/>
      <c r="S544" s="47"/>
    </row>
    <row r="545">
      <c r="L545" s="183"/>
      <c r="O545" s="47"/>
      <c r="P545" s="47"/>
      <c r="Q545" s="47"/>
      <c r="R545" s="47"/>
      <c r="S545" s="47"/>
    </row>
    <row r="546">
      <c r="L546" s="183"/>
      <c r="O546" s="47"/>
      <c r="P546" s="47"/>
      <c r="Q546" s="47"/>
      <c r="R546" s="47"/>
      <c r="S546" s="47"/>
    </row>
    <row r="547">
      <c r="L547" s="183"/>
      <c r="O547" s="47"/>
      <c r="P547" s="47"/>
      <c r="Q547" s="47"/>
      <c r="R547" s="47"/>
      <c r="S547" s="47"/>
    </row>
    <row r="548">
      <c r="L548" s="183"/>
      <c r="O548" s="47"/>
      <c r="P548" s="47"/>
      <c r="Q548" s="47"/>
      <c r="R548" s="47"/>
      <c r="S548" s="47"/>
    </row>
    <row r="549">
      <c r="L549" s="183"/>
      <c r="O549" s="47"/>
      <c r="P549" s="47"/>
      <c r="Q549" s="47"/>
      <c r="R549" s="47"/>
      <c r="S549" s="47"/>
    </row>
    <row r="550">
      <c r="L550" s="183"/>
      <c r="O550" s="47"/>
      <c r="P550" s="47"/>
      <c r="Q550" s="47"/>
      <c r="R550" s="47"/>
      <c r="S550" s="47"/>
    </row>
    <row r="551">
      <c r="L551" s="183"/>
      <c r="O551" s="47"/>
      <c r="P551" s="47"/>
      <c r="Q551" s="47"/>
      <c r="R551" s="47"/>
      <c r="S551" s="47"/>
    </row>
    <row r="552">
      <c r="L552" s="183"/>
      <c r="O552" s="47"/>
      <c r="P552" s="47"/>
      <c r="Q552" s="47"/>
      <c r="R552" s="47"/>
      <c r="S552" s="47"/>
    </row>
    <row r="553">
      <c r="L553" s="183"/>
      <c r="O553" s="47"/>
      <c r="P553" s="47"/>
      <c r="Q553" s="47"/>
      <c r="R553" s="47"/>
      <c r="S553" s="47"/>
    </row>
    <row r="554">
      <c r="L554" s="183"/>
      <c r="O554" s="47"/>
      <c r="P554" s="47"/>
      <c r="Q554" s="47"/>
      <c r="R554" s="47"/>
      <c r="S554" s="47"/>
    </row>
    <row r="555">
      <c r="L555" s="183"/>
      <c r="O555" s="47"/>
      <c r="P555" s="47"/>
      <c r="Q555" s="47"/>
      <c r="R555" s="47"/>
      <c r="S555" s="47"/>
    </row>
    <row r="556">
      <c r="L556" s="183"/>
      <c r="O556" s="47"/>
      <c r="P556" s="47"/>
      <c r="Q556" s="47"/>
      <c r="R556" s="47"/>
      <c r="S556" s="47"/>
    </row>
    <row r="557">
      <c r="L557" s="183"/>
      <c r="O557" s="47"/>
      <c r="P557" s="47"/>
      <c r="Q557" s="47"/>
      <c r="R557" s="47"/>
      <c r="S557" s="47"/>
    </row>
    <row r="558">
      <c r="L558" s="183"/>
      <c r="O558" s="47"/>
      <c r="P558" s="47"/>
      <c r="Q558" s="47"/>
      <c r="R558" s="47"/>
      <c r="S558" s="47"/>
    </row>
    <row r="559">
      <c r="L559" s="183"/>
      <c r="O559" s="47"/>
      <c r="P559" s="47"/>
      <c r="Q559" s="47"/>
      <c r="R559" s="47"/>
      <c r="S559" s="47"/>
    </row>
    <row r="560">
      <c r="L560" s="183"/>
      <c r="O560" s="47"/>
      <c r="P560" s="47"/>
      <c r="Q560" s="47"/>
      <c r="R560" s="47"/>
      <c r="S560" s="47"/>
    </row>
    <row r="561">
      <c r="L561" s="183"/>
      <c r="O561" s="47"/>
      <c r="P561" s="47"/>
      <c r="Q561" s="47"/>
      <c r="R561" s="47"/>
      <c r="S561" s="47"/>
    </row>
    <row r="562">
      <c r="L562" s="183"/>
      <c r="O562" s="47"/>
      <c r="P562" s="47"/>
      <c r="Q562" s="47"/>
      <c r="R562" s="47"/>
      <c r="S562" s="47"/>
    </row>
    <row r="563">
      <c r="L563" s="183"/>
      <c r="O563" s="47"/>
      <c r="P563" s="47"/>
      <c r="Q563" s="47"/>
      <c r="R563" s="47"/>
      <c r="S563" s="47"/>
    </row>
    <row r="564">
      <c r="L564" s="183"/>
      <c r="O564" s="47"/>
      <c r="P564" s="47"/>
      <c r="Q564" s="47"/>
      <c r="R564" s="47"/>
      <c r="S564" s="47"/>
    </row>
    <row r="565">
      <c r="L565" s="183"/>
      <c r="O565" s="47"/>
      <c r="P565" s="47"/>
      <c r="Q565" s="47"/>
      <c r="R565" s="47"/>
      <c r="S565" s="47"/>
    </row>
    <row r="566">
      <c r="L566" s="183"/>
      <c r="O566" s="47"/>
      <c r="P566" s="47"/>
      <c r="Q566" s="47"/>
      <c r="R566" s="47"/>
      <c r="S566" s="47"/>
    </row>
    <row r="567">
      <c r="L567" s="183"/>
      <c r="O567" s="47"/>
      <c r="P567" s="47"/>
      <c r="Q567" s="47"/>
      <c r="R567" s="47"/>
      <c r="S567" s="47"/>
    </row>
    <row r="568">
      <c r="L568" s="183"/>
      <c r="O568" s="47"/>
      <c r="P568" s="47"/>
      <c r="Q568" s="47"/>
      <c r="R568" s="47"/>
      <c r="S568" s="47"/>
    </row>
    <row r="569">
      <c r="L569" s="183"/>
      <c r="O569" s="47"/>
      <c r="P569" s="47"/>
      <c r="Q569" s="47"/>
      <c r="R569" s="47"/>
      <c r="S569" s="47"/>
    </row>
    <row r="570">
      <c r="L570" s="183"/>
      <c r="O570" s="47"/>
      <c r="P570" s="47"/>
      <c r="Q570" s="47"/>
      <c r="R570" s="47"/>
      <c r="S570" s="47"/>
    </row>
    <row r="571">
      <c r="L571" s="183"/>
      <c r="O571" s="47"/>
      <c r="P571" s="47"/>
      <c r="Q571" s="47"/>
      <c r="R571" s="47"/>
      <c r="S571" s="47"/>
    </row>
    <row r="572">
      <c r="L572" s="183"/>
      <c r="O572" s="47"/>
      <c r="P572" s="47"/>
      <c r="Q572" s="47"/>
      <c r="R572" s="47"/>
      <c r="S572" s="47"/>
    </row>
    <row r="573">
      <c r="L573" s="183"/>
      <c r="O573" s="47"/>
      <c r="P573" s="47"/>
      <c r="Q573" s="47"/>
      <c r="R573" s="47"/>
      <c r="S573" s="47"/>
    </row>
    <row r="574">
      <c r="L574" s="183"/>
      <c r="O574" s="47"/>
      <c r="P574" s="47"/>
      <c r="Q574" s="47"/>
      <c r="R574" s="47"/>
      <c r="S574" s="47"/>
    </row>
    <row r="575">
      <c r="L575" s="183"/>
      <c r="O575" s="47"/>
      <c r="P575" s="47"/>
      <c r="Q575" s="47"/>
      <c r="R575" s="47"/>
      <c r="S575" s="47"/>
    </row>
    <row r="576">
      <c r="L576" s="183"/>
      <c r="O576" s="47"/>
      <c r="P576" s="47"/>
      <c r="Q576" s="47"/>
      <c r="R576" s="47"/>
      <c r="S576" s="47"/>
    </row>
    <row r="577">
      <c r="L577" s="183"/>
      <c r="O577" s="47"/>
      <c r="P577" s="47"/>
      <c r="Q577" s="47"/>
      <c r="R577" s="47"/>
      <c r="S577" s="47"/>
    </row>
    <row r="578">
      <c r="L578" s="183"/>
      <c r="O578" s="47"/>
      <c r="P578" s="47"/>
      <c r="Q578" s="47"/>
      <c r="R578" s="47"/>
      <c r="S578" s="47"/>
    </row>
    <row r="579">
      <c r="L579" s="183"/>
      <c r="O579" s="47"/>
      <c r="P579" s="47"/>
      <c r="Q579" s="47"/>
      <c r="R579" s="47"/>
      <c r="S579" s="47"/>
    </row>
    <row r="580">
      <c r="L580" s="183"/>
      <c r="O580" s="47"/>
      <c r="P580" s="47"/>
      <c r="Q580" s="47"/>
      <c r="R580" s="47"/>
      <c r="S580" s="47"/>
    </row>
    <row r="581">
      <c r="L581" s="183"/>
      <c r="O581" s="47"/>
      <c r="P581" s="47"/>
      <c r="Q581" s="47"/>
      <c r="R581" s="47"/>
      <c r="S581" s="47"/>
    </row>
    <row r="582">
      <c r="L582" s="183"/>
      <c r="O582" s="47"/>
      <c r="P582" s="47"/>
      <c r="Q582" s="47"/>
      <c r="R582" s="47"/>
      <c r="S582" s="47"/>
    </row>
    <row r="583">
      <c r="L583" s="183"/>
      <c r="O583" s="47"/>
      <c r="P583" s="47"/>
      <c r="Q583" s="47"/>
      <c r="R583" s="47"/>
      <c r="S583" s="47"/>
    </row>
    <row r="584">
      <c r="L584" s="183"/>
      <c r="O584" s="47"/>
      <c r="P584" s="47"/>
      <c r="Q584" s="47"/>
      <c r="R584" s="47"/>
      <c r="S584" s="47"/>
    </row>
    <row r="585">
      <c r="L585" s="183"/>
      <c r="O585" s="47"/>
      <c r="P585" s="47"/>
      <c r="Q585" s="47"/>
      <c r="R585" s="47"/>
      <c r="S585" s="47"/>
    </row>
    <row r="586">
      <c r="L586" s="183"/>
      <c r="O586" s="47"/>
      <c r="P586" s="47"/>
      <c r="Q586" s="47"/>
      <c r="R586" s="47"/>
      <c r="S586" s="47"/>
    </row>
    <row r="587">
      <c r="L587" s="183"/>
      <c r="O587" s="47"/>
      <c r="P587" s="47"/>
      <c r="Q587" s="47"/>
      <c r="R587" s="47"/>
      <c r="S587" s="47"/>
    </row>
    <row r="588">
      <c r="L588" s="183"/>
      <c r="O588" s="47"/>
      <c r="P588" s="47"/>
      <c r="Q588" s="47"/>
      <c r="R588" s="47"/>
      <c r="S588" s="47"/>
    </row>
    <row r="589">
      <c r="L589" s="183"/>
      <c r="O589" s="47"/>
      <c r="P589" s="47"/>
      <c r="Q589" s="47"/>
      <c r="R589" s="47"/>
      <c r="S589" s="47"/>
    </row>
    <row r="590">
      <c r="L590" s="183"/>
      <c r="O590" s="47"/>
      <c r="P590" s="47"/>
      <c r="Q590" s="47"/>
      <c r="R590" s="47"/>
      <c r="S590" s="47"/>
    </row>
    <row r="591">
      <c r="L591" s="183"/>
      <c r="O591" s="47"/>
      <c r="P591" s="47"/>
      <c r="Q591" s="47"/>
      <c r="R591" s="47"/>
      <c r="S591" s="47"/>
    </row>
    <row r="592">
      <c r="L592" s="183"/>
      <c r="O592" s="47"/>
      <c r="P592" s="47"/>
      <c r="Q592" s="47"/>
      <c r="R592" s="47"/>
      <c r="S592" s="47"/>
    </row>
    <row r="593">
      <c r="L593" s="183"/>
      <c r="O593" s="47"/>
      <c r="P593" s="47"/>
      <c r="Q593" s="47"/>
      <c r="R593" s="47"/>
      <c r="S593" s="47"/>
    </row>
    <row r="594">
      <c r="L594" s="183"/>
      <c r="O594" s="47"/>
      <c r="P594" s="47"/>
      <c r="Q594" s="47"/>
      <c r="R594" s="47"/>
      <c r="S594" s="47"/>
    </row>
    <row r="595">
      <c r="L595" s="183"/>
      <c r="O595" s="47"/>
      <c r="P595" s="47"/>
      <c r="Q595" s="47"/>
      <c r="R595" s="47"/>
      <c r="S595" s="47"/>
    </row>
    <row r="596">
      <c r="L596" s="183"/>
      <c r="O596" s="47"/>
      <c r="P596" s="47"/>
      <c r="Q596" s="47"/>
      <c r="R596" s="47"/>
      <c r="S596" s="47"/>
    </row>
    <row r="597">
      <c r="L597" s="183"/>
      <c r="O597" s="47"/>
      <c r="P597" s="47"/>
      <c r="Q597" s="47"/>
      <c r="R597" s="47"/>
      <c r="S597" s="47"/>
    </row>
    <row r="598">
      <c r="L598" s="183"/>
      <c r="O598" s="47"/>
      <c r="P598" s="47"/>
      <c r="Q598" s="47"/>
      <c r="R598" s="47"/>
      <c r="S598" s="47"/>
    </row>
    <row r="599">
      <c r="L599" s="183"/>
      <c r="O599" s="47"/>
      <c r="P599" s="47"/>
      <c r="Q599" s="47"/>
      <c r="R599" s="47"/>
      <c r="S599" s="47"/>
    </row>
    <row r="600">
      <c r="L600" s="183"/>
      <c r="O600" s="47"/>
      <c r="P600" s="47"/>
      <c r="Q600" s="47"/>
      <c r="R600" s="47"/>
      <c r="S600" s="47"/>
    </row>
    <row r="601">
      <c r="L601" s="183"/>
      <c r="O601" s="47"/>
      <c r="P601" s="47"/>
      <c r="Q601" s="47"/>
      <c r="R601" s="47"/>
      <c r="S601" s="47"/>
    </row>
    <row r="602">
      <c r="L602" s="183"/>
      <c r="O602" s="47"/>
      <c r="P602" s="47"/>
      <c r="Q602" s="47"/>
      <c r="R602" s="47"/>
      <c r="S602" s="47"/>
    </row>
    <row r="603">
      <c r="L603" s="183"/>
      <c r="O603" s="47"/>
      <c r="P603" s="47"/>
      <c r="Q603" s="47"/>
      <c r="R603" s="47"/>
      <c r="S603" s="47"/>
    </row>
    <row r="604">
      <c r="L604" s="183"/>
      <c r="O604" s="47"/>
      <c r="P604" s="47"/>
      <c r="Q604" s="47"/>
      <c r="R604" s="47"/>
      <c r="S604" s="47"/>
    </row>
    <row r="605">
      <c r="L605" s="183"/>
      <c r="O605" s="47"/>
      <c r="P605" s="47"/>
      <c r="Q605" s="47"/>
      <c r="R605" s="47"/>
      <c r="S605" s="47"/>
    </row>
    <row r="606">
      <c r="L606" s="183"/>
      <c r="O606" s="47"/>
      <c r="P606" s="47"/>
      <c r="Q606" s="47"/>
      <c r="R606" s="47"/>
      <c r="S606" s="47"/>
    </row>
    <row r="607">
      <c r="L607" s="183"/>
      <c r="O607" s="47"/>
      <c r="P607" s="47"/>
      <c r="Q607" s="47"/>
      <c r="R607" s="47"/>
      <c r="S607" s="47"/>
    </row>
    <row r="608">
      <c r="L608" s="183"/>
      <c r="O608" s="47"/>
      <c r="P608" s="47"/>
      <c r="Q608" s="47"/>
      <c r="R608" s="47"/>
      <c r="S608" s="47"/>
    </row>
    <row r="609">
      <c r="L609" s="183"/>
      <c r="O609" s="47"/>
      <c r="P609" s="47"/>
      <c r="Q609" s="47"/>
      <c r="R609" s="47"/>
      <c r="S609" s="47"/>
    </row>
    <row r="610">
      <c r="L610" s="183"/>
      <c r="O610" s="47"/>
      <c r="P610" s="47"/>
      <c r="Q610" s="47"/>
      <c r="R610" s="47"/>
      <c r="S610" s="47"/>
    </row>
    <row r="611">
      <c r="L611" s="183"/>
      <c r="O611" s="47"/>
      <c r="P611" s="47"/>
      <c r="Q611" s="47"/>
      <c r="R611" s="47"/>
      <c r="S611" s="47"/>
    </row>
    <row r="612">
      <c r="L612" s="183"/>
      <c r="O612" s="47"/>
      <c r="P612" s="47"/>
      <c r="Q612" s="47"/>
      <c r="R612" s="47"/>
      <c r="S612" s="47"/>
    </row>
    <row r="613">
      <c r="L613" s="183"/>
      <c r="O613" s="47"/>
      <c r="P613" s="47"/>
      <c r="Q613" s="47"/>
      <c r="R613" s="47"/>
      <c r="S613" s="47"/>
    </row>
    <row r="614">
      <c r="L614" s="183"/>
      <c r="O614" s="47"/>
      <c r="P614" s="47"/>
      <c r="Q614" s="47"/>
      <c r="R614" s="47"/>
      <c r="S614" s="47"/>
    </row>
    <row r="615">
      <c r="L615" s="183"/>
      <c r="O615" s="47"/>
      <c r="P615" s="47"/>
      <c r="Q615" s="47"/>
      <c r="R615" s="47"/>
      <c r="S615" s="47"/>
    </row>
    <row r="616">
      <c r="L616" s="183"/>
      <c r="O616" s="47"/>
      <c r="P616" s="47"/>
      <c r="Q616" s="47"/>
      <c r="R616" s="47"/>
      <c r="S616" s="47"/>
    </row>
    <row r="617">
      <c r="L617" s="183"/>
      <c r="O617" s="47"/>
      <c r="P617" s="47"/>
      <c r="Q617" s="47"/>
      <c r="R617" s="47"/>
      <c r="S617" s="47"/>
    </row>
    <row r="618">
      <c r="L618" s="183"/>
      <c r="O618" s="47"/>
      <c r="P618" s="47"/>
      <c r="Q618" s="47"/>
      <c r="R618" s="47"/>
      <c r="S618" s="47"/>
    </row>
    <row r="619">
      <c r="L619" s="183"/>
      <c r="O619" s="47"/>
      <c r="P619" s="47"/>
      <c r="Q619" s="47"/>
      <c r="R619" s="47"/>
      <c r="S619" s="47"/>
    </row>
    <row r="620">
      <c r="L620" s="183"/>
      <c r="O620" s="47"/>
      <c r="P620" s="47"/>
      <c r="Q620" s="47"/>
      <c r="R620" s="47"/>
      <c r="S620" s="47"/>
    </row>
    <row r="621">
      <c r="L621" s="183"/>
      <c r="O621" s="47"/>
      <c r="P621" s="47"/>
      <c r="Q621" s="47"/>
      <c r="R621" s="47"/>
      <c r="S621" s="47"/>
    </row>
    <row r="622">
      <c r="L622" s="183"/>
      <c r="O622" s="47"/>
      <c r="P622" s="47"/>
      <c r="Q622" s="47"/>
      <c r="R622" s="47"/>
      <c r="S622" s="47"/>
    </row>
    <row r="623">
      <c r="L623" s="183"/>
      <c r="O623" s="47"/>
      <c r="P623" s="47"/>
      <c r="Q623" s="47"/>
      <c r="R623" s="47"/>
      <c r="S623" s="47"/>
    </row>
    <row r="624">
      <c r="L624" s="183"/>
      <c r="O624" s="47"/>
      <c r="P624" s="47"/>
      <c r="Q624" s="47"/>
      <c r="R624" s="47"/>
      <c r="S624" s="47"/>
    </row>
    <row r="625">
      <c r="L625" s="183"/>
      <c r="O625" s="47"/>
      <c r="P625" s="47"/>
      <c r="Q625" s="47"/>
      <c r="R625" s="47"/>
      <c r="S625" s="47"/>
    </row>
    <row r="626">
      <c r="L626" s="183"/>
      <c r="O626" s="47"/>
      <c r="P626" s="47"/>
      <c r="Q626" s="47"/>
      <c r="R626" s="47"/>
      <c r="S626" s="47"/>
    </row>
    <row r="627">
      <c r="L627" s="183"/>
      <c r="O627" s="47"/>
      <c r="P627" s="47"/>
      <c r="Q627" s="47"/>
      <c r="R627" s="47"/>
      <c r="S627" s="47"/>
    </row>
    <row r="628">
      <c r="L628" s="183"/>
      <c r="O628" s="47"/>
      <c r="P628" s="47"/>
      <c r="Q628" s="47"/>
      <c r="R628" s="47"/>
      <c r="S628" s="47"/>
    </row>
    <row r="629">
      <c r="L629" s="183"/>
      <c r="O629" s="47"/>
      <c r="P629" s="47"/>
      <c r="Q629" s="47"/>
      <c r="R629" s="47"/>
      <c r="S629" s="47"/>
    </row>
    <row r="630">
      <c r="L630" s="183"/>
      <c r="O630" s="47"/>
      <c r="P630" s="47"/>
      <c r="Q630" s="47"/>
      <c r="R630" s="47"/>
      <c r="S630" s="47"/>
    </row>
    <row r="631">
      <c r="L631" s="183"/>
      <c r="O631" s="47"/>
      <c r="P631" s="47"/>
      <c r="Q631" s="47"/>
      <c r="R631" s="47"/>
      <c r="S631" s="47"/>
    </row>
    <row r="632">
      <c r="L632" s="183"/>
      <c r="O632" s="47"/>
      <c r="P632" s="47"/>
      <c r="Q632" s="47"/>
      <c r="R632" s="47"/>
      <c r="S632" s="47"/>
    </row>
    <row r="633">
      <c r="L633" s="183"/>
      <c r="O633" s="47"/>
      <c r="P633" s="47"/>
      <c r="Q633" s="47"/>
      <c r="R633" s="47"/>
      <c r="S633" s="47"/>
    </row>
    <row r="634">
      <c r="L634" s="183"/>
      <c r="O634" s="47"/>
      <c r="P634" s="47"/>
      <c r="Q634" s="47"/>
      <c r="R634" s="47"/>
      <c r="S634" s="47"/>
    </row>
    <row r="635">
      <c r="L635" s="183"/>
      <c r="O635" s="47"/>
      <c r="P635" s="47"/>
      <c r="Q635" s="47"/>
      <c r="R635" s="47"/>
      <c r="S635" s="47"/>
    </row>
    <row r="636">
      <c r="L636" s="183"/>
      <c r="O636" s="47"/>
      <c r="P636" s="47"/>
      <c r="Q636" s="47"/>
      <c r="R636" s="47"/>
      <c r="S636" s="47"/>
    </row>
    <row r="637">
      <c r="L637" s="183"/>
      <c r="O637" s="47"/>
      <c r="P637" s="47"/>
      <c r="Q637" s="47"/>
      <c r="R637" s="47"/>
      <c r="S637" s="47"/>
    </row>
    <row r="638">
      <c r="L638" s="183"/>
      <c r="O638" s="47"/>
      <c r="P638" s="47"/>
      <c r="Q638" s="47"/>
      <c r="R638" s="47"/>
      <c r="S638" s="47"/>
    </row>
    <row r="639">
      <c r="L639" s="183"/>
      <c r="O639" s="47"/>
      <c r="P639" s="47"/>
      <c r="Q639" s="47"/>
      <c r="R639" s="47"/>
      <c r="S639" s="47"/>
    </row>
    <row r="640">
      <c r="L640" s="183"/>
      <c r="O640" s="47"/>
      <c r="P640" s="47"/>
      <c r="Q640" s="47"/>
      <c r="R640" s="47"/>
      <c r="S640" s="47"/>
    </row>
    <row r="641">
      <c r="L641" s="183"/>
      <c r="O641" s="47"/>
      <c r="P641" s="47"/>
      <c r="Q641" s="47"/>
      <c r="R641" s="47"/>
      <c r="S641" s="47"/>
    </row>
    <row r="642">
      <c r="L642" s="183"/>
      <c r="O642" s="47"/>
      <c r="P642" s="47"/>
      <c r="Q642" s="47"/>
      <c r="R642" s="47"/>
      <c r="S642" s="47"/>
    </row>
    <row r="643">
      <c r="L643" s="183"/>
      <c r="O643" s="47"/>
      <c r="P643" s="47"/>
      <c r="Q643" s="47"/>
      <c r="R643" s="47"/>
      <c r="S643" s="47"/>
    </row>
    <row r="644">
      <c r="L644" s="183"/>
      <c r="O644" s="47"/>
      <c r="P644" s="47"/>
      <c r="Q644" s="47"/>
      <c r="R644" s="47"/>
      <c r="S644" s="47"/>
    </row>
    <row r="645">
      <c r="L645" s="183"/>
      <c r="O645" s="47"/>
      <c r="P645" s="47"/>
      <c r="Q645" s="47"/>
      <c r="R645" s="47"/>
      <c r="S645" s="47"/>
    </row>
    <row r="646">
      <c r="L646" s="183"/>
      <c r="O646" s="47"/>
      <c r="P646" s="47"/>
      <c r="Q646" s="47"/>
      <c r="R646" s="47"/>
      <c r="S646" s="47"/>
    </row>
    <row r="647">
      <c r="L647" s="183"/>
      <c r="O647" s="47"/>
      <c r="P647" s="47"/>
      <c r="Q647" s="47"/>
      <c r="R647" s="47"/>
      <c r="S647" s="47"/>
    </row>
    <row r="648">
      <c r="L648" s="183"/>
      <c r="O648" s="47"/>
      <c r="P648" s="47"/>
      <c r="Q648" s="47"/>
      <c r="R648" s="47"/>
      <c r="S648" s="47"/>
    </row>
    <row r="649">
      <c r="L649" s="183"/>
      <c r="O649" s="47"/>
      <c r="P649" s="47"/>
      <c r="Q649" s="47"/>
      <c r="R649" s="47"/>
      <c r="S649" s="47"/>
    </row>
    <row r="650">
      <c r="L650" s="183"/>
      <c r="O650" s="47"/>
      <c r="P650" s="47"/>
      <c r="Q650" s="47"/>
      <c r="R650" s="47"/>
      <c r="S650" s="47"/>
    </row>
    <row r="651">
      <c r="L651" s="183"/>
      <c r="O651" s="47"/>
      <c r="P651" s="47"/>
      <c r="Q651" s="47"/>
      <c r="R651" s="47"/>
      <c r="S651" s="47"/>
    </row>
    <row r="652">
      <c r="L652" s="183"/>
      <c r="O652" s="47"/>
      <c r="P652" s="47"/>
      <c r="Q652" s="47"/>
      <c r="R652" s="47"/>
      <c r="S652" s="47"/>
    </row>
    <row r="653">
      <c r="L653" s="183"/>
      <c r="O653" s="47"/>
      <c r="P653" s="47"/>
      <c r="Q653" s="47"/>
      <c r="R653" s="47"/>
      <c r="S653" s="47"/>
    </row>
    <row r="654">
      <c r="L654" s="183"/>
      <c r="O654" s="47"/>
      <c r="P654" s="47"/>
      <c r="Q654" s="47"/>
      <c r="R654" s="47"/>
      <c r="S654" s="47"/>
    </row>
    <row r="655">
      <c r="L655" s="183"/>
      <c r="O655" s="47"/>
      <c r="P655" s="47"/>
      <c r="Q655" s="47"/>
      <c r="R655" s="47"/>
      <c r="S655" s="47"/>
    </row>
    <row r="656">
      <c r="L656" s="183"/>
      <c r="O656" s="47"/>
      <c r="P656" s="47"/>
      <c r="Q656" s="47"/>
      <c r="R656" s="47"/>
      <c r="S656" s="47"/>
    </row>
    <row r="657">
      <c r="L657" s="183"/>
      <c r="O657" s="47"/>
      <c r="P657" s="47"/>
      <c r="Q657" s="47"/>
      <c r="R657" s="47"/>
      <c r="S657" s="47"/>
    </row>
    <row r="658">
      <c r="L658" s="183"/>
      <c r="O658" s="47"/>
      <c r="P658" s="47"/>
      <c r="Q658" s="47"/>
      <c r="R658" s="47"/>
      <c r="S658" s="47"/>
    </row>
    <row r="659">
      <c r="L659" s="183"/>
      <c r="O659" s="47"/>
      <c r="P659" s="47"/>
      <c r="Q659" s="47"/>
      <c r="R659" s="47"/>
      <c r="S659" s="47"/>
    </row>
    <row r="660">
      <c r="L660" s="183"/>
      <c r="O660" s="47"/>
      <c r="P660" s="47"/>
      <c r="Q660" s="47"/>
      <c r="R660" s="47"/>
      <c r="S660" s="47"/>
    </row>
    <row r="661">
      <c r="L661" s="183"/>
      <c r="O661" s="47"/>
      <c r="P661" s="47"/>
      <c r="Q661" s="47"/>
      <c r="R661" s="47"/>
      <c r="S661" s="47"/>
    </row>
    <row r="662">
      <c r="L662" s="183"/>
      <c r="O662" s="47"/>
      <c r="P662" s="47"/>
      <c r="Q662" s="47"/>
      <c r="R662" s="47"/>
      <c r="S662" s="47"/>
    </row>
    <row r="663">
      <c r="L663" s="183"/>
      <c r="O663" s="47"/>
      <c r="P663" s="47"/>
      <c r="Q663" s="47"/>
      <c r="R663" s="47"/>
      <c r="S663" s="47"/>
    </row>
    <row r="664">
      <c r="L664" s="183"/>
      <c r="O664" s="47"/>
      <c r="P664" s="47"/>
      <c r="Q664" s="47"/>
      <c r="R664" s="47"/>
      <c r="S664" s="47"/>
    </row>
    <row r="665">
      <c r="L665" s="183"/>
      <c r="O665" s="47"/>
      <c r="P665" s="47"/>
      <c r="Q665" s="47"/>
      <c r="R665" s="47"/>
      <c r="S665" s="47"/>
    </row>
    <row r="666">
      <c r="L666" s="183"/>
      <c r="O666" s="47"/>
      <c r="P666" s="47"/>
      <c r="Q666" s="47"/>
      <c r="R666" s="47"/>
      <c r="S666" s="47"/>
    </row>
    <row r="667">
      <c r="L667" s="183"/>
      <c r="O667" s="47"/>
      <c r="P667" s="47"/>
      <c r="Q667" s="47"/>
      <c r="R667" s="47"/>
      <c r="S667" s="47"/>
    </row>
    <row r="668">
      <c r="L668" s="183"/>
      <c r="O668" s="47"/>
      <c r="P668" s="47"/>
      <c r="Q668" s="47"/>
      <c r="R668" s="47"/>
      <c r="S668" s="47"/>
    </row>
    <row r="669">
      <c r="L669" s="183"/>
      <c r="O669" s="47"/>
      <c r="P669" s="47"/>
      <c r="Q669" s="47"/>
      <c r="R669" s="47"/>
      <c r="S669" s="47"/>
    </row>
    <row r="670">
      <c r="L670" s="183"/>
      <c r="O670" s="47"/>
      <c r="P670" s="47"/>
      <c r="Q670" s="47"/>
      <c r="R670" s="47"/>
      <c r="S670" s="47"/>
    </row>
    <row r="671">
      <c r="L671" s="183"/>
      <c r="O671" s="47"/>
      <c r="P671" s="47"/>
      <c r="Q671" s="47"/>
      <c r="R671" s="47"/>
      <c r="S671" s="47"/>
    </row>
    <row r="672">
      <c r="L672" s="183"/>
      <c r="O672" s="47"/>
      <c r="P672" s="47"/>
      <c r="Q672" s="47"/>
      <c r="R672" s="47"/>
      <c r="S672" s="47"/>
    </row>
    <row r="673">
      <c r="L673" s="183"/>
      <c r="O673" s="47"/>
      <c r="P673" s="47"/>
      <c r="Q673" s="47"/>
      <c r="R673" s="47"/>
      <c r="S673" s="47"/>
    </row>
    <row r="674">
      <c r="L674" s="183"/>
      <c r="O674" s="47"/>
      <c r="P674" s="47"/>
      <c r="Q674" s="47"/>
      <c r="R674" s="47"/>
      <c r="S674" s="47"/>
    </row>
    <row r="675">
      <c r="L675" s="183"/>
      <c r="O675" s="47"/>
      <c r="P675" s="47"/>
      <c r="Q675" s="47"/>
      <c r="R675" s="47"/>
      <c r="S675" s="47"/>
    </row>
    <row r="676">
      <c r="L676" s="183"/>
      <c r="O676" s="47"/>
      <c r="P676" s="47"/>
      <c r="Q676" s="47"/>
      <c r="R676" s="47"/>
      <c r="S676" s="47"/>
    </row>
    <row r="677">
      <c r="L677" s="183"/>
      <c r="O677" s="47"/>
      <c r="P677" s="47"/>
      <c r="Q677" s="47"/>
      <c r="R677" s="47"/>
      <c r="S677" s="47"/>
    </row>
    <row r="678">
      <c r="L678" s="183"/>
      <c r="O678" s="47"/>
      <c r="P678" s="47"/>
      <c r="Q678" s="47"/>
      <c r="R678" s="47"/>
      <c r="S678" s="47"/>
    </row>
    <row r="679">
      <c r="L679" s="183"/>
      <c r="O679" s="47"/>
      <c r="P679" s="47"/>
      <c r="Q679" s="47"/>
      <c r="R679" s="47"/>
      <c r="S679" s="47"/>
    </row>
    <row r="680">
      <c r="L680" s="183"/>
      <c r="O680" s="47"/>
      <c r="P680" s="47"/>
      <c r="Q680" s="47"/>
      <c r="R680" s="47"/>
      <c r="S680" s="47"/>
    </row>
    <row r="681">
      <c r="L681" s="183"/>
      <c r="O681" s="47"/>
      <c r="P681" s="47"/>
      <c r="Q681" s="47"/>
      <c r="R681" s="47"/>
      <c r="S681" s="47"/>
    </row>
    <row r="682">
      <c r="L682" s="183"/>
      <c r="O682" s="47"/>
      <c r="P682" s="47"/>
      <c r="Q682" s="47"/>
      <c r="R682" s="47"/>
      <c r="S682" s="47"/>
    </row>
    <row r="683">
      <c r="L683" s="183"/>
      <c r="O683" s="47"/>
      <c r="P683" s="47"/>
      <c r="Q683" s="47"/>
      <c r="R683" s="47"/>
      <c r="S683" s="47"/>
    </row>
    <row r="684">
      <c r="L684" s="183"/>
      <c r="O684" s="47"/>
      <c r="P684" s="47"/>
      <c r="Q684" s="47"/>
      <c r="R684" s="47"/>
      <c r="S684" s="47"/>
    </row>
    <row r="685">
      <c r="L685" s="183"/>
      <c r="O685" s="47"/>
      <c r="P685" s="47"/>
      <c r="Q685" s="47"/>
      <c r="R685" s="47"/>
      <c r="S685" s="47"/>
    </row>
    <row r="686">
      <c r="L686" s="183"/>
      <c r="O686" s="47"/>
      <c r="P686" s="47"/>
      <c r="Q686" s="47"/>
      <c r="R686" s="47"/>
      <c r="S686" s="47"/>
    </row>
    <row r="687">
      <c r="L687" s="183"/>
      <c r="O687" s="47"/>
      <c r="P687" s="47"/>
      <c r="Q687" s="47"/>
      <c r="R687" s="47"/>
      <c r="S687" s="47"/>
    </row>
    <row r="688">
      <c r="L688" s="183"/>
      <c r="O688" s="47"/>
      <c r="P688" s="47"/>
      <c r="Q688" s="47"/>
      <c r="R688" s="47"/>
      <c r="S688" s="47"/>
    </row>
    <row r="689">
      <c r="L689" s="183"/>
      <c r="O689" s="47"/>
      <c r="P689" s="47"/>
      <c r="Q689" s="47"/>
      <c r="R689" s="47"/>
      <c r="S689" s="47"/>
    </row>
    <row r="690">
      <c r="L690" s="183"/>
      <c r="O690" s="47"/>
      <c r="P690" s="47"/>
      <c r="Q690" s="47"/>
      <c r="R690" s="47"/>
      <c r="S690" s="47"/>
    </row>
    <row r="691">
      <c r="L691" s="183"/>
      <c r="O691" s="47"/>
      <c r="P691" s="47"/>
      <c r="Q691" s="47"/>
      <c r="R691" s="47"/>
      <c r="S691" s="47"/>
    </row>
    <row r="692">
      <c r="L692" s="183"/>
      <c r="O692" s="47"/>
      <c r="P692" s="47"/>
      <c r="Q692" s="47"/>
      <c r="R692" s="47"/>
      <c r="S692" s="47"/>
    </row>
    <row r="693">
      <c r="L693" s="183"/>
      <c r="O693" s="47"/>
      <c r="P693" s="47"/>
      <c r="Q693" s="47"/>
      <c r="R693" s="47"/>
      <c r="S693" s="47"/>
    </row>
    <row r="694">
      <c r="L694" s="183"/>
      <c r="O694" s="47"/>
      <c r="P694" s="47"/>
      <c r="Q694" s="47"/>
      <c r="R694" s="47"/>
      <c r="S694" s="47"/>
    </row>
    <row r="695">
      <c r="L695" s="183"/>
      <c r="O695" s="47"/>
      <c r="P695" s="47"/>
      <c r="Q695" s="47"/>
      <c r="R695" s="47"/>
      <c r="S695" s="47"/>
    </row>
    <row r="696">
      <c r="L696" s="183"/>
      <c r="O696" s="47"/>
      <c r="P696" s="47"/>
      <c r="Q696" s="47"/>
      <c r="R696" s="47"/>
      <c r="S696" s="47"/>
    </row>
    <row r="697">
      <c r="L697" s="183"/>
      <c r="O697" s="47"/>
      <c r="P697" s="47"/>
      <c r="Q697" s="47"/>
      <c r="R697" s="47"/>
      <c r="S697" s="47"/>
    </row>
    <row r="698">
      <c r="L698" s="183"/>
      <c r="O698" s="47"/>
      <c r="P698" s="47"/>
      <c r="Q698" s="47"/>
      <c r="R698" s="47"/>
      <c r="S698" s="47"/>
    </row>
    <row r="699">
      <c r="L699" s="183"/>
      <c r="O699" s="47"/>
      <c r="P699" s="47"/>
      <c r="Q699" s="47"/>
      <c r="R699" s="47"/>
      <c r="S699" s="47"/>
    </row>
    <row r="700">
      <c r="L700" s="183"/>
      <c r="O700" s="47"/>
      <c r="P700" s="47"/>
      <c r="Q700" s="47"/>
      <c r="R700" s="47"/>
      <c r="S700" s="47"/>
    </row>
    <row r="701">
      <c r="L701" s="183"/>
      <c r="O701" s="47"/>
      <c r="P701" s="47"/>
      <c r="Q701" s="47"/>
      <c r="R701" s="47"/>
      <c r="S701" s="47"/>
    </row>
    <row r="702">
      <c r="L702" s="183"/>
      <c r="O702" s="47"/>
      <c r="P702" s="47"/>
      <c r="Q702" s="47"/>
      <c r="R702" s="47"/>
      <c r="S702" s="47"/>
    </row>
    <row r="703">
      <c r="L703" s="183"/>
      <c r="O703" s="47"/>
      <c r="P703" s="47"/>
      <c r="Q703" s="47"/>
      <c r="R703" s="47"/>
      <c r="S703" s="47"/>
    </row>
    <row r="704">
      <c r="L704" s="183"/>
      <c r="O704" s="47"/>
      <c r="P704" s="47"/>
      <c r="Q704" s="47"/>
      <c r="R704" s="47"/>
      <c r="S704" s="47"/>
    </row>
    <row r="705">
      <c r="L705" s="183"/>
      <c r="O705" s="47"/>
      <c r="P705" s="47"/>
      <c r="Q705" s="47"/>
      <c r="R705" s="47"/>
      <c r="S705" s="47"/>
    </row>
    <row r="706">
      <c r="L706" s="183"/>
      <c r="O706" s="47"/>
      <c r="P706" s="47"/>
      <c r="Q706" s="47"/>
      <c r="R706" s="47"/>
      <c r="S706" s="47"/>
    </row>
    <row r="707">
      <c r="L707" s="183"/>
      <c r="O707" s="47"/>
      <c r="P707" s="47"/>
      <c r="Q707" s="47"/>
      <c r="R707" s="47"/>
      <c r="S707" s="47"/>
    </row>
    <row r="708">
      <c r="L708" s="183"/>
      <c r="O708" s="47"/>
      <c r="P708" s="47"/>
      <c r="Q708" s="47"/>
      <c r="R708" s="47"/>
      <c r="S708" s="47"/>
    </row>
    <row r="709">
      <c r="L709" s="183"/>
      <c r="O709" s="47"/>
      <c r="P709" s="47"/>
      <c r="Q709" s="47"/>
      <c r="R709" s="47"/>
      <c r="S709" s="47"/>
    </row>
    <row r="710">
      <c r="L710" s="183"/>
      <c r="O710" s="47"/>
      <c r="P710" s="47"/>
      <c r="Q710" s="47"/>
      <c r="R710" s="47"/>
      <c r="S710" s="47"/>
    </row>
    <row r="711">
      <c r="L711" s="183"/>
      <c r="O711" s="47"/>
      <c r="P711" s="47"/>
      <c r="Q711" s="47"/>
      <c r="R711" s="47"/>
      <c r="S711" s="47"/>
    </row>
    <row r="712">
      <c r="L712" s="183"/>
      <c r="O712" s="47"/>
      <c r="P712" s="47"/>
      <c r="Q712" s="47"/>
      <c r="R712" s="47"/>
      <c r="S712" s="47"/>
    </row>
    <row r="713">
      <c r="L713" s="183"/>
      <c r="O713" s="47"/>
      <c r="P713" s="47"/>
      <c r="Q713" s="47"/>
      <c r="R713" s="47"/>
      <c r="S713" s="47"/>
    </row>
    <row r="714">
      <c r="L714" s="183"/>
      <c r="O714" s="47"/>
      <c r="P714" s="47"/>
      <c r="Q714" s="47"/>
      <c r="R714" s="47"/>
      <c r="S714" s="47"/>
    </row>
    <row r="715">
      <c r="L715" s="183"/>
      <c r="O715" s="47"/>
      <c r="P715" s="47"/>
      <c r="Q715" s="47"/>
      <c r="R715" s="47"/>
      <c r="S715" s="47"/>
    </row>
    <row r="716">
      <c r="L716" s="183"/>
      <c r="O716" s="47"/>
      <c r="P716" s="47"/>
      <c r="Q716" s="47"/>
      <c r="R716" s="47"/>
      <c r="S716" s="47"/>
    </row>
    <row r="717">
      <c r="L717" s="183"/>
      <c r="O717" s="47"/>
      <c r="P717" s="47"/>
      <c r="Q717" s="47"/>
      <c r="R717" s="47"/>
      <c r="S717" s="47"/>
    </row>
    <row r="718">
      <c r="L718" s="183"/>
      <c r="O718" s="47"/>
      <c r="P718" s="47"/>
      <c r="Q718" s="47"/>
      <c r="R718" s="47"/>
      <c r="S718" s="47"/>
    </row>
    <row r="719">
      <c r="L719" s="183"/>
      <c r="O719" s="47"/>
      <c r="P719" s="47"/>
      <c r="Q719" s="47"/>
      <c r="R719" s="47"/>
      <c r="S719" s="47"/>
    </row>
    <row r="720">
      <c r="L720" s="183"/>
      <c r="O720" s="47"/>
      <c r="P720" s="47"/>
      <c r="Q720" s="47"/>
      <c r="R720" s="47"/>
      <c r="S720" s="47"/>
    </row>
    <row r="721">
      <c r="L721" s="183"/>
      <c r="O721" s="47"/>
      <c r="P721" s="47"/>
      <c r="Q721" s="47"/>
      <c r="R721" s="47"/>
      <c r="S721" s="47"/>
    </row>
    <row r="722">
      <c r="L722" s="183"/>
      <c r="O722" s="47"/>
      <c r="P722" s="47"/>
      <c r="Q722" s="47"/>
      <c r="R722" s="47"/>
      <c r="S722" s="47"/>
    </row>
    <row r="723">
      <c r="L723" s="183"/>
      <c r="O723" s="47"/>
      <c r="P723" s="47"/>
      <c r="Q723" s="47"/>
      <c r="R723" s="47"/>
      <c r="S723" s="47"/>
    </row>
    <row r="724">
      <c r="L724" s="183"/>
      <c r="O724" s="47"/>
      <c r="P724" s="47"/>
      <c r="Q724" s="47"/>
      <c r="R724" s="47"/>
      <c r="S724" s="47"/>
    </row>
    <row r="725">
      <c r="L725" s="183"/>
      <c r="O725" s="47"/>
      <c r="P725" s="47"/>
      <c r="Q725" s="47"/>
      <c r="R725" s="47"/>
      <c r="S725" s="47"/>
    </row>
    <row r="726">
      <c r="L726" s="183"/>
      <c r="O726" s="47"/>
      <c r="P726" s="47"/>
      <c r="Q726" s="47"/>
      <c r="R726" s="47"/>
      <c r="S726" s="47"/>
    </row>
    <row r="727">
      <c r="L727" s="183"/>
      <c r="O727" s="47"/>
      <c r="P727" s="47"/>
      <c r="Q727" s="47"/>
      <c r="R727" s="47"/>
      <c r="S727" s="47"/>
    </row>
    <row r="728">
      <c r="L728" s="183"/>
      <c r="O728" s="47"/>
      <c r="P728" s="47"/>
      <c r="Q728" s="47"/>
      <c r="R728" s="47"/>
      <c r="S728" s="47"/>
    </row>
    <row r="729">
      <c r="L729" s="183"/>
      <c r="O729" s="47"/>
      <c r="P729" s="47"/>
      <c r="Q729" s="47"/>
      <c r="R729" s="47"/>
      <c r="S729" s="47"/>
    </row>
    <row r="730">
      <c r="L730" s="183"/>
      <c r="O730" s="47"/>
      <c r="P730" s="47"/>
      <c r="Q730" s="47"/>
      <c r="R730" s="47"/>
      <c r="S730" s="47"/>
    </row>
    <row r="731">
      <c r="L731" s="183"/>
      <c r="O731" s="47"/>
      <c r="P731" s="47"/>
      <c r="Q731" s="47"/>
      <c r="R731" s="47"/>
      <c r="S731" s="47"/>
    </row>
    <row r="732">
      <c r="L732" s="183"/>
      <c r="O732" s="47"/>
      <c r="P732" s="47"/>
      <c r="Q732" s="47"/>
      <c r="R732" s="47"/>
      <c r="S732" s="47"/>
    </row>
    <row r="733">
      <c r="L733" s="183"/>
      <c r="O733" s="47"/>
      <c r="P733" s="47"/>
      <c r="Q733" s="47"/>
      <c r="R733" s="47"/>
      <c r="S733" s="47"/>
    </row>
    <row r="734">
      <c r="L734" s="183"/>
      <c r="O734" s="47"/>
      <c r="P734" s="47"/>
      <c r="Q734" s="47"/>
      <c r="R734" s="47"/>
      <c r="S734" s="47"/>
    </row>
    <row r="735">
      <c r="L735" s="183"/>
      <c r="O735" s="47"/>
      <c r="P735" s="47"/>
      <c r="Q735" s="47"/>
      <c r="R735" s="47"/>
      <c r="S735" s="47"/>
    </row>
    <row r="736">
      <c r="L736" s="183"/>
      <c r="O736" s="47"/>
      <c r="P736" s="47"/>
      <c r="Q736" s="47"/>
      <c r="R736" s="47"/>
      <c r="S736" s="47"/>
    </row>
    <row r="737">
      <c r="L737" s="183"/>
      <c r="O737" s="47"/>
      <c r="P737" s="47"/>
      <c r="Q737" s="47"/>
      <c r="R737" s="47"/>
      <c r="S737" s="47"/>
    </row>
    <row r="738">
      <c r="L738" s="183"/>
      <c r="O738" s="47"/>
      <c r="P738" s="47"/>
      <c r="Q738" s="47"/>
      <c r="R738" s="47"/>
      <c r="S738" s="47"/>
    </row>
    <row r="739">
      <c r="L739" s="183"/>
      <c r="O739" s="47"/>
      <c r="P739" s="47"/>
      <c r="Q739" s="47"/>
      <c r="R739" s="47"/>
      <c r="S739" s="47"/>
    </row>
    <row r="740">
      <c r="L740" s="183"/>
      <c r="O740" s="47"/>
      <c r="P740" s="47"/>
      <c r="Q740" s="47"/>
      <c r="R740" s="47"/>
      <c r="S740" s="47"/>
    </row>
    <row r="741">
      <c r="L741" s="183"/>
      <c r="O741" s="47"/>
      <c r="P741" s="47"/>
      <c r="Q741" s="47"/>
      <c r="R741" s="47"/>
      <c r="S741" s="47"/>
    </row>
    <row r="742">
      <c r="L742" s="183"/>
      <c r="O742" s="47"/>
      <c r="P742" s="47"/>
      <c r="Q742" s="47"/>
      <c r="R742" s="47"/>
      <c r="S742" s="47"/>
    </row>
    <row r="743">
      <c r="L743" s="183"/>
      <c r="O743" s="47"/>
      <c r="P743" s="47"/>
      <c r="Q743" s="47"/>
      <c r="R743" s="47"/>
      <c r="S743" s="47"/>
    </row>
    <row r="744">
      <c r="L744" s="183"/>
      <c r="O744" s="47"/>
      <c r="P744" s="47"/>
      <c r="Q744" s="47"/>
      <c r="R744" s="47"/>
      <c r="S744" s="47"/>
    </row>
    <row r="745">
      <c r="L745" s="183"/>
      <c r="O745" s="47"/>
      <c r="P745" s="47"/>
      <c r="Q745" s="47"/>
      <c r="R745" s="47"/>
      <c r="S745" s="47"/>
    </row>
    <row r="746">
      <c r="L746" s="183"/>
      <c r="O746" s="47"/>
      <c r="P746" s="47"/>
      <c r="Q746" s="47"/>
      <c r="R746" s="47"/>
      <c r="S746" s="47"/>
    </row>
    <row r="747">
      <c r="L747" s="183"/>
      <c r="O747" s="47"/>
      <c r="P747" s="47"/>
      <c r="Q747" s="47"/>
      <c r="R747" s="47"/>
      <c r="S747" s="47"/>
    </row>
    <row r="748">
      <c r="L748" s="183"/>
      <c r="O748" s="47"/>
      <c r="P748" s="47"/>
      <c r="Q748" s="47"/>
      <c r="R748" s="47"/>
      <c r="S748" s="47"/>
    </row>
    <row r="749">
      <c r="L749" s="183"/>
      <c r="O749" s="47"/>
      <c r="P749" s="47"/>
      <c r="Q749" s="47"/>
      <c r="R749" s="47"/>
      <c r="S749" s="47"/>
    </row>
    <row r="750">
      <c r="L750" s="183"/>
      <c r="O750" s="47"/>
      <c r="P750" s="47"/>
      <c r="Q750" s="47"/>
      <c r="R750" s="47"/>
      <c r="S750" s="47"/>
    </row>
    <row r="751">
      <c r="L751" s="183"/>
      <c r="O751" s="47"/>
      <c r="P751" s="47"/>
      <c r="Q751" s="47"/>
      <c r="R751" s="47"/>
      <c r="S751" s="47"/>
    </row>
    <row r="752">
      <c r="L752" s="183"/>
      <c r="O752" s="47"/>
      <c r="P752" s="47"/>
      <c r="Q752" s="47"/>
      <c r="R752" s="47"/>
      <c r="S752" s="47"/>
    </row>
    <row r="753">
      <c r="L753" s="183"/>
      <c r="O753" s="47"/>
      <c r="P753" s="47"/>
      <c r="Q753" s="47"/>
      <c r="R753" s="47"/>
      <c r="S753" s="47"/>
    </row>
    <row r="754">
      <c r="L754" s="183"/>
      <c r="O754" s="47"/>
      <c r="P754" s="47"/>
      <c r="Q754" s="47"/>
      <c r="R754" s="47"/>
      <c r="S754" s="47"/>
    </row>
    <row r="755">
      <c r="L755" s="183"/>
      <c r="O755" s="47"/>
      <c r="P755" s="47"/>
      <c r="Q755" s="47"/>
      <c r="R755" s="47"/>
      <c r="S755" s="47"/>
    </row>
    <row r="756">
      <c r="L756" s="183"/>
      <c r="O756" s="47"/>
      <c r="P756" s="47"/>
      <c r="Q756" s="47"/>
      <c r="R756" s="47"/>
      <c r="S756" s="47"/>
    </row>
    <row r="757">
      <c r="L757" s="183"/>
      <c r="O757" s="47"/>
      <c r="P757" s="47"/>
      <c r="Q757" s="47"/>
      <c r="R757" s="47"/>
      <c r="S757" s="47"/>
    </row>
    <row r="758">
      <c r="L758" s="183"/>
      <c r="O758" s="47"/>
      <c r="P758" s="47"/>
      <c r="Q758" s="47"/>
      <c r="R758" s="47"/>
      <c r="S758" s="47"/>
    </row>
    <row r="759">
      <c r="L759" s="183"/>
      <c r="O759" s="47"/>
      <c r="P759" s="47"/>
      <c r="Q759" s="47"/>
      <c r="R759" s="47"/>
      <c r="S759" s="47"/>
    </row>
    <row r="760">
      <c r="L760" s="183"/>
      <c r="O760" s="47"/>
      <c r="P760" s="47"/>
      <c r="Q760" s="47"/>
      <c r="R760" s="47"/>
      <c r="S760" s="47"/>
    </row>
    <row r="761">
      <c r="L761" s="183"/>
      <c r="O761" s="47"/>
      <c r="P761" s="47"/>
      <c r="Q761" s="47"/>
      <c r="R761" s="47"/>
      <c r="S761" s="47"/>
    </row>
    <row r="762">
      <c r="L762" s="183"/>
      <c r="O762" s="47"/>
      <c r="P762" s="47"/>
      <c r="Q762" s="47"/>
      <c r="R762" s="47"/>
      <c r="S762" s="47"/>
    </row>
    <row r="763">
      <c r="L763" s="183"/>
      <c r="O763" s="47"/>
      <c r="P763" s="47"/>
      <c r="Q763" s="47"/>
      <c r="R763" s="47"/>
      <c r="S763" s="47"/>
    </row>
    <row r="764">
      <c r="L764" s="183"/>
      <c r="O764" s="47"/>
      <c r="P764" s="47"/>
      <c r="Q764" s="47"/>
      <c r="R764" s="47"/>
      <c r="S764" s="47"/>
    </row>
    <row r="765">
      <c r="L765" s="183"/>
      <c r="O765" s="47"/>
      <c r="P765" s="47"/>
      <c r="Q765" s="47"/>
      <c r="R765" s="47"/>
      <c r="S765" s="47"/>
    </row>
    <row r="766">
      <c r="L766" s="183"/>
      <c r="O766" s="47"/>
      <c r="P766" s="47"/>
      <c r="Q766" s="47"/>
      <c r="R766" s="47"/>
      <c r="S766" s="47"/>
    </row>
    <row r="767">
      <c r="L767" s="183"/>
      <c r="O767" s="47"/>
      <c r="P767" s="47"/>
      <c r="Q767" s="47"/>
      <c r="R767" s="47"/>
      <c r="S767" s="47"/>
    </row>
    <row r="768">
      <c r="L768" s="183"/>
      <c r="O768" s="47"/>
      <c r="P768" s="47"/>
      <c r="Q768" s="47"/>
      <c r="R768" s="47"/>
      <c r="S768" s="47"/>
    </row>
    <row r="769">
      <c r="L769" s="183"/>
      <c r="O769" s="47"/>
      <c r="P769" s="47"/>
      <c r="Q769" s="47"/>
      <c r="R769" s="47"/>
      <c r="S769" s="47"/>
    </row>
    <row r="770">
      <c r="L770" s="183"/>
      <c r="O770" s="47"/>
      <c r="P770" s="47"/>
      <c r="Q770" s="47"/>
      <c r="R770" s="47"/>
      <c r="S770" s="47"/>
    </row>
    <row r="771">
      <c r="L771" s="183"/>
      <c r="O771" s="47"/>
      <c r="P771" s="47"/>
      <c r="Q771" s="47"/>
      <c r="R771" s="47"/>
      <c r="S771" s="47"/>
    </row>
    <row r="772">
      <c r="L772" s="183"/>
      <c r="O772" s="47"/>
      <c r="P772" s="47"/>
      <c r="Q772" s="47"/>
      <c r="R772" s="47"/>
      <c r="S772" s="47"/>
    </row>
    <row r="773">
      <c r="L773" s="183"/>
      <c r="O773" s="47"/>
      <c r="P773" s="47"/>
      <c r="Q773" s="47"/>
      <c r="R773" s="47"/>
      <c r="S773" s="47"/>
    </row>
    <row r="774">
      <c r="L774" s="183"/>
      <c r="O774" s="47"/>
      <c r="P774" s="47"/>
      <c r="Q774" s="47"/>
      <c r="R774" s="47"/>
      <c r="S774" s="47"/>
    </row>
    <row r="775">
      <c r="L775" s="183"/>
      <c r="O775" s="47"/>
      <c r="P775" s="47"/>
      <c r="Q775" s="47"/>
      <c r="R775" s="47"/>
      <c r="S775" s="47"/>
    </row>
    <row r="776">
      <c r="L776" s="183"/>
      <c r="O776" s="47"/>
      <c r="P776" s="47"/>
      <c r="Q776" s="47"/>
      <c r="R776" s="47"/>
      <c r="S776" s="47"/>
    </row>
    <row r="777">
      <c r="L777" s="183"/>
      <c r="O777" s="47"/>
      <c r="P777" s="47"/>
      <c r="Q777" s="47"/>
      <c r="R777" s="47"/>
      <c r="S777" s="47"/>
    </row>
    <row r="778">
      <c r="L778" s="183"/>
      <c r="O778" s="47"/>
      <c r="P778" s="47"/>
      <c r="Q778" s="47"/>
      <c r="R778" s="47"/>
      <c r="S778" s="47"/>
    </row>
    <row r="779">
      <c r="L779" s="183"/>
      <c r="O779" s="47"/>
      <c r="P779" s="47"/>
      <c r="Q779" s="47"/>
      <c r="R779" s="47"/>
      <c r="S779" s="47"/>
    </row>
    <row r="780">
      <c r="L780" s="183"/>
      <c r="O780" s="47"/>
      <c r="P780" s="47"/>
      <c r="Q780" s="47"/>
      <c r="R780" s="47"/>
      <c r="S780" s="47"/>
    </row>
    <row r="781">
      <c r="L781" s="183"/>
      <c r="O781" s="47"/>
      <c r="P781" s="47"/>
      <c r="Q781" s="47"/>
      <c r="R781" s="47"/>
      <c r="S781" s="47"/>
    </row>
    <row r="782">
      <c r="L782" s="183"/>
      <c r="O782" s="47"/>
      <c r="P782" s="47"/>
      <c r="Q782" s="47"/>
      <c r="R782" s="47"/>
      <c r="S782" s="47"/>
    </row>
    <row r="783">
      <c r="L783" s="183"/>
      <c r="O783" s="47"/>
      <c r="P783" s="47"/>
      <c r="Q783" s="47"/>
      <c r="R783" s="47"/>
      <c r="S783" s="47"/>
    </row>
    <row r="784">
      <c r="L784" s="183"/>
      <c r="O784" s="47"/>
      <c r="P784" s="47"/>
      <c r="Q784" s="47"/>
      <c r="R784" s="47"/>
      <c r="S784" s="47"/>
    </row>
    <row r="785">
      <c r="L785" s="183"/>
      <c r="O785" s="47"/>
      <c r="P785" s="47"/>
      <c r="Q785" s="47"/>
      <c r="R785" s="47"/>
      <c r="S785" s="47"/>
    </row>
    <row r="786">
      <c r="L786" s="183"/>
      <c r="O786" s="47"/>
      <c r="P786" s="47"/>
      <c r="Q786" s="47"/>
      <c r="R786" s="47"/>
      <c r="S786" s="47"/>
    </row>
    <row r="787">
      <c r="L787" s="183"/>
      <c r="O787" s="47"/>
      <c r="P787" s="47"/>
      <c r="Q787" s="47"/>
      <c r="R787" s="47"/>
      <c r="S787" s="47"/>
    </row>
    <row r="788">
      <c r="L788" s="183"/>
      <c r="O788" s="47"/>
      <c r="P788" s="47"/>
      <c r="Q788" s="47"/>
      <c r="R788" s="47"/>
      <c r="S788" s="47"/>
    </row>
    <row r="789">
      <c r="L789" s="183"/>
      <c r="O789" s="47"/>
      <c r="P789" s="47"/>
      <c r="Q789" s="47"/>
      <c r="R789" s="47"/>
      <c r="S789" s="47"/>
    </row>
    <row r="790">
      <c r="L790" s="183"/>
      <c r="O790" s="47"/>
      <c r="P790" s="47"/>
      <c r="Q790" s="47"/>
      <c r="R790" s="47"/>
      <c r="S790" s="47"/>
    </row>
    <row r="791">
      <c r="L791" s="183"/>
      <c r="O791" s="47"/>
      <c r="P791" s="47"/>
      <c r="Q791" s="47"/>
      <c r="R791" s="47"/>
      <c r="S791" s="47"/>
    </row>
    <row r="792">
      <c r="L792" s="183"/>
      <c r="O792" s="47"/>
      <c r="P792" s="47"/>
      <c r="Q792" s="47"/>
      <c r="R792" s="47"/>
      <c r="S792" s="47"/>
    </row>
    <row r="793">
      <c r="L793" s="183"/>
      <c r="O793" s="47"/>
      <c r="P793" s="47"/>
      <c r="Q793" s="47"/>
      <c r="R793" s="47"/>
      <c r="S793" s="47"/>
    </row>
    <row r="794">
      <c r="L794" s="183"/>
      <c r="O794" s="47"/>
      <c r="P794" s="47"/>
      <c r="Q794" s="47"/>
      <c r="R794" s="47"/>
      <c r="S794" s="47"/>
    </row>
    <row r="795">
      <c r="L795" s="183"/>
      <c r="O795" s="47"/>
      <c r="P795" s="47"/>
      <c r="Q795" s="47"/>
      <c r="R795" s="47"/>
      <c r="S795" s="47"/>
    </row>
    <row r="796">
      <c r="L796" s="183"/>
      <c r="O796" s="47"/>
      <c r="P796" s="47"/>
      <c r="Q796" s="47"/>
      <c r="R796" s="47"/>
      <c r="S796" s="47"/>
    </row>
    <row r="797">
      <c r="L797" s="183"/>
      <c r="O797" s="47"/>
      <c r="P797" s="47"/>
      <c r="Q797" s="47"/>
      <c r="R797" s="47"/>
      <c r="S797" s="47"/>
    </row>
    <row r="798">
      <c r="L798" s="183"/>
      <c r="O798" s="47"/>
      <c r="P798" s="47"/>
      <c r="Q798" s="47"/>
      <c r="R798" s="47"/>
      <c r="S798" s="47"/>
    </row>
    <row r="799">
      <c r="L799" s="183"/>
      <c r="O799" s="47"/>
      <c r="P799" s="47"/>
      <c r="Q799" s="47"/>
      <c r="R799" s="47"/>
      <c r="S799" s="47"/>
    </row>
    <row r="800">
      <c r="L800" s="183"/>
      <c r="O800" s="47"/>
      <c r="P800" s="47"/>
      <c r="Q800" s="47"/>
      <c r="R800" s="47"/>
      <c r="S800" s="47"/>
    </row>
    <row r="801">
      <c r="L801" s="183"/>
      <c r="O801" s="47"/>
      <c r="P801" s="47"/>
      <c r="Q801" s="47"/>
      <c r="R801" s="47"/>
      <c r="S801" s="47"/>
    </row>
    <row r="802">
      <c r="L802" s="183"/>
      <c r="O802" s="47"/>
      <c r="P802" s="47"/>
      <c r="Q802" s="47"/>
      <c r="R802" s="47"/>
      <c r="S802" s="47"/>
    </row>
    <row r="803">
      <c r="L803" s="183"/>
      <c r="O803" s="47"/>
      <c r="P803" s="47"/>
      <c r="Q803" s="47"/>
      <c r="R803" s="47"/>
      <c r="S803" s="47"/>
    </row>
    <row r="804">
      <c r="L804" s="183"/>
      <c r="O804" s="47"/>
      <c r="P804" s="47"/>
      <c r="Q804" s="47"/>
      <c r="R804" s="47"/>
      <c r="S804" s="47"/>
    </row>
    <row r="805">
      <c r="L805" s="183"/>
      <c r="O805" s="47"/>
      <c r="P805" s="47"/>
      <c r="Q805" s="47"/>
      <c r="R805" s="47"/>
      <c r="S805" s="47"/>
    </row>
    <row r="806">
      <c r="L806" s="183"/>
      <c r="O806" s="47"/>
      <c r="P806" s="47"/>
      <c r="Q806" s="47"/>
      <c r="R806" s="47"/>
      <c r="S806" s="47"/>
    </row>
    <row r="807">
      <c r="L807" s="183"/>
      <c r="O807" s="47"/>
      <c r="P807" s="47"/>
      <c r="Q807" s="47"/>
      <c r="R807" s="47"/>
      <c r="S807" s="47"/>
    </row>
    <row r="808">
      <c r="L808" s="183"/>
      <c r="O808" s="47"/>
      <c r="P808" s="47"/>
      <c r="Q808" s="47"/>
      <c r="R808" s="47"/>
      <c r="S808" s="47"/>
    </row>
    <row r="809">
      <c r="L809" s="183"/>
      <c r="O809" s="47"/>
      <c r="P809" s="47"/>
      <c r="Q809" s="47"/>
      <c r="R809" s="47"/>
      <c r="S809" s="47"/>
    </row>
    <row r="810">
      <c r="L810" s="183"/>
      <c r="O810" s="47"/>
      <c r="P810" s="47"/>
      <c r="Q810" s="47"/>
      <c r="R810" s="47"/>
      <c r="S810" s="47"/>
    </row>
    <row r="811">
      <c r="L811" s="183"/>
      <c r="O811" s="47"/>
      <c r="P811" s="47"/>
      <c r="Q811" s="47"/>
      <c r="R811" s="47"/>
      <c r="S811" s="47"/>
    </row>
    <row r="812">
      <c r="L812" s="183"/>
      <c r="O812" s="47"/>
      <c r="P812" s="47"/>
      <c r="Q812" s="47"/>
      <c r="R812" s="47"/>
      <c r="S812" s="47"/>
    </row>
    <row r="813">
      <c r="L813" s="183"/>
      <c r="O813" s="47"/>
      <c r="P813" s="47"/>
      <c r="Q813" s="47"/>
      <c r="R813" s="47"/>
      <c r="S813" s="47"/>
    </row>
    <row r="814">
      <c r="L814" s="183"/>
      <c r="O814" s="47"/>
      <c r="P814" s="47"/>
      <c r="Q814" s="47"/>
      <c r="R814" s="47"/>
      <c r="S814" s="47"/>
    </row>
    <row r="815">
      <c r="L815" s="183"/>
      <c r="O815" s="47"/>
      <c r="P815" s="47"/>
      <c r="Q815" s="47"/>
      <c r="R815" s="47"/>
      <c r="S815" s="47"/>
    </row>
    <row r="816">
      <c r="L816" s="183"/>
      <c r="O816" s="47"/>
      <c r="P816" s="47"/>
      <c r="Q816" s="47"/>
      <c r="R816" s="47"/>
      <c r="S816" s="47"/>
    </row>
    <row r="817">
      <c r="L817" s="183"/>
      <c r="O817" s="47"/>
      <c r="P817" s="47"/>
      <c r="Q817" s="47"/>
      <c r="R817" s="47"/>
      <c r="S817" s="47"/>
    </row>
    <row r="818">
      <c r="L818" s="183"/>
      <c r="O818" s="47"/>
      <c r="P818" s="47"/>
      <c r="Q818" s="47"/>
      <c r="R818" s="47"/>
      <c r="S818" s="47"/>
    </row>
    <row r="819">
      <c r="L819" s="183"/>
      <c r="O819" s="47"/>
      <c r="P819" s="47"/>
      <c r="Q819" s="47"/>
      <c r="R819" s="47"/>
      <c r="S819" s="47"/>
    </row>
    <row r="820">
      <c r="L820" s="183"/>
      <c r="O820" s="47"/>
      <c r="P820" s="47"/>
      <c r="Q820" s="47"/>
      <c r="R820" s="47"/>
      <c r="S820" s="47"/>
    </row>
    <row r="821">
      <c r="L821" s="183"/>
      <c r="O821" s="47"/>
      <c r="P821" s="47"/>
      <c r="Q821" s="47"/>
      <c r="R821" s="47"/>
      <c r="S821" s="47"/>
    </row>
    <row r="822">
      <c r="L822" s="183"/>
      <c r="O822" s="47"/>
      <c r="P822" s="47"/>
      <c r="Q822" s="47"/>
      <c r="R822" s="47"/>
      <c r="S822" s="47"/>
    </row>
    <row r="823">
      <c r="L823" s="183"/>
      <c r="O823" s="47"/>
      <c r="P823" s="47"/>
      <c r="Q823" s="47"/>
      <c r="R823" s="47"/>
      <c r="S823" s="47"/>
    </row>
    <row r="824">
      <c r="L824" s="183"/>
      <c r="O824" s="47"/>
      <c r="P824" s="47"/>
      <c r="Q824" s="47"/>
      <c r="R824" s="47"/>
      <c r="S824" s="47"/>
    </row>
    <row r="825">
      <c r="L825" s="183"/>
      <c r="O825" s="47"/>
      <c r="P825" s="47"/>
      <c r="Q825" s="47"/>
      <c r="R825" s="47"/>
      <c r="S825" s="47"/>
    </row>
    <row r="826">
      <c r="L826" s="183"/>
      <c r="O826" s="47"/>
      <c r="P826" s="47"/>
      <c r="Q826" s="47"/>
      <c r="R826" s="47"/>
      <c r="S826" s="47"/>
    </row>
    <row r="827">
      <c r="L827" s="183"/>
      <c r="O827" s="47"/>
      <c r="P827" s="47"/>
      <c r="Q827" s="47"/>
      <c r="R827" s="47"/>
      <c r="S827" s="47"/>
    </row>
    <row r="828">
      <c r="L828" s="183"/>
      <c r="O828" s="47"/>
      <c r="P828" s="47"/>
      <c r="Q828" s="47"/>
      <c r="R828" s="47"/>
      <c r="S828" s="47"/>
    </row>
    <row r="829">
      <c r="L829" s="183"/>
      <c r="O829" s="47"/>
      <c r="P829" s="47"/>
      <c r="Q829" s="47"/>
      <c r="R829" s="47"/>
      <c r="S829" s="47"/>
    </row>
    <row r="830">
      <c r="L830" s="183"/>
      <c r="O830" s="47"/>
      <c r="P830" s="47"/>
      <c r="Q830" s="47"/>
      <c r="R830" s="47"/>
      <c r="S830" s="47"/>
    </row>
    <row r="831">
      <c r="L831" s="183"/>
      <c r="O831" s="47"/>
      <c r="P831" s="47"/>
      <c r="Q831" s="47"/>
      <c r="R831" s="47"/>
      <c r="S831" s="47"/>
    </row>
    <row r="832">
      <c r="L832" s="183"/>
      <c r="O832" s="47"/>
      <c r="P832" s="47"/>
      <c r="Q832" s="47"/>
      <c r="R832" s="47"/>
      <c r="S832" s="47"/>
    </row>
    <row r="833">
      <c r="L833" s="183"/>
      <c r="O833" s="47"/>
      <c r="P833" s="47"/>
      <c r="Q833" s="47"/>
      <c r="R833" s="47"/>
      <c r="S833" s="47"/>
    </row>
    <row r="834">
      <c r="L834" s="183"/>
      <c r="O834" s="47"/>
      <c r="P834" s="47"/>
      <c r="Q834" s="47"/>
      <c r="R834" s="47"/>
      <c r="S834" s="47"/>
    </row>
    <row r="835">
      <c r="L835" s="183"/>
      <c r="O835" s="47"/>
      <c r="P835" s="47"/>
      <c r="Q835" s="47"/>
      <c r="R835" s="47"/>
      <c r="S835" s="47"/>
    </row>
    <row r="836">
      <c r="L836" s="183"/>
      <c r="O836" s="47"/>
      <c r="P836" s="47"/>
      <c r="Q836" s="47"/>
      <c r="R836" s="47"/>
      <c r="S836" s="47"/>
    </row>
    <row r="837">
      <c r="L837" s="183"/>
      <c r="O837" s="47"/>
      <c r="P837" s="47"/>
      <c r="Q837" s="47"/>
      <c r="R837" s="47"/>
      <c r="S837" s="47"/>
    </row>
    <row r="838">
      <c r="L838" s="183"/>
      <c r="O838" s="47"/>
      <c r="P838" s="47"/>
      <c r="Q838" s="47"/>
      <c r="R838" s="47"/>
      <c r="S838" s="47"/>
    </row>
    <row r="839">
      <c r="L839" s="183"/>
      <c r="O839" s="47"/>
      <c r="P839" s="47"/>
      <c r="Q839" s="47"/>
      <c r="R839" s="47"/>
      <c r="S839" s="47"/>
    </row>
    <row r="840">
      <c r="L840" s="183"/>
      <c r="O840" s="47"/>
      <c r="P840" s="47"/>
      <c r="Q840" s="47"/>
      <c r="R840" s="47"/>
      <c r="S840" s="47"/>
    </row>
    <row r="841">
      <c r="L841" s="183"/>
      <c r="O841" s="47"/>
      <c r="P841" s="47"/>
      <c r="Q841" s="47"/>
      <c r="R841" s="47"/>
      <c r="S841" s="47"/>
    </row>
    <row r="842">
      <c r="L842" s="183"/>
      <c r="O842" s="47"/>
      <c r="P842" s="47"/>
      <c r="Q842" s="47"/>
      <c r="R842" s="47"/>
      <c r="S842" s="47"/>
    </row>
    <row r="843">
      <c r="L843" s="183"/>
      <c r="O843" s="47"/>
      <c r="P843" s="47"/>
      <c r="Q843" s="47"/>
      <c r="R843" s="47"/>
      <c r="S843" s="47"/>
    </row>
    <row r="844">
      <c r="L844" s="183"/>
      <c r="O844" s="47"/>
      <c r="P844" s="47"/>
      <c r="Q844" s="47"/>
      <c r="R844" s="47"/>
      <c r="S844" s="47"/>
    </row>
    <row r="845">
      <c r="L845" s="183"/>
      <c r="O845" s="47"/>
      <c r="P845" s="47"/>
      <c r="Q845" s="47"/>
      <c r="R845" s="47"/>
      <c r="S845" s="47"/>
    </row>
    <row r="846">
      <c r="L846" s="183"/>
      <c r="O846" s="47"/>
      <c r="P846" s="47"/>
      <c r="Q846" s="47"/>
      <c r="R846" s="47"/>
      <c r="S846" s="47"/>
    </row>
    <row r="847">
      <c r="L847" s="183"/>
      <c r="O847" s="47"/>
      <c r="P847" s="47"/>
      <c r="Q847" s="47"/>
      <c r="R847" s="47"/>
      <c r="S847" s="47"/>
    </row>
    <row r="848">
      <c r="L848" s="183"/>
      <c r="O848" s="47"/>
      <c r="P848" s="47"/>
      <c r="Q848" s="47"/>
      <c r="R848" s="47"/>
      <c r="S848" s="47"/>
    </row>
    <row r="849">
      <c r="L849" s="183"/>
      <c r="O849" s="47"/>
      <c r="P849" s="47"/>
      <c r="Q849" s="47"/>
      <c r="R849" s="47"/>
      <c r="S849" s="47"/>
    </row>
    <row r="850">
      <c r="L850" s="183"/>
      <c r="O850" s="47"/>
      <c r="P850" s="47"/>
      <c r="Q850" s="47"/>
      <c r="R850" s="47"/>
      <c r="S850" s="47"/>
    </row>
    <row r="851">
      <c r="L851" s="183"/>
      <c r="O851" s="47"/>
      <c r="P851" s="47"/>
      <c r="Q851" s="47"/>
      <c r="R851" s="47"/>
      <c r="S851" s="47"/>
    </row>
    <row r="852">
      <c r="L852" s="183"/>
      <c r="O852" s="47"/>
      <c r="P852" s="47"/>
      <c r="Q852" s="47"/>
      <c r="R852" s="47"/>
      <c r="S852" s="47"/>
    </row>
    <row r="853">
      <c r="L853" s="183"/>
      <c r="O853" s="47"/>
      <c r="P853" s="47"/>
      <c r="Q853" s="47"/>
      <c r="R853" s="47"/>
      <c r="S853" s="47"/>
    </row>
    <row r="854">
      <c r="L854" s="183"/>
      <c r="O854" s="47"/>
      <c r="P854" s="47"/>
      <c r="Q854" s="47"/>
      <c r="R854" s="47"/>
      <c r="S854" s="47"/>
    </row>
    <row r="855">
      <c r="L855" s="183"/>
      <c r="O855" s="47"/>
      <c r="P855" s="47"/>
      <c r="Q855" s="47"/>
      <c r="R855" s="47"/>
      <c r="S855" s="47"/>
    </row>
    <row r="856">
      <c r="L856" s="183"/>
      <c r="O856" s="47"/>
      <c r="P856" s="47"/>
      <c r="Q856" s="47"/>
      <c r="R856" s="47"/>
      <c r="S856" s="47"/>
    </row>
    <row r="857">
      <c r="L857" s="183"/>
      <c r="O857" s="47"/>
      <c r="P857" s="47"/>
      <c r="Q857" s="47"/>
      <c r="R857" s="47"/>
      <c r="S857" s="47"/>
    </row>
    <row r="858">
      <c r="L858" s="183"/>
      <c r="O858" s="47"/>
      <c r="P858" s="47"/>
      <c r="Q858" s="47"/>
      <c r="R858" s="47"/>
      <c r="S858" s="47"/>
    </row>
    <row r="859">
      <c r="L859" s="183"/>
      <c r="O859" s="47"/>
      <c r="P859" s="47"/>
      <c r="Q859" s="47"/>
      <c r="R859" s="47"/>
      <c r="S859" s="47"/>
    </row>
    <row r="860">
      <c r="L860" s="183"/>
      <c r="O860" s="47"/>
      <c r="P860" s="47"/>
      <c r="Q860" s="47"/>
      <c r="R860" s="47"/>
      <c r="S860" s="47"/>
    </row>
    <row r="861">
      <c r="L861" s="183"/>
      <c r="O861" s="47"/>
      <c r="P861" s="47"/>
      <c r="Q861" s="47"/>
      <c r="R861" s="47"/>
      <c r="S861" s="47"/>
    </row>
    <row r="862">
      <c r="L862" s="183"/>
      <c r="O862" s="47"/>
      <c r="P862" s="47"/>
      <c r="Q862" s="47"/>
      <c r="R862" s="47"/>
      <c r="S862" s="47"/>
    </row>
    <row r="863">
      <c r="L863" s="183"/>
      <c r="O863" s="47"/>
      <c r="P863" s="47"/>
      <c r="Q863" s="47"/>
      <c r="R863" s="47"/>
      <c r="S863" s="47"/>
    </row>
    <row r="864">
      <c r="L864" s="183"/>
      <c r="O864" s="47"/>
      <c r="P864" s="47"/>
      <c r="Q864" s="47"/>
      <c r="R864" s="47"/>
      <c r="S864" s="47"/>
    </row>
    <row r="865">
      <c r="L865" s="183"/>
      <c r="O865" s="47"/>
      <c r="P865" s="47"/>
      <c r="Q865" s="47"/>
      <c r="R865" s="47"/>
      <c r="S865" s="47"/>
    </row>
    <row r="866">
      <c r="L866" s="183"/>
      <c r="O866" s="47"/>
      <c r="P866" s="47"/>
      <c r="Q866" s="47"/>
      <c r="R866" s="47"/>
      <c r="S866" s="47"/>
    </row>
    <row r="867">
      <c r="L867" s="183"/>
      <c r="O867" s="47"/>
      <c r="P867" s="47"/>
      <c r="Q867" s="47"/>
      <c r="R867" s="47"/>
      <c r="S867" s="47"/>
    </row>
    <row r="868">
      <c r="L868" s="183"/>
      <c r="O868" s="47"/>
      <c r="P868" s="47"/>
      <c r="Q868" s="47"/>
      <c r="R868" s="47"/>
      <c r="S868" s="47"/>
    </row>
    <row r="869">
      <c r="L869" s="183"/>
      <c r="O869" s="47"/>
      <c r="P869" s="47"/>
      <c r="Q869" s="47"/>
      <c r="R869" s="47"/>
      <c r="S869" s="47"/>
    </row>
    <row r="870">
      <c r="L870" s="183"/>
      <c r="O870" s="47"/>
      <c r="P870" s="47"/>
      <c r="Q870" s="47"/>
      <c r="R870" s="47"/>
      <c r="S870" s="47"/>
    </row>
    <row r="871">
      <c r="L871" s="183"/>
      <c r="O871" s="47"/>
      <c r="P871" s="47"/>
      <c r="Q871" s="47"/>
      <c r="R871" s="47"/>
      <c r="S871" s="47"/>
    </row>
    <row r="872">
      <c r="L872" s="183"/>
      <c r="O872" s="47"/>
      <c r="P872" s="47"/>
      <c r="Q872" s="47"/>
      <c r="R872" s="47"/>
      <c r="S872" s="47"/>
    </row>
    <row r="873">
      <c r="L873" s="183"/>
      <c r="O873" s="47"/>
      <c r="P873" s="47"/>
      <c r="Q873" s="47"/>
      <c r="R873" s="47"/>
      <c r="S873" s="47"/>
    </row>
    <row r="874">
      <c r="L874" s="183"/>
      <c r="O874" s="47"/>
      <c r="P874" s="47"/>
      <c r="Q874" s="47"/>
      <c r="R874" s="47"/>
      <c r="S874" s="47"/>
    </row>
    <row r="875">
      <c r="L875" s="183"/>
      <c r="O875" s="47"/>
      <c r="P875" s="47"/>
      <c r="Q875" s="47"/>
      <c r="R875" s="47"/>
      <c r="S875" s="47"/>
    </row>
    <row r="876">
      <c r="L876" s="183"/>
      <c r="O876" s="47"/>
      <c r="P876" s="47"/>
      <c r="Q876" s="47"/>
      <c r="R876" s="47"/>
      <c r="S876" s="47"/>
    </row>
    <row r="877">
      <c r="L877" s="183"/>
      <c r="O877" s="47"/>
      <c r="P877" s="47"/>
      <c r="Q877" s="47"/>
      <c r="R877" s="47"/>
      <c r="S877" s="47"/>
    </row>
    <row r="878">
      <c r="L878" s="183"/>
      <c r="O878" s="47"/>
      <c r="P878" s="47"/>
      <c r="Q878" s="47"/>
      <c r="R878" s="47"/>
      <c r="S878" s="47"/>
    </row>
    <row r="879">
      <c r="L879" s="183"/>
      <c r="O879" s="47"/>
      <c r="P879" s="47"/>
      <c r="Q879" s="47"/>
      <c r="R879" s="47"/>
      <c r="S879" s="47"/>
    </row>
    <row r="880">
      <c r="L880" s="183"/>
      <c r="O880" s="47"/>
      <c r="P880" s="47"/>
      <c r="Q880" s="47"/>
      <c r="R880" s="47"/>
      <c r="S880" s="47"/>
    </row>
    <row r="881">
      <c r="L881" s="183"/>
      <c r="O881" s="47"/>
      <c r="P881" s="47"/>
      <c r="Q881" s="47"/>
      <c r="R881" s="47"/>
      <c r="S881" s="47"/>
    </row>
    <row r="882">
      <c r="L882" s="183"/>
      <c r="O882" s="47"/>
      <c r="P882" s="47"/>
      <c r="Q882" s="47"/>
      <c r="R882" s="47"/>
      <c r="S882" s="47"/>
    </row>
    <row r="883">
      <c r="L883" s="183"/>
      <c r="O883" s="47"/>
      <c r="P883" s="47"/>
      <c r="Q883" s="47"/>
      <c r="R883" s="47"/>
      <c r="S883" s="47"/>
    </row>
    <row r="884">
      <c r="L884" s="183"/>
      <c r="O884" s="47"/>
      <c r="P884" s="47"/>
      <c r="Q884" s="47"/>
      <c r="R884" s="47"/>
      <c r="S884" s="47"/>
    </row>
    <row r="885">
      <c r="L885" s="183"/>
      <c r="O885" s="47"/>
      <c r="P885" s="47"/>
      <c r="Q885" s="47"/>
      <c r="R885" s="47"/>
      <c r="S885" s="47"/>
    </row>
    <row r="886">
      <c r="L886" s="183"/>
      <c r="O886" s="47"/>
      <c r="P886" s="47"/>
      <c r="Q886" s="47"/>
      <c r="R886" s="47"/>
      <c r="S886" s="47"/>
    </row>
    <row r="887">
      <c r="L887" s="183"/>
      <c r="O887" s="47"/>
      <c r="P887" s="47"/>
      <c r="Q887" s="47"/>
      <c r="R887" s="47"/>
      <c r="S887" s="47"/>
    </row>
    <row r="888">
      <c r="L888" s="183"/>
      <c r="O888" s="47"/>
      <c r="P888" s="47"/>
      <c r="Q888" s="47"/>
      <c r="R888" s="47"/>
      <c r="S888" s="47"/>
    </row>
    <row r="889">
      <c r="L889" s="183"/>
      <c r="O889" s="47"/>
      <c r="P889" s="47"/>
      <c r="Q889" s="47"/>
      <c r="R889" s="47"/>
      <c r="S889" s="47"/>
    </row>
    <row r="890">
      <c r="L890" s="183"/>
      <c r="O890" s="47"/>
      <c r="P890" s="47"/>
      <c r="Q890" s="47"/>
      <c r="R890" s="47"/>
      <c r="S890" s="47"/>
    </row>
    <row r="891">
      <c r="L891" s="183"/>
      <c r="O891" s="47"/>
      <c r="P891" s="47"/>
      <c r="Q891" s="47"/>
      <c r="R891" s="47"/>
      <c r="S891" s="47"/>
    </row>
    <row r="892">
      <c r="L892" s="183"/>
      <c r="O892" s="47"/>
      <c r="P892" s="47"/>
      <c r="Q892" s="47"/>
      <c r="R892" s="47"/>
      <c r="S892" s="47"/>
    </row>
    <row r="893">
      <c r="L893" s="183"/>
      <c r="O893" s="47"/>
      <c r="P893" s="47"/>
      <c r="Q893" s="47"/>
      <c r="R893" s="47"/>
      <c r="S893" s="47"/>
    </row>
    <row r="894">
      <c r="L894" s="183"/>
      <c r="O894" s="47"/>
      <c r="P894" s="47"/>
      <c r="Q894" s="47"/>
      <c r="R894" s="47"/>
      <c r="S894" s="47"/>
    </row>
    <row r="895">
      <c r="L895" s="183"/>
      <c r="O895" s="47"/>
      <c r="P895" s="47"/>
      <c r="Q895" s="47"/>
      <c r="R895" s="47"/>
      <c r="S895" s="47"/>
    </row>
    <row r="896">
      <c r="L896" s="183"/>
      <c r="O896" s="47"/>
      <c r="P896" s="47"/>
      <c r="Q896" s="47"/>
      <c r="R896" s="47"/>
      <c r="S896" s="47"/>
    </row>
    <row r="897">
      <c r="L897" s="183"/>
      <c r="O897" s="47"/>
      <c r="P897" s="47"/>
      <c r="Q897" s="47"/>
      <c r="R897" s="47"/>
      <c r="S897" s="47"/>
    </row>
    <row r="898">
      <c r="L898" s="183"/>
      <c r="O898" s="47"/>
      <c r="P898" s="47"/>
      <c r="Q898" s="47"/>
      <c r="R898" s="47"/>
      <c r="S898" s="47"/>
    </row>
    <row r="899">
      <c r="L899" s="183"/>
      <c r="O899" s="47"/>
      <c r="P899" s="47"/>
      <c r="Q899" s="47"/>
      <c r="R899" s="47"/>
      <c r="S899" s="47"/>
    </row>
    <row r="900">
      <c r="L900" s="183"/>
      <c r="O900" s="47"/>
      <c r="P900" s="47"/>
      <c r="Q900" s="47"/>
      <c r="R900" s="47"/>
      <c r="S900" s="47"/>
    </row>
    <row r="901">
      <c r="L901" s="183"/>
      <c r="O901" s="47"/>
      <c r="P901" s="47"/>
      <c r="Q901" s="47"/>
      <c r="R901" s="47"/>
      <c r="S901" s="47"/>
    </row>
    <row r="902">
      <c r="L902" s="183"/>
      <c r="O902" s="47"/>
      <c r="P902" s="47"/>
      <c r="Q902" s="47"/>
      <c r="R902" s="47"/>
      <c r="S902" s="47"/>
    </row>
    <row r="903">
      <c r="L903" s="183"/>
      <c r="O903" s="47"/>
      <c r="P903" s="47"/>
      <c r="Q903" s="47"/>
      <c r="R903" s="47"/>
      <c r="S903" s="47"/>
    </row>
    <row r="904">
      <c r="L904" s="183"/>
      <c r="O904" s="47"/>
      <c r="P904" s="47"/>
      <c r="Q904" s="47"/>
      <c r="R904" s="47"/>
      <c r="S904" s="47"/>
    </row>
    <row r="905">
      <c r="L905" s="183"/>
      <c r="O905" s="47"/>
      <c r="P905" s="47"/>
      <c r="Q905" s="47"/>
      <c r="R905" s="47"/>
      <c r="S905" s="47"/>
    </row>
    <row r="906">
      <c r="L906" s="183"/>
      <c r="O906" s="47"/>
      <c r="P906" s="47"/>
      <c r="Q906" s="47"/>
      <c r="R906" s="47"/>
      <c r="S906" s="47"/>
    </row>
    <row r="907">
      <c r="L907" s="183"/>
      <c r="O907" s="47"/>
      <c r="P907" s="47"/>
      <c r="Q907" s="47"/>
      <c r="R907" s="47"/>
      <c r="S907" s="47"/>
    </row>
    <row r="908">
      <c r="L908" s="183"/>
      <c r="O908" s="47"/>
      <c r="P908" s="47"/>
      <c r="Q908" s="47"/>
      <c r="R908" s="47"/>
      <c r="S908" s="47"/>
    </row>
    <row r="909">
      <c r="L909" s="183"/>
      <c r="O909" s="47"/>
      <c r="P909" s="47"/>
      <c r="Q909" s="47"/>
      <c r="R909" s="47"/>
      <c r="S909" s="47"/>
    </row>
    <row r="910">
      <c r="L910" s="183"/>
      <c r="O910" s="47"/>
      <c r="P910" s="47"/>
      <c r="Q910" s="47"/>
      <c r="R910" s="47"/>
      <c r="S910" s="47"/>
    </row>
    <row r="911">
      <c r="L911" s="183"/>
      <c r="O911" s="47"/>
      <c r="P911" s="47"/>
      <c r="Q911" s="47"/>
      <c r="R911" s="47"/>
      <c r="S911" s="47"/>
    </row>
    <row r="912">
      <c r="L912" s="183"/>
      <c r="O912" s="47"/>
      <c r="P912" s="47"/>
      <c r="Q912" s="47"/>
      <c r="R912" s="47"/>
      <c r="S912" s="47"/>
    </row>
    <row r="913">
      <c r="L913" s="183"/>
      <c r="O913" s="47"/>
      <c r="P913" s="47"/>
      <c r="Q913" s="47"/>
      <c r="R913" s="47"/>
      <c r="S913" s="47"/>
    </row>
    <row r="914">
      <c r="L914" s="183"/>
      <c r="O914" s="47"/>
      <c r="P914" s="47"/>
      <c r="Q914" s="47"/>
      <c r="R914" s="47"/>
      <c r="S914" s="47"/>
    </row>
    <row r="915">
      <c r="L915" s="183"/>
      <c r="O915" s="47"/>
      <c r="P915" s="47"/>
      <c r="Q915" s="47"/>
      <c r="R915" s="47"/>
      <c r="S915" s="47"/>
    </row>
    <row r="916">
      <c r="L916" s="183"/>
      <c r="O916" s="47"/>
      <c r="P916" s="47"/>
      <c r="Q916" s="47"/>
      <c r="R916" s="47"/>
      <c r="S916" s="47"/>
    </row>
    <row r="917">
      <c r="L917" s="183"/>
      <c r="O917" s="47"/>
      <c r="P917" s="47"/>
      <c r="Q917" s="47"/>
      <c r="R917" s="47"/>
      <c r="S917" s="47"/>
    </row>
    <row r="918">
      <c r="L918" s="183"/>
      <c r="O918" s="47"/>
      <c r="P918" s="47"/>
      <c r="Q918" s="47"/>
      <c r="R918" s="47"/>
      <c r="S918" s="47"/>
    </row>
    <row r="919">
      <c r="L919" s="183"/>
      <c r="O919" s="47"/>
      <c r="P919" s="47"/>
      <c r="Q919" s="47"/>
      <c r="R919" s="47"/>
      <c r="S919" s="47"/>
    </row>
    <row r="920">
      <c r="L920" s="183"/>
      <c r="O920" s="47"/>
      <c r="P920" s="47"/>
      <c r="Q920" s="47"/>
      <c r="R920" s="47"/>
      <c r="S920" s="47"/>
    </row>
    <row r="921">
      <c r="L921" s="183"/>
      <c r="O921" s="47"/>
      <c r="P921" s="47"/>
      <c r="Q921" s="47"/>
      <c r="R921" s="47"/>
      <c r="S921" s="47"/>
    </row>
    <row r="922">
      <c r="L922" s="183"/>
      <c r="O922" s="47"/>
      <c r="P922" s="47"/>
      <c r="Q922" s="47"/>
      <c r="R922" s="47"/>
      <c r="S922" s="47"/>
    </row>
    <row r="923">
      <c r="L923" s="183"/>
      <c r="O923" s="47"/>
      <c r="P923" s="47"/>
      <c r="Q923" s="47"/>
      <c r="R923" s="47"/>
      <c r="S923" s="47"/>
    </row>
    <row r="924">
      <c r="L924" s="183"/>
      <c r="O924" s="47"/>
      <c r="P924" s="47"/>
      <c r="Q924" s="47"/>
      <c r="R924" s="47"/>
      <c r="S924" s="47"/>
    </row>
    <row r="925">
      <c r="L925" s="183"/>
      <c r="O925" s="47"/>
      <c r="P925" s="47"/>
      <c r="Q925" s="47"/>
      <c r="R925" s="47"/>
      <c r="S925" s="47"/>
    </row>
    <row r="926">
      <c r="L926" s="183"/>
      <c r="O926" s="47"/>
      <c r="P926" s="47"/>
      <c r="Q926" s="47"/>
      <c r="R926" s="47"/>
      <c r="S926" s="47"/>
    </row>
    <row r="927">
      <c r="L927" s="183"/>
      <c r="O927" s="47"/>
      <c r="P927" s="47"/>
      <c r="Q927" s="47"/>
      <c r="R927" s="47"/>
      <c r="S927" s="47"/>
    </row>
    <row r="928">
      <c r="L928" s="183"/>
      <c r="O928" s="47"/>
      <c r="P928" s="47"/>
      <c r="Q928" s="47"/>
      <c r="R928" s="47"/>
      <c r="S928" s="47"/>
    </row>
    <row r="929">
      <c r="L929" s="183"/>
      <c r="O929" s="47"/>
      <c r="P929" s="47"/>
      <c r="Q929" s="47"/>
      <c r="R929" s="47"/>
      <c r="S929" s="47"/>
    </row>
    <row r="930">
      <c r="L930" s="183"/>
      <c r="O930" s="47"/>
      <c r="P930" s="47"/>
      <c r="Q930" s="47"/>
      <c r="R930" s="47"/>
      <c r="S930" s="47"/>
    </row>
    <row r="931">
      <c r="L931" s="183"/>
      <c r="O931" s="47"/>
      <c r="P931" s="47"/>
      <c r="Q931" s="47"/>
      <c r="R931" s="47"/>
      <c r="S931" s="47"/>
    </row>
    <row r="932">
      <c r="L932" s="183"/>
      <c r="O932" s="47"/>
      <c r="P932" s="47"/>
      <c r="Q932" s="47"/>
      <c r="R932" s="47"/>
      <c r="S932" s="47"/>
    </row>
    <row r="933">
      <c r="L933" s="183"/>
      <c r="O933" s="47"/>
      <c r="P933" s="47"/>
      <c r="Q933" s="47"/>
      <c r="R933" s="47"/>
      <c r="S933" s="47"/>
    </row>
    <row r="934">
      <c r="L934" s="183"/>
      <c r="O934" s="47"/>
      <c r="P934" s="47"/>
      <c r="Q934" s="47"/>
      <c r="R934" s="47"/>
      <c r="S934" s="47"/>
    </row>
    <row r="935">
      <c r="L935" s="183"/>
      <c r="O935" s="47"/>
      <c r="P935" s="47"/>
      <c r="Q935" s="47"/>
      <c r="R935" s="47"/>
      <c r="S935" s="47"/>
    </row>
    <row r="936">
      <c r="L936" s="183"/>
      <c r="O936" s="47"/>
      <c r="P936" s="47"/>
      <c r="Q936" s="47"/>
      <c r="R936" s="47"/>
      <c r="S936" s="47"/>
    </row>
    <row r="937">
      <c r="L937" s="183"/>
      <c r="O937" s="47"/>
      <c r="P937" s="47"/>
      <c r="Q937" s="47"/>
      <c r="R937" s="47"/>
      <c r="S937" s="47"/>
    </row>
    <row r="938">
      <c r="L938" s="183"/>
      <c r="O938" s="47"/>
      <c r="P938" s="47"/>
      <c r="Q938" s="47"/>
      <c r="R938" s="47"/>
      <c r="S938" s="47"/>
    </row>
    <row r="939">
      <c r="L939" s="183"/>
      <c r="O939" s="47"/>
      <c r="P939" s="47"/>
      <c r="Q939" s="47"/>
      <c r="R939" s="47"/>
      <c r="S939" s="47"/>
    </row>
    <row r="940">
      <c r="L940" s="183"/>
      <c r="O940" s="47"/>
      <c r="P940" s="47"/>
      <c r="Q940" s="47"/>
      <c r="R940" s="47"/>
      <c r="S940" s="47"/>
    </row>
    <row r="941">
      <c r="L941" s="183"/>
      <c r="O941" s="47"/>
      <c r="P941" s="47"/>
      <c r="Q941" s="47"/>
      <c r="R941" s="47"/>
      <c r="S941" s="47"/>
    </row>
    <row r="942">
      <c r="L942" s="183"/>
      <c r="O942" s="47"/>
      <c r="P942" s="47"/>
      <c r="Q942" s="47"/>
      <c r="R942" s="47"/>
      <c r="S942" s="47"/>
    </row>
    <row r="943">
      <c r="L943" s="183"/>
      <c r="O943" s="47"/>
      <c r="P943" s="47"/>
      <c r="Q943" s="47"/>
      <c r="R943" s="47"/>
      <c r="S943" s="47"/>
    </row>
    <row r="944">
      <c r="L944" s="183"/>
      <c r="O944" s="47"/>
      <c r="P944" s="47"/>
      <c r="Q944" s="47"/>
      <c r="R944" s="47"/>
      <c r="S944" s="47"/>
    </row>
    <row r="945">
      <c r="L945" s="183"/>
      <c r="O945" s="47"/>
      <c r="P945" s="47"/>
      <c r="Q945" s="47"/>
      <c r="R945" s="47"/>
      <c r="S945" s="47"/>
    </row>
    <row r="946">
      <c r="L946" s="183"/>
      <c r="O946" s="47"/>
      <c r="P946" s="47"/>
      <c r="Q946" s="47"/>
      <c r="R946" s="47"/>
      <c r="S946" s="47"/>
    </row>
    <row r="947">
      <c r="L947" s="183"/>
      <c r="O947" s="47"/>
      <c r="P947" s="47"/>
      <c r="Q947" s="47"/>
      <c r="R947" s="47"/>
      <c r="S947" s="47"/>
    </row>
    <row r="948">
      <c r="L948" s="183"/>
      <c r="O948" s="47"/>
      <c r="P948" s="47"/>
      <c r="Q948" s="47"/>
      <c r="R948" s="47"/>
      <c r="S948" s="47"/>
    </row>
    <row r="949">
      <c r="L949" s="183"/>
      <c r="O949" s="47"/>
      <c r="P949" s="47"/>
      <c r="Q949" s="47"/>
      <c r="R949" s="47"/>
      <c r="S949" s="47"/>
    </row>
    <row r="950">
      <c r="L950" s="183"/>
      <c r="O950" s="47"/>
      <c r="P950" s="47"/>
      <c r="Q950" s="47"/>
      <c r="R950" s="47"/>
      <c r="S950" s="47"/>
    </row>
    <row r="951">
      <c r="L951" s="183"/>
      <c r="O951" s="47"/>
      <c r="P951" s="47"/>
      <c r="Q951" s="47"/>
      <c r="R951" s="47"/>
      <c r="S951" s="47"/>
    </row>
    <row r="952">
      <c r="L952" s="183"/>
      <c r="O952" s="47"/>
      <c r="P952" s="47"/>
      <c r="Q952" s="47"/>
      <c r="R952" s="47"/>
      <c r="S952" s="47"/>
    </row>
    <row r="953">
      <c r="L953" s="183"/>
      <c r="O953" s="47"/>
      <c r="P953" s="47"/>
      <c r="Q953" s="47"/>
      <c r="R953" s="47"/>
      <c r="S953" s="47"/>
    </row>
    <row r="954">
      <c r="L954" s="183"/>
      <c r="O954" s="47"/>
      <c r="P954" s="47"/>
      <c r="Q954" s="47"/>
      <c r="R954" s="47"/>
      <c r="S954" s="47"/>
    </row>
    <row r="955">
      <c r="L955" s="183"/>
      <c r="O955" s="47"/>
      <c r="P955" s="47"/>
      <c r="Q955" s="47"/>
      <c r="R955" s="47"/>
      <c r="S955" s="47"/>
    </row>
    <row r="956">
      <c r="L956" s="183"/>
      <c r="O956" s="47"/>
      <c r="P956" s="47"/>
      <c r="Q956" s="47"/>
      <c r="R956" s="47"/>
      <c r="S956" s="47"/>
    </row>
    <row r="957">
      <c r="L957" s="183"/>
      <c r="O957" s="47"/>
      <c r="P957" s="47"/>
      <c r="Q957" s="47"/>
      <c r="R957" s="47"/>
      <c r="S957" s="47"/>
    </row>
    <row r="958">
      <c r="L958" s="183"/>
      <c r="O958" s="47"/>
      <c r="P958" s="47"/>
      <c r="Q958" s="47"/>
      <c r="R958" s="47"/>
      <c r="S958" s="47"/>
    </row>
    <row r="959">
      <c r="L959" s="183"/>
      <c r="O959" s="47"/>
      <c r="P959" s="47"/>
      <c r="Q959" s="47"/>
      <c r="R959" s="47"/>
      <c r="S959" s="47"/>
    </row>
    <row r="960">
      <c r="L960" s="183"/>
      <c r="O960" s="47"/>
      <c r="P960" s="47"/>
      <c r="Q960" s="47"/>
      <c r="R960" s="47"/>
      <c r="S960" s="47"/>
    </row>
    <row r="961">
      <c r="L961" s="183"/>
      <c r="O961" s="47"/>
      <c r="P961" s="47"/>
      <c r="Q961" s="47"/>
      <c r="R961" s="47"/>
      <c r="S961" s="47"/>
    </row>
    <row r="962">
      <c r="L962" s="183"/>
      <c r="O962" s="47"/>
      <c r="P962" s="47"/>
      <c r="Q962" s="47"/>
      <c r="R962" s="47"/>
      <c r="S962" s="47"/>
    </row>
    <row r="963">
      <c r="L963" s="183"/>
      <c r="O963" s="47"/>
      <c r="P963" s="47"/>
      <c r="Q963" s="47"/>
      <c r="R963" s="47"/>
      <c r="S963" s="47"/>
    </row>
    <row r="964">
      <c r="L964" s="183"/>
      <c r="O964" s="47"/>
      <c r="P964" s="47"/>
      <c r="Q964" s="47"/>
      <c r="R964" s="47"/>
      <c r="S964" s="47"/>
    </row>
    <row r="965">
      <c r="L965" s="183"/>
      <c r="O965" s="47"/>
      <c r="P965" s="47"/>
      <c r="Q965" s="47"/>
      <c r="R965" s="47"/>
      <c r="S965" s="47"/>
    </row>
    <row r="966">
      <c r="L966" s="183"/>
      <c r="O966" s="47"/>
      <c r="P966" s="47"/>
      <c r="Q966" s="47"/>
      <c r="R966" s="47"/>
      <c r="S966" s="47"/>
    </row>
    <row r="967">
      <c r="L967" s="183"/>
      <c r="O967" s="47"/>
      <c r="P967" s="47"/>
      <c r="Q967" s="47"/>
      <c r="R967" s="47"/>
      <c r="S967" s="47"/>
    </row>
    <row r="968">
      <c r="L968" s="183"/>
      <c r="O968" s="47"/>
      <c r="P968" s="47"/>
      <c r="Q968" s="47"/>
      <c r="R968" s="47"/>
      <c r="S968" s="47"/>
    </row>
    <row r="969">
      <c r="L969" s="183"/>
      <c r="O969" s="47"/>
      <c r="P969" s="47"/>
      <c r="Q969" s="47"/>
      <c r="R969" s="47"/>
      <c r="S969" s="47"/>
    </row>
    <row r="970">
      <c r="L970" s="183"/>
      <c r="O970" s="47"/>
      <c r="P970" s="47"/>
      <c r="Q970" s="47"/>
      <c r="R970" s="47"/>
      <c r="S970" s="47"/>
    </row>
    <row r="971">
      <c r="L971" s="183"/>
      <c r="O971" s="47"/>
      <c r="P971" s="47"/>
      <c r="Q971" s="47"/>
      <c r="R971" s="47"/>
      <c r="S971" s="47"/>
    </row>
    <row r="972">
      <c r="L972" s="183"/>
      <c r="O972" s="47"/>
      <c r="P972" s="47"/>
      <c r="Q972" s="47"/>
      <c r="R972" s="47"/>
      <c r="S972" s="47"/>
    </row>
    <row r="973">
      <c r="L973" s="183"/>
      <c r="O973" s="47"/>
      <c r="P973" s="47"/>
      <c r="Q973" s="47"/>
      <c r="R973" s="47"/>
      <c r="S973" s="47"/>
    </row>
    <row r="974">
      <c r="L974" s="183"/>
      <c r="O974" s="47"/>
      <c r="P974" s="47"/>
      <c r="Q974" s="47"/>
      <c r="R974" s="47"/>
      <c r="S974" s="47"/>
    </row>
    <row r="975">
      <c r="L975" s="183"/>
      <c r="O975" s="47"/>
      <c r="P975" s="47"/>
      <c r="Q975" s="47"/>
      <c r="R975" s="47"/>
      <c r="S975" s="47"/>
    </row>
    <row r="976">
      <c r="L976" s="183"/>
      <c r="O976" s="47"/>
      <c r="P976" s="47"/>
      <c r="Q976" s="47"/>
      <c r="R976" s="47"/>
      <c r="S976" s="47"/>
    </row>
    <row r="977">
      <c r="L977" s="183"/>
      <c r="O977" s="47"/>
      <c r="P977" s="47"/>
      <c r="Q977" s="47"/>
      <c r="R977" s="47"/>
      <c r="S977" s="47"/>
    </row>
    <row r="978">
      <c r="L978" s="183"/>
      <c r="O978" s="47"/>
      <c r="P978" s="47"/>
      <c r="Q978" s="47"/>
      <c r="R978" s="47"/>
      <c r="S978" s="47"/>
    </row>
    <row r="979">
      <c r="L979" s="183"/>
      <c r="O979" s="47"/>
      <c r="P979" s="47"/>
      <c r="Q979" s="47"/>
      <c r="R979" s="47"/>
      <c r="S979" s="47"/>
    </row>
    <row r="980">
      <c r="L980" s="183"/>
      <c r="O980" s="47"/>
      <c r="P980" s="47"/>
      <c r="Q980" s="47"/>
      <c r="R980" s="47"/>
      <c r="S980" s="47"/>
    </row>
    <row r="981">
      <c r="L981" s="183"/>
      <c r="O981" s="47"/>
      <c r="P981" s="47"/>
      <c r="Q981" s="47"/>
      <c r="R981" s="47"/>
      <c r="S981" s="47"/>
    </row>
    <row r="982">
      <c r="L982" s="183"/>
      <c r="O982" s="47"/>
      <c r="P982" s="47"/>
      <c r="Q982" s="47"/>
      <c r="R982" s="47"/>
      <c r="S982" s="47"/>
    </row>
    <row r="983">
      <c r="L983" s="183"/>
      <c r="O983" s="47"/>
      <c r="P983" s="47"/>
      <c r="Q983" s="47"/>
      <c r="R983" s="47"/>
      <c r="S983" s="47"/>
    </row>
    <row r="984">
      <c r="L984" s="183"/>
      <c r="O984" s="47"/>
      <c r="P984" s="47"/>
      <c r="Q984" s="47"/>
      <c r="R984" s="47"/>
      <c r="S984" s="47"/>
    </row>
    <row r="985">
      <c r="L985" s="183"/>
      <c r="O985" s="47"/>
      <c r="P985" s="47"/>
      <c r="Q985" s="47"/>
      <c r="R985" s="47"/>
      <c r="S985" s="47"/>
    </row>
    <row r="986">
      <c r="L986" s="183"/>
      <c r="O986" s="47"/>
      <c r="P986" s="47"/>
      <c r="Q986" s="47"/>
      <c r="R986" s="47"/>
      <c r="S986" s="47"/>
    </row>
    <row r="987">
      <c r="L987" s="183"/>
      <c r="O987" s="47"/>
      <c r="P987" s="47"/>
      <c r="Q987" s="47"/>
      <c r="R987" s="47"/>
      <c r="S987" s="47"/>
    </row>
    <row r="988">
      <c r="L988" s="183"/>
      <c r="O988" s="47"/>
      <c r="P988" s="47"/>
      <c r="Q988" s="47"/>
      <c r="R988" s="47"/>
      <c r="S988" s="47"/>
    </row>
    <row r="989">
      <c r="L989" s="183"/>
      <c r="O989" s="47"/>
      <c r="P989" s="47"/>
      <c r="Q989" s="47"/>
      <c r="R989" s="47"/>
      <c r="S989" s="47"/>
    </row>
    <row r="990">
      <c r="L990" s="183"/>
      <c r="O990" s="47"/>
      <c r="P990" s="47"/>
      <c r="Q990" s="47"/>
      <c r="R990" s="47"/>
      <c r="S990" s="47"/>
    </row>
    <row r="991">
      <c r="L991" s="183"/>
      <c r="O991" s="47"/>
      <c r="P991" s="47"/>
      <c r="Q991" s="47"/>
      <c r="R991" s="47"/>
      <c r="S991" s="47"/>
    </row>
    <row r="992">
      <c r="L992" s="183"/>
      <c r="O992" s="47"/>
      <c r="P992" s="47"/>
      <c r="Q992" s="47"/>
      <c r="R992" s="47"/>
      <c r="S992" s="47"/>
    </row>
    <row r="993">
      <c r="L993" s="183"/>
      <c r="O993" s="47"/>
      <c r="P993" s="47"/>
      <c r="Q993" s="47"/>
      <c r="R993" s="47"/>
      <c r="S993" s="47"/>
    </row>
    <row r="994">
      <c r="L994" s="183"/>
      <c r="O994" s="47"/>
      <c r="P994" s="47"/>
      <c r="Q994" s="47"/>
      <c r="R994" s="47"/>
      <c r="S994" s="47"/>
    </row>
    <row r="995">
      <c r="L995" s="183"/>
      <c r="O995" s="47"/>
      <c r="P995" s="47"/>
      <c r="Q995" s="47"/>
      <c r="R995" s="47"/>
      <c r="S995" s="47"/>
    </row>
    <row r="996">
      <c r="L996" s="183"/>
      <c r="O996" s="47"/>
      <c r="P996" s="47"/>
      <c r="Q996" s="47"/>
      <c r="R996" s="47"/>
      <c r="S996" s="47"/>
    </row>
    <row r="997">
      <c r="L997" s="183"/>
      <c r="O997" s="47"/>
      <c r="P997" s="47"/>
      <c r="Q997" s="47"/>
      <c r="R997" s="47"/>
      <c r="S997" s="47"/>
    </row>
    <row r="998">
      <c r="L998" s="183"/>
      <c r="O998" s="47"/>
      <c r="P998" s="47"/>
      <c r="Q998" s="47"/>
      <c r="R998" s="47"/>
      <c r="S998" s="47"/>
    </row>
    <row r="999">
      <c r="L999" s="183"/>
      <c r="O999" s="47"/>
      <c r="P999" s="47"/>
      <c r="Q999" s="47"/>
      <c r="R999" s="47"/>
      <c r="S999" s="47"/>
    </row>
    <row r="1000">
      <c r="L1000" s="183"/>
      <c r="O1000" s="47"/>
      <c r="P1000" s="47"/>
      <c r="Q1000" s="47"/>
      <c r="R1000" s="47"/>
      <c r="S1000" s="47"/>
    </row>
    <row r="1001">
      <c r="L1001" s="183"/>
      <c r="O1001" s="47"/>
      <c r="P1001" s="47"/>
      <c r="Q1001" s="47"/>
      <c r="R1001" s="47"/>
      <c r="S1001" s="47"/>
    </row>
    <row r="1002">
      <c r="L1002" s="183"/>
      <c r="O1002" s="47"/>
      <c r="P1002" s="47"/>
      <c r="Q1002" s="47"/>
      <c r="R1002" s="47"/>
      <c r="S1002" s="47"/>
    </row>
    <row r="1003">
      <c r="L1003" s="183"/>
      <c r="O1003" s="47"/>
      <c r="P1003" s="47"/>
      <c r="Q1003" s="47"/>
      <c r="R1003" s="47"/>
      <c r="S1003" s="47"/>
    </row>
    <row r="1004">
      <c r="L1004" s="183"/>
      <c r="O1004" s="47"/>
      <c r="P1004" s="47"/>
      <c r="Q1004" s="47"/>
      <c r="R1004" s="47"/>
      <c r="S1004" s="47"/>
    </row>
  </sheetData>
  <mergeCells count="4">
    <mergeCell ref="N1:S1"/>
    <mergeCell ref="V1:AA1"/>
    <mergeCell ref="A11:E11"/>
    <mergeCell ref="A12:E1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0"/>
    <col customWidth="1" min="3" max="3" width="4.25"/>
    <col customWidth="1" min="4" max="4" width="8.63"/>
    <col customWidth="1" min="5" max="5" width="6.63"/>
    <col customWidth="1" min="6" max="6" width="4.0"/>
    <col customWidth="1" min="7" max="17" width="5.13"/>
    <col customWidth="1" min="19" max="19" width="4.25"/>
    <col customWidth="1" min="20" max="20" width="4.5"/>
    <col customWidth="1" min="21" max="23" width="2.63"/>
    <col customWidth="1" min="24" max="24" width="1.88"/>
    <col customWidth="1" min="25" max="25" width="2.63"/>
    <col customWidth="1" min="26" max="27" width="1.88"/>
    <col customWidth="1" min="28" max="28" width="2.63"/>
    <col customWidth="1" min="29" max="29" width="2.88"/>
    <col customWidth="1" min="30" max="30" width="2.75"/>
    <col customWidth="1" min="31" max="44" width="2.88"/>
  </cols>
  <sheetData>
    <row r="1">
      <c r="F1" s="105"/>
      <c r="G1" s="150" t="s">
        <v>67</v>
      </c>
      <c r="H1" s="150" t="s">
        <v>70</v>
      </c>
      <c r="I1" s="150" t="s">
        <v>76</v>
      </c>
      <c r="J1" s="150" t="s">
        <v>79</v>
      </c>
      <c r="K1" s="150" t="s">
        <v>88</v>
      </c>
      <c r="L1" s="150" t="s">
        <v>91</v>
      </c>
      <c r="M1" s="150" t="s">
        <v>126</v>
      </c>
      <c r="N1" s="150" t="s">
        <v>129</v>
      </c>
      <c r="O1" s="150" t="s">
        <v>142</v>
      </c>
      <c r="S1" s="151"/>
      <c r="T1" s="201" t="s">
        <v>166</v>
      </c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4"/>
    </row>
    <row r="2">
      <c r="A2" s="104" t="s">
        <v>177</v>
      </c>
      <c r="B2" s="104">
        <v>37776.31</v>
      </c>
      <c r="F2" s="150" t="s">
        <v>67</v>
      </c>
      <c r="G2" s="105">
        <v>1.0</v>
      </c>
      <c r="H2" s="105"/>
      <c r="I2" s="105"/>
      <c r="J2" s="105"/>
      <c r="K2" s="105"/>
      <c r="L2" s="105"/>
      <c r="M2" s="105"/>
      <c r="N2" s="105"/>
      <c r="O2" s="105"/>
      <c r="S2" s="155" t="s">
        <v>167</v>
      </c>
      <c r="T2" s="83">
        <v>1.0</v>
      </c>
      <c r="U2" s="83">
        <v>2.0</v>
      </c>
      <c r="V2" s="83">
        <v>3.0</v>
      </c>
      <c r="W2" s="83">
        <v>4.0</v>
      </c>
      <c r="X2" s="83">
        <v>5.0</v>
      </c>
      <c r="Y2" s="83">
        <v>6.0</v>
      </c>
      <c r="Z2" s="83">
        <v>7.0</v>
      </c>
      <c r="AA2" s="83">
        <v>8.0</v>
      </c>
      <c r="AB2" s="83">
        <v>9.0</v>
      </c>
      <c r="AC2" s="83">
        <v>10.0</v>
      </c>
      <c r="AD2" s="83">
        <v>11.0</v>
      </c>
      <c r="AE2" s="83">
        <v>12.0</v>
      </c>
      <c r="AF2" s="83">
        <v>13.0</v>
      </c>
      <c r="AG2" s="83">
        <v>14.0</v>
      </c>
      <c r="AH2" s="83">
        <v>15.0</v>
      </c>
      <c r="AI2" s="83">
        <v>16.0</v>
      </c>
      <c r="AJ2" s="83">
        <v>17.0</v>
      </c>
      <c r="AK2" s="83">
        <v>18.0</v>
      </c>
      <c r="AL2" s="83">
        <v>19.0</v>
      </c>
      <c r="AM2" s="83">
        <v>20.0</v>
      </c>
      <c r="AN2" s="83">
        <v>21.0</v>
      </c>
      <c r="AO2" s="83">
        <v>22.0</v>
      </c>
      <c r="AP2" s="83">
        <v>23.0</v>
      </c>
      <c r="AQ2" s="83">
        <v>24.0</v>
      </c>
      <c r="AR2" s="156">
        <v>25.0</v>
      </c>
    </row>
    <row r="3">
      <c r="A3" s="104" t="s">
        <v>178</v>
      </c>
      <c r="B3" s="104">
        <v>40659.21</v>
      </c>
      <c r="F3" s="150" t="s">
        <v>70</v>
      </c>
      <c r="G3" s="105">
        <v>0.91</v>
      </c>
      <c r="H3" s="105">
        <v>1.0</v>
      </c>
      <c r="I3" s="105"/>
      <c r="J3" s="105"/>
      <c r="K3" s="105"/>
      <c r="L3" s="105"/>
      <c r="M3" s="105"/>
      <c r="N3" s="105"/>
      <c r="O3" s="105"/>
      <c r="S3" s="157" t="s">
        <v>67</v>
      </c>
      <c r="T3" s="42">
        <v>1.0</v>
      </c>
      <c r="U3" s="42">
        <v>1.0</v>
      </c>
      <c r="X3" s="42">
        <v>1.0</v>
      </c>
      <c r="Y3" s="42">
        <v>1.0</v>
      </c>
      <c r="AB3" s="42">
        <v>1.0</v>
      </c>
      <c r="AE3" s="42">
        <v>1.0</v>
      </c>
      <c r="AI3" s="42">
        <v>1.0</v>
      </c>
      <c r="AM3" s="42">
        <v>1.0</v>
      </c>
      <c r="AN3" s="42">
        <v>1.0</v>
      </c>
      <c r="AR3" s="85"/>
    </row>
    <row r="4">
      <c r="A4" s="104" t="s">
        <v>249</v>
      </c>
      <c r="B4" s="104">
        <v>41220.21</v>
      </c>
      <c r="F4" s="150" t="s">
        <v>76</v>
      </c>
      <c r="G4" s="105">
        <v>0.72</v>
      </c>
      <c r="H4" s="105">
        <v>0.66</v>
      </c>
      <c r="I4" s="105">
        <v>1.0</v>
      </c>
      <c r="J4" s="105"/>
      <c r="K4" s="105"/>
      <c r="L4" s="105"/>
      <c r="M4" s="105"/>
      <c r="N4" s="105"/>
      <c r="O4" s="105"/>
      <c r="S4" s="157" t="s">
        <v>70</v>
      </c>
      <c r="T4" s="42">
        <v>1.0</v>
      </c>
      <c r="V4" s="42">
        <v>1.0</v>
      </c>
      <c r="W4" s="42">
        <v>1.0</v>
      </c>
      <c r="AC4" s="42">
        <v>1.0</v>
      </c>
      <c r="AD4" s="42">
        <v>1.0</v>
      </c>
      <c r="AI4" s="42">
        <v>1.0</v>
      </c>
      <c r="AJ4" s="42">
        <v>1.0</v>
      </c>
      <c r="AK4" s="42">
        <v>1.0</v>
      </c>
      <c r="AN4" s="42">
        <v>1.0</v>
      </c>
      <c r="AO4" s="42">
        <v>1.0</v>
      </c>
      <c r="AR4" s="85"/>
    </row>
    <row r="5">
      <c r="A5" s="104" t="s">
        <v>250</v>
      </c>
      <c r="B5" s="104">
        <v>38877.21</v>
      </c>
      <c r="F5" s="150" t="s">
        <v>79</v>
      </c>
      <c r="G5" s="105">
        <v>0.29</v>
      </c>
      <c r="H5" s="105">
        <v>0.4</v>
      </c>
      <c r="I5" s="105">
        <v>0.25</v>
      </c>
      <c r="J5" s="105">
        <v>1.0</v>
      </c>
      <c r="K5" s="105"/>
      <c r="L5" s="105"/>
      <c r="M5" s="105"/>
      <c r="N5" s="105"/>
      <c r="O5" s="105"/>
      <c r="S5" s="157" t="s">
        <v>76</v>
      </c>
      <c r="AC5" s="42">
        <v>1.0</v>
      </c>
      <c r="AF5" s="42">
        <v>1.0</v>
      </c>
      <c r="AG5" s="42">
        <v>1.0</v>
      </c>
      <c r="AP5" s="42">
        <v>1.0</v>
      </c>
      <c r="AR5" s="85"/>
    </row>
    <row r="6">
      <c r="A6" s="160" t="s">
        <v>251</v>
      </c>
      <c r="B6" s="160">
        <v>0.0415</v>
      </c>
      <c r="F6" s="150" t="s">
        <v>88</v>
      </c>
      <c r="G6" s="105">
        <v>0.56</v>
      </c>
      <c r="H6" s="105">
        <v>0.44</v>
      </c>
      <c r="I6" s="105">
        <v>0.36</v>
      </c>
      <c r="J6" s="105">
        <v>0.14</v>
      </c>
      <c r="K6" s="105">
        <v>1.0</v>
      </c>
      <c r="L6" s="105"/>
      <c r="M6" s="105"/>
      <c r="N6" s="105"/>
      <c r="O6" s="105"/>
      <c r="S6" s="157" t="s">
        <v>79</v>
      </c>
      <c r="Z6" s="42">
        <v>1.0</v>
      </c>
      <c r="AG6" s="42">
        <v>1.0</v>
      </c>
      <c r="AR6" s="85"/>
    </row>
    <row r="7">
      <c r="F7" s="150" t="s">
        <v>91</v>
      </c>
      <c r="G7" s="105">
        <v>0.04</v>
      </c>
      <c r="H7" s="105">
        <v>0.16</v>
      </c>
      <c r="I7" s="105">
        <v>0.26</v>
      </c>
      <c r="J7" s="105">
        <v>0.09</v>
      </c>
      <c r="K7" s="105">
        <v>-0.16</v>
      </c>
      <c r="L7" s="105">
        <v>1.0</v>
      </c>
      <c r="M7" s="105"/>
      <c r="N7" s="105"/>
      <c r="O7" s="105"/>
      <c r="S7" s="161" t="s">
        <v>88</v>
      </c>
      <c r="AD7" s="42">
        <v>1.0</v>
      </c>
      <c r="AQ7" s="42">
        <v>1.0</v>
      </c>
      <c r="AR7" s="85"/>
    </row>
    <row r="8">
      <c r="F8" s="150" t="s">
        <v>126</v>
      </c>
      <c r="G8" s="105">
        <v>0.71</v>
      </c>
      <c r="H8" s="105">
        <v>0.73</v>
      </c>
      <c r="I8" s="105">
        <v>0.58</v>
      </c>
      <c r="J8" s="105">
        <v>0.25</v>
      </c>
      <c r="K8" s="105">
        <v>0.48</v>
      </c>
      <c r="L8" s="105">
        <v>0.13</v>
      </c>
      <c r="M8" s="105">
        <v>1.0</v>
      </c>
      <c r="N8" s="105"/>
      <c r="O8" s="105"/>
      <c r="S8" s="161" t="s">
        <v>91</v>
      </c>
      <c r="AR8" s="158">
        <v>1.0</v>
      </c>
    </row>
    <row r="9">
      <c r="F9" s="150" t="s">
        <v>129</v>
      </c>
      <c r="G9" s="105">
        <v>0.45</v>
      </c>
      <c r="H9" s="105">
        <v>0.44</v>
      </c>
      <c r="I9" s="105">
        <v>0.12</v>
      </c>
      <c r="J9" s="105">
        <v>0.15</v>
      </c>
      <c r="K9" s="105">
        <v>0.28</v>
      </c>
      <c r="L9" s="105">
        <v>0.01</v>
      </c>
      <c r="M9" s="105">
        <v>0.6</v>
      </c>
      <c r="N9" s="105">
        <v>1.0</v>
      </c>
      <c r="O9" s="105"/>
      <c r="S9" s="163" t="s">
        <v>126</v>
      </c>
      <c r="AH9" s="42">
        <v>1.0</v>
      </c>
      <c r="AL9" s="42">
        <v>1.0</v>
      </c>
      <c r="AR9" s="85"/>
    </row>
    <row r="10">
      <c r="F10" s="150" t="s">
        <v>142</v>
      </c>
      <c r="G10" s="105">
        <v>0.26</v>
      </c>
      <c r="H10" s="105">
        <v>0.48</v>
      </c>
      <c r="I10" s="105">
        <v>0.34</v>
      </c>
      <c r="J10" s="105">
        <v>0.22</v>
      </c>
      <c r="K10" s="105">
        <v>0.13</v>
      </c>
      <c r="L10" s="105">
        <v>0.2</v>
      </c>
      <c r="M10" s="105">
        <v>0.34</v>
      </c>
      <c r="N10" s="105">
        <v>0.14</v>
      </c>
      <c r="O10" s="105">
        <v>1.0</v>
      </c>
      <c r="S10" s="163" t="s">
        <v>129</v>
      </c>
      <c r="AK10" s="42">
        <v>1.0</v>
      </c>
      <c r="AQ10" s="42">
        <v>1.0</v>
      </c>
      <c r="AR10" s="158">
        <v>1.0</v>
      </c>
    </row>
    <row r="11">
      <c r="S11" s="164" t="s">
        <v>142</v>
      </c>
      <c r="T11" s="91"/>
      <c r="U11" s="91"/>
      <c r="V11" s="91"/>
      <c r="W11" s="91"/>
      <c r="X11" s="91"/>
      <c r="Y11" s="91"/>
      <c r="Z11" s="91"/>
      <c r="AA11" s="92">
        <v>1.0</v>
      </c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6"/>
    </row>
    <row r="12">
      <c r="S12" s="114"/>
    </row>
    <row r="13">
      <c r="S13" s="114"/>
    </row>
    <row r="14">
      <c r="A14" s="105"/>
      <c r="B14" s="165" t="s">
        <v>252</v>
      </c>
      <c r="C14" s="165" t="s">
        <v>253</v>
      </c>
      <c r="D14" s="143" t="s">
        <v>271</v>
      </c>
      <c r="E14" s="165" t="s">
        <v>255</v>
      </c>
      <c r="G14" s="150" t="s">
        <v>67</v>
      </c>
      <c r="H14" s="150" t="s">
        <v>70</v>
      </c>
      <c r="I14" s="150" t="s">
        <v>76</v>
      </c>
      <c r="J14" s="150" t="s">
        <v>79</v>
      </c>
      <c r="K14" s="150" t="s">
        <v>88</v>
      </c>
      <c r="L14" s="150" t="s">
        <v>91</v>
      </c>
      <c r="M14" s="150" t="s">
        <v>126</v>
      </c>
      <c r="N14" s="150" t="s">
        <v>129</v>
      </c>
      <c r="O14" s="150" t="s">
        <v>142</v>
      </c>
      <c r="S14" s="105"/>
      <c r="T14" s="105">
        <v>1.0</v>
      </c>
      <c r="U14" s="105">
        <v>2.0</v>
      </c>
      <c r="V14" s="105">
        <v>3.0</v>
      </c>
      <c r="W14" s="105">
        <v>4.0</v>
      </c>
      <c r="X14" s="105">
        <v>5.0</v>
      </c>
      <c r="Y14" s="105">
        <v>6.0</v>
      </c>
      <c r="Z14" s="105">
        <v>7.0</v>
      </c>
      <c r="AA14" s="105">
        <v>8.0</v>
      </c>
      <c r="AB14" s="105">
        <v>9.0</v>
      </c>
      <c r="AC14" s="105">
        <v>10.0</v>
      </c>
      <c r="AD14" s="105">
        <v>11.0</v>
      </c>
      <c r="AE14" s="105">
        <v>12.0</v>
      </c>
      <c r="AF14" s="105">
        <v>13.0</v>
      </c>
      <c r="AG14" s="105">
        <v>14.0</v>
      </c>
      <c r="AH14" s="105">
        <v>15.0</v>
      </c>
      <c r="AI14" s="105">
        <v>16.0</v>
      </c>
      <c r="AJ14" s="105">
        <v>17.0</v>
      </c>
      <c r="AK14" s="105">
        <v>18.0</v>
      </c>
      <c r="AL14" s="105">
        <v>19.0</v>
      </c>
      <c r="AM14" s="105">
        <v>20.0</v>
      </c>
      <c r="AN14" s="105">
        <v>21.0</v>
      </c>
      <c r="AO14" s="105">
        <v>22.0</v>
      </c>
      <c r="AP14" s="105">
        <v>23.0</v>
      </c>
      <c r="AQ14" s="105">
        <v>24.0</v>
      </c>
      <c r="AR14" s="105">
        <v>25.0</v>
      </c>
    </row>
    <row r="15">
      <c r="A15" s="165">
        <v>1.0</v>
      </c>
      <c r="B15" s="172">
        <v>0.7084</v>
      </c>
      <c r="C15" s="166">
        <v>0.051</v>
      </c>
      <c r="D15" s="166">
        <v>0.0178</v>
      </c>
      <c r="E15" s="166">
        <v>0.0115</v>
      </c>
      <c r="G15" s="167">
        <v>0.9346</v>
      </c>
      <c r="H15" s="167">
        <v>0.9056</v>
      </c>
      <c r="I15" s="167">
        <v>0.8403</v>
      </c>
      <c r="J15" s="167">
        <v>0.9999</v>
      </c>
      <c r="K15" s="167">
        <v>0.8128</v>
      </c>
      <c r="L15" s="167">
        <v>0.8441</v>
      </c>
      <c r="M15" s="167">
        <v>0.8815</v>
      </c>
      <c r="N15" s="167">
        <v>0.8633</v>
      </c>
      <c r="O15" s="167">
        <v>0.9999</v>
      </c>
      <c r="P15" s="194"/>
      <c r="Q15" s="194"/>
      <c r="S15" s="171" t="s">
        <v>67</v>
      </c>
      <c r="T15" s="105">
        <v>1.0</v>
      </c>
      <c r="U15" s="105">
        <v>1.0</v>
      </c>
      <c r="V15" s="105">
        <v>0.0</v>
      </c>
      <c r="W15" s="105" t="s">
        <v>174</v>
      </c>
      <c r="X15" s="105">
        <v>1.0</v>
      </c>
      <c r="Y15" s="105">
        <v>1.0</v>
      </c>
      <c r="Z15" s="105">
        <v>0.0</v>
      </c>
      <c r="AA15" s="105">
        <v>0.0</v>
      </c>
      <c r="AB15" s="105">
        <v>1.0</v>
      </c>
      <c r="AC15" s="105" t="s">
        <v>174</v>
      </c>
      <c r="AD15" s="105" t="s">
        <v>174</v>
      </c>
      <c r="AE15" s="105">
        <v>1.0</v>
      </c>
      <c r="AF15" s="105">
        <v>0.0</v>
      </c>
      <c r="AG15" s="105" t="s">
        <v>174</v>
      </c>
      <c r="AH15" s="105" t="s">
        <v>174</v>
      </c>
      <c r="AI15" s="105">
        <v>1.0</v>
      </c>
      <c r="AJ15" s="105" t="s">
        <v>174</v>
      </c>
      <c r="AK15" s="105" t="s">
        <v>174</v>
      </c>
      <c r="AL15" s="105">
        <v>0.0</v>
      </c>
      <c r="AM15" s="105">
        <v>1.0</v>
      </c>
      <c r="AN15" s="105">
        <v>1.0</v>
      </c>
      <c r="AO15" s="105">
        <v>0.0</v>
      </c>
      <c r="AP15" s="105" t="s">
        <v>174</v>
      </c>
      <c r="AQ15" s="105">
        <v>0.0</v>
      </c>
      <c r="AR15" s="105">
        <v>0.0</v>
      </c>
    </row>
    <row r="16">
      <c r="A16" s="165">
        <v>2.0</v>
      </c>
      <c r="B16" s="174">
        <v>0.3221</v>
      </c>
      <c r="C16" s="166">
        <v>0.2835</v>
      </c>
      <c r="D16" s="166">
        <v>0.021</v>
      </c>
      <c r="E16" s="166">
        <v>0.0195</v>
      </c>
      <c r="S16" s="171" t="s">
        <v>70</v>
      </c>
      <c r="T16" s="105">
        <v>1.0</v>
      </c>
      <c r="U16" s="105">
        <v>0.0</v>
      </c>
      <c r="V16" s="105">
        <v>1.0</v>
      </c>
      <c r="W16" s="105">
        <v>1.0</v>
      </c>
      <c r="X16" s="105">
        <v>0.0</v>
      </c>
      <c r="Y16" s="105" t="s">
        <v>174</v>
      </c>
      <c r="Z16" s="105">
        <v>0.0</v>
      </c>
      <c r="AA16" s="105">
        <v>0.0</v>
      </c>
      <c r="AB16" s="105">
        <v>0.0</v>
      </c>
      <c r="AC16" s="105">
        <v>1.0</v>
      </c>
      <c r="AD16" s="105">
        <v>1.0</v>
      </c>
      <c r="AE16" s="105">
        <v>0.0</v>
      </c>
      <c r="AF16" s="105">
        <v>0.0</v>
      </c>
      <c r="AG16" s="105" t="s">
        <v>174</v>
      </c>
      <c r="AH16" s="105">
        <v>0.0</v>
      </c>
      <c r="AI16" s="105">
        <v>1.0</v>
      </c>
      <c r="AJ16" s="105">
        <v>1.0</v>
      </c>
      <c r="AK16" s="105">
        <v>1.0</v>
      </c>
      <c r="AL16" s="105">
        <v>0.0</v>
      </c>
      <c r="AM16" s="105">
        <v>0.0</v>
      </c>
      <c r="AN16" s="105">
        <v>1.0</v>
      </c>
      <c r="AO16" s="105">
        <v>1.0</v>
      </c>
      <c r="AP16" s="105" t="s">
        <v>174</v>
      </c>
      <c r="AQ16" s="105">
        <v>0.0</v>
      </c>
      <c r="AR16" s="105">
        <v>0.0</v>
      </c>
    </row>
    <row r="17">
      <c r="A17" s="165">
        <v>3.0</v>
      </c>
      <c r="B17" s="192">
        <v>0.2672</v>
      </c>
      <c r="C17" s="166">
        <v>0.2675</v>
      </c>
      <c r="D17" s="166">
        <v>0.0192</v>
      </c>
      <c r="E17" s="166">
        <v>0.0218</v>
      </c>
      <c r="G17" s="170" t="s">
        <v>276</v>
      </c>
      <c r="S17" s="171" t="s">
        <v>76</v>
      </c>
      <c r="T17" s="105">
        <v>0.0</v>
      </c>
      <c r="U17" s="105">
        <v>0.0</v>
      </c>
      <c r="V17" s="105">
        <v>0.0</v>
      </c>
      <c r="W17" s="105">
        <v>0.0</v>
      </c>
      <c r="X17" s="105">
        <v>0.0</v>
      </c>
      <c r="Y17" s="105">
        <v>0.0</v>
      </c>
      <c r="Z17" s="105">
        <v>0.0</v>
      </c>
      <c r="AA17" s="105">
        <v>0.0</v>
      </c>
      <c r="AB17" s="105">
        <v>0.0</v>
      </c>
      <c r="AC17" s="105">
        <v>1.0</v>
      </c>
      <c r="AD17" s="105">
        <v>0.0</v>
      </c>
      <c r="AE17" s="105">
        <v>0.0</v>
      </c>
      <c r="AF17" s="105">
        <v>1.0</v>
      </c>
      <c r="AG17" s="105">
        <v>1.0</v>
      </c>
      <c r="AH17" s="105" t="s">
        <v>174</v>
      </c>
      <c r="AI17" s="105">
        <v>0.0</v>
      </c>
      <c r="AJ17" s="105">
        <v>0.0</v>
      </c>
      <c r="AK17" s="105">
        <v>0.0</v>
      </c>
      <c r="AL17" s="105">
        <v>0.0</v>
      </c>
      <c r="AM17" s="105" t="s">
        <v>174</v>
      </c>
      <c r="AN17" s="105">
        <v>0.0</v>
      </c>
      <c r="AO17" s="105" t="s">
        <v>174</v>
      </c>
      <c r="AP17" s="105">
        <v>1.0</v>
      </c>
      <c r="AQ17" s="105">
        <v>0.0</v>
      </c>
      <c r="AR17" s="105">
        <v>0.0</v>
      </c>
    </row>
    <row r="18">
      <c r="A18" s="165">
        <v>4.0</v>
      </c>
      <c r="B18" s="192">
        <v>0.2323</v>
      </c>
      <c r="C18" s="172">
        <v>0.3519</v>
      </c>
      <c r="D18" s="166">
        <v>0.0183</v>
      </c>
      <c r="E18" s="166">
        <v>0.0235</v>
      </c>
      <c r="G18" s="170" t="s">
        <v>277</v>
      </c>
      <c r="S18" s="171" t="s">
        <v>79</v>
      </c>
      <c r="T18" s="105" t="s">
        <v>174</v>
      </c>
      <c r="U18" s="105" t="s">
        <v>174</v>
      </c>
      <c r="V18" s="105" t="s">
        <v>174</v>
      </c>
      <c r="W18" s="105" t="s">
        <v>174</v>
      </c>
      <c r="X18" s="105">
        <v>0.0</v>
      </c>
      <c r="Y18" s="105">
        <v>0.0</v>
      </c>
      <c r="Z18" s="105">
        <v>1.0</v>
      </c>
      <c r="AA18" s="105">
        <v>0.0</v>
      </c>
      <c r="AB18" s="105" t="s">
        <v>174</v>
      </c>
      <c r="AC18" s="105" t="s">
        <v>174</v>
      </c>
      <c r="AD18" s="105" t="s">
        <v>174</v>
      </c>
      <c r="AE18" s="105" t="s">
        <v>174</v>
      </c>
      <c r="AF18" s="105">
        <v>0.0</v>
      </c>
      <c r="AG18" s="105">
        <v>1.0</v>
      </c>
      <c r="AH18" s="105" t="s">
        <v>174</v>
      </c>
      <c r="AI18" s="105" t="s">
        <v>174</v>
      </c>
      <c r="AJ18" s="105" t="s">
        <v>174</v>
      </c>
      <c r="AK18" s="105" t="s">
        <v>174</v>
      </c>
      <c r="AL18" s="105">
        <v>0.0</v>
      </c>
      <c r="AM18" s="105" t="s">
        <v>174</v>
      </c>
      <c r="AN18" s="105" t="s">
        <v>174</v>
      </c>
      <c r="AO18" s="105" t="s">
        <v>174</v>
      </c>
      <c r="AP18" s="105" t="s">
        <v>174</v>
      </c>
      <c r="AQ18" s="105">
        <v>0.0</v>
      </c>
      <c r="AR18" s="105">
        <v>0.0</v>
      </c>
    </row>
    <row r="19">
      <c r="A19" s="165">
        <v>5.0</v>
      </c>
      <c r="B19" s="174">
        <v>0.3342</v>
      </c>
      <c r="C19" s="166">
        <v>0.0581</v>
      </c>
      <c r="D19" s="166">
        <v>0.022</v>
      </c>
      <c r="E19" s="166">
        <v>0.0117</v>
      </c>
      <c r="S19" s="173" t="s">
        <v>88</v>
      </c>
      <c r="T19" s="105" t="s">
        <v>174</v>
      </c>
      <c r="U19" s="105" t="s">
        <v>174</v>
      </c>
      <c r="V19" s="105" t="s">
        <v>174</v>
      </c>
      <c r="W19" s="105">
        <v>0.0</v>
      </c>
      <c r="X19" s="105">
        <v>0.0</v>
      </c>
      <c r="Y19" s="105">
        <v>0.0</v>
      </c>
      <c r="Z19" s="105">
        <v>0.0</v>
      </c>
      <c r="AA19" s="105">
        <v>0.0</v>
      </c>
      <c r="AB19" s="105" t="s">
        <v>174</v>
      </c>
      <c r="AC19" s="105" t="s">
        <v>174</v>
      </c>
      <c r="AD19" s="105">
        <v>1.0</v>
      </c>
      <c r="AE19" s="105">
        <v>0.0</v>
      </c>
      <c r="AF19" s="105">
        <v>0.0</v>
      </c>
      <c r="AG19" s="105" t="s">
        <v>174</v>
      </c>
      <c r="AH19" s="105">
        <v>0.0</v>
      </c>
      <c r="AI19" s="105" t="s">
        <v>174</v>
      </c>
      <c r="AJ19" s="105" t="s">
        <v>174</v>
      </c>
      <c r="AK19" s="105" t="s">
        <v>174</v>
      </c>
      <c r="AL19" s="105">
        <v>0.0</v>
      </c>
      <c r="AM19" s="105" t="s">
        <v>174</v>
      </c>
      <c r="AN19" s="105" t="s">
        <v>174</v>
      </c>
      <c r="AO19" s="105" t="s">
        <v>174</v>
      </c>
      <c r="AP19" s="105" t="s">
        <v>174</v>
      </c>
      <c r="AQ19" s="105">
        <v>1.0</v>
      </c>
      <c r="AR19" s="105">
        <v>0.0</v>
      </c>
    </row>
    <row r="20">
      <c r="A20" s="165">
        <v>6.0</v>
      </c>
      <c r="B20" s="192">
        <v>0.2544</v>
      </c>
      <c r="C20" s="166">
        <v>0.1901</v>
      </c>
      <c r="D20" s="166">
        <v>0.0205</v>
      </c>
      <c r="E20" s="166">
        <v>0.0175</v>
      </c>
      <c r="G20" s="114"/>
      <c r="S20" s="173" t="s">
        <v>91</v>
      </c>
      <c r="T20" s="105" t="s">
        <v>174</v>
      </c>
      <c r="U20" s="105" t="s">
        <v>174</v>
      </c>
      <c r="V20" s="105" t="s">
        <v>174</v>
      </c>
      <c r="W20" s="105" t="s">
        <v>174</v>
      </c>
      <c r="X20" s="105">
        <v>0.0</v>
      </c>
      <c r="Y20" s="105">
        <v>0.0</v>
      </c>
      <c r="Z20" s="105">
        <v>0.0</v>
      </c>
      <c r="AA20" s="105">
        <v>0.0</v>
      </c>
      <c r="AB20" s="105">
        <v>0.0</v>
      </c>
      <c r="AC20" s="105" t="s">
        <v>174</v>
      </c>
      <c r="AD20" s="105" t="s">
        <v>174</v>
      </c>
      <c r="AE20" s="105" t="s">
        <v>174</v>
      </c>
      <c r="AF20" s="105">
        <v>0.0</v>
      </c>
      <c r="AG20" s="105" t="s">
        <v>174</v>
      </c>
      <c r="AH20" s="105" t="s">
        <v>174</v>
      </c>
      <c r="AI20" s="105">
        <v>0.0</v>
      </c>
      <c r="AJ20" s="105" t="s">
        <v>174</v>
      </c>
      <c r="AK20" s="105" t="s">
        <v>174</v>
      </c>
      <c r="AL20" s="105">
        <v>0.0</v>
      </c>
      <c r="AM20" s="105" t="s">
        <v>174</v>
      </c>
      <c r="AN20" s="105" t="s">
        <v>174</v>
      </c>
      <c r="AO20" s="105" t="s">
        <v>174</v>
      </c>
      <c r="AP20" s="105" t="s">
        <v>174</v>
      </c>
      <c r="AQ20" s="105">
        <v>0.0</v>
      </c>
      <c r="AR20" s="105">
        <v>1.0</v>
      </c>
    </row>
    <row r="21">
      <c r="A21" s="165">
        <v>7.0</v>
      </c>
      <c r="B21" s="192">
        <v>1.0E-4</v>
      </c>
      <c r="C21" s="166">
        <v>1.0E-4</v>
      </c>
      <c r="D21" s="166">
        <v>0.0384</v>
      </c>
      <c r="E21" s="166">
        <v>0.0589</v>
      </c>
      <c r="G21" s="114"/>
      <c r="S21" s="176" t="s">
        <v>126</v>
      </c>
      <c r="T21" s="105" t="s">
        <v>174</v>
      </c>
      <c r="U21" s="105" t="s">
        <v>174</v>
      </c>
      <c r="V21" s="105" t="s">
        <v>174</v>
      </c>
      <c r="W21" s="105" t="s">
        <v>174</v>
      </c>
      <c r="X21" s="105">
        <v>0.0</v>
      </c>
      <c r="Y21" s="105" t="s">
        <v>174</v>
      </c>
      <c r="Z21" s="105">
        <v>0.0</v>
      </c>
      <c r="AA21" s="105">
        <v>0.0</v>
      </c>
      <c r="AB21" s="105" t="s">
        <v>174</v>
      </c>
      <c r="AC21" s="105" t="s">
        <v>174</v>
      </c>
      <c r="AD21" s="105" t="s">
        <v>174</v>
      </c>
      <c r="AE21" s="105">
        <v>0.0</v>
      </c>
      <c r="AF21" s="105">
        <v>0.0</v>
      </c>
      <c r="AG21" s="105" t="s">
        <v>174</v>
      </c>
      <c r="AH21" s="105">
        <v>1.0</v>
      </c>
      <c r="AI21" s="105" t="s">
        <v>174</v>
      </c>
      <c r="AJ21" s="105" t="s">
        <v>174</v>
      </c>
      <c r="AK21" s="105">
        <v>0.0</v>
      </c>
      <c r="AL21" s="105">
        <v>1.0</v>
      </c>
      <c r="AM21" s="105" t="s">
        <v>174</v>
      </c>
      <c r="AN21" s="105" t="s">
        <v>174</v>
      </c>
      <c r="AO21" s="105" t="s">
        <v>174</v>
      </c>
      <c r="AP21" s="105">
        <v>0.0</v>
      </c>
      <c r="AQ21" s="105">
        <v>0.0</v>
      </c>
      <c r="AR21" s="105">
        <v>0.0</v>
      </c>
    </row>
    <row r="22">
      <c r="A22" s="165">
        <v>8.0</v>
      </c>
      <c r="B22" s="192">
        <v>1.0E-4</v>
      </c>
      <c r="C22" s="166">
        <v>1.0E-4</v>
      </c>
      <c r="D22" s="166">
        <v>0.0183</v>
      </c>
      <c r="E22" s="166">
        <v>0.0903</v>
      </c>
      <c r="G22" s="114"/>
      <c r="S22" s="176" t="s">
        <v>129</v>
      </c>
      <c r="T22" s="105" t="s">
        <v>174</v>
      </c>
      <c r="U22" s="105" t="s">
        <v>174</v>
      </c>
      <c r="V22" s="105" t="s">
        <v>174</v>
      </c>
      <c r="W22" s="105" t="s">
        <v>174</v>
      </c>
      <c r="X22" s="105">
        <v>0.0</v>
      </c>
      <c r="Y22" s="105">
        <v>0.0</v>
      </c>
      <c r="Z22" s="105">
        <v>0.0</v>
      </c>
      <c r="AA22" s="105">
        <v>0.0</v>
      </c>
      <c r="AB22" s="105" t="s">
        <v>174</v>
      </c>
      <c r="AC22" s="105">
        <v>0.0</v>
      </c>
      <c r="AD22" s="105">
        <v>0.0</v>
      </c>
      <c r="AE22" s="105" t="s">
        <v>174</v>
      </c>
      <c r="AF22" s="105">
        <v>0.0</v>
      </c>
      <c r="AG22" s="105" t="s">
        <v>174</v>
      </c>
      <c r="AH22" s="105" t="s">
        <v>174</v>
      </c>
      <c r="AI22" s="105" t="s">
        <v>174</v>
      </c>
      <c r="AJ22" s="105" t="s">
        <v>174</v>
      </c>
      <c r="AK22" s="105">
        <v>1.0</v>
      </c>
      <c r="AL22" s="105">
        <v>0.0</v>
      </c>
      <c r="AM22" s="105" t="s">
        <v>174</v>
      </c>
      <c r="AN22" s="105" t="s">
        <v>174</v>
      </c>
      <c r="AO22" s="105" t="s">
        <v>174</v>
      </c>
      <c r="AP22" s="105" t="s">
        <v>174</v>
      </c>
      <c r="AQ22" s="105">
        <v>1.0</v>
      </c>
      <c r="AR22" s="105">
        <v>1.0</v>
      </c>
    </row>
    <row r="23">
      <c r="A23" s="165">
        <v>9.0</v>
      </c>
      <c r="B23" s="174">
        <v>0.3731</v>
      </c>
      <c r="C23" s="166">
        <v>0.195</v>
      </c>
      <c r="D23" s="166">
        <v>0.0219</v>
      </c>
      <c r="E23" s="166">
        <v>0.0176</v>
      </c>
      <c r="G23" s="114"/>
      <c r="S23" s="177" t="s">
        <v>142</v>
      </c>
      <c r="T23" s="105" t="s">
        <v>174</v>
      </c>
      <c r="U23" s="105" t="s">
        <v>174</v>
      </c>
      <c r="V23" s="105" t="s">
        <v>174</v>
      </c>
      <c r="W23" s="105" t="s">
        <v>174</v>
      </c>
      <c r="X23" s="105">
        <v>0.0</v>
      </c>
      <c r="Y23" s="105" t="s">
        <v>174</v>
      </c>
      <c r="Z23" s="105">
        <v>0.0</v>
      </c>
      <c r="AA23" s="105">
        <v>1.0</v>
      </c>
      <c r="AB23" s="105" t="s">
        <v>174</v>
      </c>
      <c r="AC23" s="105" t="s">
        <v>174</v>
      </c>
      <c r="AD23" s="105" t="s">
        <v>174</v>
      </c>
      <c r="AE23" s="105" t="s">
        <v>174</v>
      </c>
      <c r="AF23" s="105">
        <v>0.0</v>
      </c>
      <c r="AG23" s="105" t="s">
        <v>174</v>
      </c>
      <c r="AH23" s="105" t="s">
        <v>174</v>
      </c>
      <c r="AI23" s="105" t="s">
        <v>174</v>
      </c>
      <c r="AJ23" s="105" t="s">
        <v>174</v>
      </c>
      <c r="AK23" s="105" t="s">
        <v>174</v>
      </c>
      <c r="AL23" s="105">
        <v>0.0</v>
      </c>
      <c r="AM23" s="105" t="s">
        <v>174</v>
      </c>
      <c r="AN23" s="105" t="s">
        <v>174</v>
      </c>
      <c r="AO23" s="105" t="s">
        <v>174</v>
      </c>
      <c r="AP23" s="105" t="s">
        <v>174</v>
      </c>
      <c r="AQ23" s="105">
        <v>0.0</v>
      </c>
      <c r="AR23" s="105">
        <v>0.0</v>
      </c>
    </row>
    <row r="24">
      <c r="A24" s="165">
        <v>10.0</v>
      </c>
      <c r="B24" s="174">
        <v>0.3648</v>
      </c>
      <c r="C24" s="172">
        <v>0.3398</v>
      </c>
      <c r="D24" s="166">
        <v>0.0179</v>
      </c>
      <c r="E24" s="166">
        <v>0.0306</v>
      </c>
      <c r="G24" s="114"/>
      <c r="S24" s="114"/>
    </row>
    <row r="25">
      <c r="A25" s="165">
        <v>11.0</v>
      </c>
      <c r="B25" s="192">
        <v>0.2757</v>
      </c>
      <c r="C25" s="172">
        <v>0.3189</v>
      </c>
      <c r="D25" s="166">
        <v>0.0178</v>
      </c>
      <c r="E25" s="166">
        <v>0.0257</v>
      </c>
      <c r="G25" s="114"/>
    </row>
    <row r="26">
      <c r="A26" s="165">
        <v>12.0</v>
      </c>
      <c r="B26" s="174">
        <v>0.3822</v>
      </c>
      <c r="C26" s="166">
        <v>0.0911</v>
      </c>
      <c r="D26" s="166">
        <v>0.0223</v>
      </c>
      <c r="E26" s="166">
        <v>0.0134</v>
      </c>
      <c r="G26" s="114"/>
    </row>
    <row r="27">
      <c r="A27" s="165">
        <v>13.0</v>
      </c>
      <c r="B27" s="192">
        <v>0.1396</v>
      </c>
      <c r="C27" s="172">
        <v>0.3094</v>
      </c>
      <c r="D27" s="166">
        <v>0.0187</v>
      </c>
      <c r="E27" s="166">
        <v>0.0316</v>
      </c>
      <c r="G27" s="114"/>
    </row>
    <row r="28">
      <c r="A28" s="165">
        <v>14.0</v>
      </c>
      <c r="B28" s="166">
        <v>0.1012</v>
      </c>
      <c r="C28" s="172">
        <v>0.8143</v>
      </c>
      <c r="D28" s="166">
        <v>0.0101</v>
      </c>
      <c r="E28" s="166">
        <v>0.0278</v>
      </c>
      <c r="G28" s="114"/>
    </row>
    <row r="29">
      <c r="A29" s="165">
        <v>15.0</v>
      </c>
      <c r="B29" s="166">
        <v>0.203</v>
      </c>
      <c r="C29" s="172">
        <v>0.3715</v>
      </c>
      <c r="D29" s="166">
        <v>0.0186</v>
      </c>
      <c r="E29" s="166">
        <v>0.0246</v>
      </c>
      <c r="G29" s="114"/>
    </row>
    <row r="30">
      <c r="A30" s="165">
        <v>16.0</v>
      </c>
      <c r="B30" s="172">
        <v>0.7309</v>
      </c>
      <c r="C30" s="166">
        <v>0.0119</v>
      </c>
      <c r="D30" s="166">
        <v>0.0177</v>
      </c>
      <c r="E30" s="166">
        <v>0.0057</v>
      </c>
      <c r="G30" s="114"/>
    </row>
    <row r="31">
      <c r="A31" s="165">
        <v>17.0</v>
      </c>
      <c r="B31" s="166">
        <v>0.216</v>
      </c>
      <c r="C31" s="172">
        <v>0.5899</v>
      </c>
      <c r="D31" s="166">
        <v>0.0174</v>
      </c>
      <c r="E31" s="166">
        <v>0.0235</v>
      </c>
      <c r="G31" s="114"/>
    </row>
    <row r="32">
      <c r="A32" s="165">
        <v>18.0</v>
      </c>
      <c r="B32" s="172">
        <v>0.379</v>
      </c>
      <c r="C32" s="166">
        <v>0.2524</v>
      </c>
      <c r="D32" s="166">
        <v>0.0196</v>
      </c>
      <c r="E32" s="166">
        <v>0.0231</v>
      </c>
      <c r="G32" s="114"/>
    </row>
    <row r="33">
      <c r="A33" s="165">
        <v>19.0</v>
      </c>
      <c r="B33" s="166">
        <v>0.2731</v>
      </c>
      <c r="C33" s="166">
        <v>0.0561</v>
      </c>
      <c r="D33" s="166">
        <v>0.0222</v>
      </c>
      <c r="E33" s="166">
        <v>0.017</v>
      </c>
      <c r="G33" s="114"/>
    </row>
    <row r="34">
      <c r="A34" s="165">
        <v>20.0</v>
      </c>
      <c r="B34" s="172">
        <v>0.3515</v>
      </c>
      <c r="C34" s="172">
        <v>0.4058</v>
      </c>
      <c r="D34" s="166">
        <v>0.0214</v>
      </c>
      <c r="E34" s="166">
        <v>0.0208</v>
      </c>
      <c r="G34" s="114"/>
    </row>
    <row r="35">
      <c r="A35" s="165">
        <v>21.0</v>
      </c>
      <c r="B35" s="172">
        <v>0.3769</v>
      </c>
      <c r="C35" s="166">
        <v>0.3103</v>
      </c>
      <c r="D35" s="166">
        <v>0.0193</v>
      </c>
      <c r="E35" s="166">
        <v>0.0229</v>
      </c>
      <c r="G35" s="114"/>
    </row>
    <row r="36">
      <c r="A36" s="165">
        <v>22.0</v>
      </c>
      <c r="B36" s="166">
        <v>0.24</v>
      </c>
      <c r="C36" s="172">
        <v>0.5575</v>
      </c>
      <c r="D36" s="166">
        <v>0.018</v>
      </c>
      <c r="E36" s="166">
        <v>0.0232</v>
      </c>
      <c r="G36" s="114"/>
    </row>
    <row r="37">
      <c r="A37" s="165">
        <v>23.0</v>
      </c>
      <c r="B37" s="166">
        <v>0.0777</v>
      </c>
      <c r="C37" s="172">
        <v>0.7595</v>
      </c>
      <c r="D37" s="166">
        <v>0.0119</v>
      </c>
      <c r="E37" s="166">
        <v>0.0232</v>
      </c>
      <c r="G37" s="114"/>
    </row>
    <row r="38">
      <c r="A38" s="165">
        <v>24.0</v>
      </c>
      <c r="B38" s="166">
        <v>0.0026</v>
      </c>
      <c r="C38" s="166">
        <v>0.1645</v>
      </c>
      <c r="D38" s="166">
        <v>0.0279</v>
      </c>
      <c r="E38" s="166">
        <v>0.0252</v>
      </c>
      <c r="G38" s="114"/>
    </row>
    <row r="39">
      <c r="A39" s="165">
        <v>25.0</v>
      </c>
      <c r="B39" s="166">
        <v>0.0047</v>
      </c>
      <c r="C39" s="166">
        <v>1.0E-4</v>
      </c>
      <c r="D39" s="166">
        <v>0.0295</v>
      </c>
      <c r="E39" s="166">
        <v>0.0487</v>
      </c>
      <c r="G39" s="114"/>
    </row>
    <row r="40">
      <c r="G40" s="114"/>
    </row>
    <row r="41">
      <c r="G41" s="114"/>
    </row>
    <row r="42">
      <c r="G42" s="114"/>
    </row>
    <row r="43">
      <c r="G43" s="114"/>
    </row>
    <row r="44">
      <c r="G44" s="114"/>
    </row>
    <row r="45">
      <c r="G45" s="114"/>
    </row>
  </sheetData>
  <mergeCells count="3">
    <mergeCell ref="T1:AR1"/>
    <mergeCell ref="G17:Q17"/>
    <mergeCell ref="G18:Q18"/>
  </mergeCells>
  <conditionalFormatting sqref="G2:O10">
    <cfRule type="cellIs" dxfId="3" priority="1" operator="between">
      <formula>0.99</formula>
      <formula>0.3</formula>
    </cfRule>
  </conditionalFormatting>
  <conditionalFormatting sqref="T15:AR23">
    <cfRule type="expression" dxfId="5" priority="2">
      <formula>regexmatch(T15,"\*")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0"/>
    <col customWidth="1" min="3" max="3" width="8.5"/>
    <col customWidth="1" min="4" max="4" width="10.88"/>
    <col customWidth="1" min="5" max="5" width="6.63"/>
    <col customWidth="1" min="6" max="10" width="5.13"/>
    <col customWidth="1" min="11" max="11" width="8.75"/>
    <col customWidth="1" min="12" max="12" width="6.88"/>
    <col customWidth="1" min="13" max="13" width="8.25"/>
    <col customWidth="1" min="14" max="14" width="4.5"/>
    <col customWidth="1" min="15" max="16" width="6.13"/>
    <col customWidth="1" min="17" max="17" width="4.5"/>
    <col customWidth="1" min="18" max="19" width="6.13"/>
    <col customWidth="1" min="20" max="20" width="2.63"/>
    <col customWidth="1" min="21" max="21" width="2.88"/>
    <col customWidth="1" min="22" max="27" width="6.5"/>
    <col customWidth="1" min="28" max="35" width="2.88"/>
  </cols>
  <sheetData>
    <row r="1">
      <c r="D1" s="105"/>
      <c r="E1" s="126" t="s">
        <v>169</v>
      </c>
      <c r="F1" s="126" t="s">
        <v>170</v>
      </c>
      <c r="G1" s="126" t="s">
        <v>171</v>
      </c>
      <c r="H1" s="126" t="s">
        <v>172</v>
      </c>
      <c r="I1" s="126" t="s">
        <v>173</v>
      </c>
      <c r="K1" s="126" t="s">
        <v>184</v>
      </c>
      <c r="L1" s="127" t="s">
        <v>185</v>
      </c>
      <c r="M1" s="42" t="s">
        <v>186</v>
      </c>
      <c r="N1" s="101" t="s">
        <v>166</v>
      </c>
      <c r="V1" s="101" t="s">
        <v>278</v>
      </c>
    </row>
    <row r="2">
      <c r="A2" s="104" t="s">
        <v>177</v>
      </c>
      <c r="B2" s="104">
        <v>37038.88</v>
      </c>
      <c r="D2" s="126" t="s">
        <v>169</v>
      </c>
      <c r="E2" s="104">
        <v>1.0</v>
      </c>
      <c r="F2" s="105"/>
      <c r="G2" s="105"/>
      <c r="H2" s="105"/>
      <c r="I2" s="105"/>
      <c r="K2" s="130" t="s">
        <v>218</v>
      </c>
      <c r="L2" s="136">
        <v>0.4571985</v>
      </c>
      <c r="N2" s="102" t="s">
        <v>167</v>
      </c>
      <c r="O2" s="102" t="s">
        <v>169</v>
      </c>
      <c r="P2" s="102" t="s">
        <v>170</v>
      </c>
      <c r="Q2" s="102" t="s">
        <v>171</v>
      </c>
      <c r="R2" s="102" t="s">
        <v>172</v>
      </c>
      <c r="S2" s="102" t="s">
        <v>173</v>
      </c>
      <c r="V2" s="102" t="s">
        <v>167</v>
      </c>
      <c r="W2" s="102" t="s">
        <v>169</v>
      </c>
      <c r="X2" s="102" t="s">
        <v>170</v>
      </c>
      <c r="Y2" s="102" t="s">
        <v>171</v>
      </c>
      <c r="Z2" s="102" t="s">
        <v>172</v>
      </c>
      <c r="AA2" s="102" t="s">
        <v>173</v>
      </c>
    </row>
    <row r="3">
      <c r="A3" s="104" t="s">
        <v>178</v>
      </c>
      <c r="B3" s="104">
        <v>37372.9</v>
      </c>
      <c r="D3" s="126" t="s">
        <v>170</v>
      </c>
      <c r="E3" s="104">
        <v>0.6</v>
      </c>
      <c r="F3" s="104">
        <v>1.0</v>
      </c>
      <c r="G3" s="105"/>
      <c r="H3" s="105"/>
      <c r="I3" s="105"/>
      <c r="K3" s="130" t="s">
        <v>219</v>
      </c>
      <c r="L3" s="136">
        <v>0.4573118</v>
      </c>
      <c r="N3" s="107">
        <v>1.0</v>
      </c>
      <c r="O3" s="108">
        <v>1.0</v>
      </c>
      <c r="P3" s="107">
        <v>0.0</v>
      </c>
      <c r="Q3" s="107">
        <v>0.0</v>
      </c>
      <c r="R3" s="107">
        <v>0.0</v>
      </c>
      <c r="S3" s="107">
        <v>0.0</v>
      </c>
      <c r="V3" s="116">
        <v>1.0</v>
      </c>
      <c r="W3" s="107">
        <v>1.0</v>
      </c>
      <c r="X3" s="107">
        <v>0.0</v>
      </c>
      <c r="Y3" s="107"/>
      <c r="Z3" s="107">
        <v>0.0</v>
      </c>
      <c r="AA3" s="107">
        <v>0.0</v>
      </c>
    </row>
    <row r="4">
      <c r="A4" s="104" t="s">
        <v>249</v>
      </c>
      <c r="B4" s="104"/>
      <c r="D4" s="126" t="s">
        <v>171</v>
      </c>
      <c r="E4" s="104"/>
      <c r="F4" s="105"/>
      <c r="G4" s="104">
        <v>1.0</v>
      </c>
      <c r="H4" s="105"/>
      <c r="I4" s="105"/>
      <c r="K4" s="130" t="s">
        <v>220</v>
      </c>
      <c r="L4" s="136">
        <v>0.4055639</v>
      </c>
      <c r="N4" s="107">
        <v>2.0</v>
      </c>
      <c r="O4" s="106">
        <v>1.0</v>
      </c>
      <c r="P4" s="107">
        <v>0.0</v>
      </c>
      <c r="Q4" s="107">
        <v>0.0</v>
      </c>
      <c r="R4" s="107">
        <v>0.0</v>
      </c>
      <c r="S4" s="107">
        <v>0.0</v>
      </c>
      <c r="V4" s="116">
        <v>2.0</v>
      </c>
      <c r="W4" s="107">
        <v>1.0</v>
      </c>
      <c r="X4" s="107">
        <v>0.0</v>
      </c>
      <c r="Y4" s="107"/>
      <c r="Z4" s="107">
        <v>0.0</v>
      </c>
      <c r="AA4" s="107">
        <v>0.0</v>
      </c>
      <c r="AI4" s="57"/>
    </row>
    <row r="5">
      <c r="A5" s="104" t="s">
        <v>250</v>
      </c>
      <c r="B5" s="104"/>
      <c r="D5" s="126" t="s">
        <v>172</v>
      </c>
      <c r="E5" s="202">
        <v>0.79</v>
      </c>
      <c r="F5" s="104">
        <v>0.37</v>
      </c>
      <c r="G5" s="105"/>
      <c r="H5" s="104">
        <v>1.0</v>
      </c>
      <c r="I5" s="105"/>
      <c r="K5" s="130" t="s">
        <v>221</v>
      </c>
      <c r="L5" s="136">
        <v>0.5024588</v>
      </c>
      <c r="N5" s="107">
        <v>3.0</v>
      </c>
      <c r="O5" s="106">
        <v>1.0</v>
      </c>
      <c r="P5" s="107">
        <v>0.0</v>
      </c>
      <c r="Q5" s="107">
        <v>0.0</v>
      </c>
      <c r="R5" s="107">
        <v>0.0</v>
      </c>
      <c r="S5" s="107">
        <v>0.0</v>
      </c>
      <c r="V5" s="116">
        <v>3.0</v>
      </c>
      <c r="W5" s="107">
        <v>1.0</v>
      </c>
      <c r="X5" s="107">
        <v>0.0</v>
      </c>
      <c r="Y5" s="107"/>
      <c r="Z5" s="117" t="s">
        <v>174</v>
      </c>
      <c r="AA5" s="107">
        <v>0.0</v>
      </c>
    </row>
    <row r="6">
      <c r="A6" s="160" t="s">
        <v>251</v>
      </c>
      <c r="B6" s="160">
        <v>0.0434</v>
      </c>
      <c r="D6" s="126" t="s">
        <v>173</v>
      </c>
      <c r="E6" s="104">
        <v>0.39</v>
      </c>
      <c r="F6" s="104">
        <v>0.39</v>
      </c>
      <c r="G6" s="105"/>
      <c r="H6" s="104">
        <v>0.41</v>
      </c>
      <c r="I6" s="104">
        <v>1.0</v>
      </c>
      <c r="K6" s="130" t="s">
        <v>222</v>
      </c>
      <c r="L6" s="136">
        <v>0.2921031</v>
      </c>
      <c r="N6" s="107">
        <v>4.0</v>
      </c>
      <c r="O6" s="106">
        <v>1.0</v>
      </c>
      <c r="P6" s="107">
        <v>0.0</v>
      </c>
      <c r="Q6" s="107">
        <v>0.0</v>
      </c>
      <c r="R6" s="107">
        <v>0.0</v>
      </c>
      <c r="S6" s="107">
        <v>0.0</v>
      </c>
      <c r="V6" s="116">
        <v>4.0</v>
      </c>
      <c r="W6" s="107">
        <v>1.0</v>
      </c>
      <c r="X6" s="107">
        <v>0.0</v>
      </c>
      <c r="Y6" s="107"/>
      <c r="Z6" s="107">
        <v>0.0</v>
      </c>
      <c r="AA6" s="117" t="s">
        <v>174</v>
      </c>
    </row>
    <row r="7">
      <c r="A7" s="42" t="s">
        <v>180</v>
      </c>
      <c r="B7" s="42">
        <v>0.0338</v>
      </c>
      <c r="K7" s="130" t="s">
        <v>223</v>
      </c>
      <c r="L7" s="136">
        <v>0.4915001</v>
      </c>
      <c r="N7" s="107">
        <v>5.0</v>
      </c>
      <c r="O7" s="106">
        <v>1.0</v>
      </c>
      <c r="P7" s="107">
        <v>0.0</v>
      </c>
      <c r="Q7" s="107">
        <v>0.0</v>
      </c>
      <c r="R7" s="107">
        <v>0.0</v>
      </c>
      <c r="S7" s="107">
        <v>0.0</v>
      </c>
      <c r="V7" s="116">
        <v>5.0</v>
      </c>
      <c r="W7" s="107">
        <v>1.0</v>
      </c>
      <c r="X7" s="107">
        <v>0.0</v>
      </c>
      <c r="Y7" s="107"/>
      <c r="Z7" s="107">
        <v>0.0</v>
      </c>
      <c r="AA7" s="107">
        <v>0.0</v>
      </c>
    </row>
    <row r="8">
      <c r="D8" s="126" t="s">
        <v>169</v>
      </c>
      <c r="E8" s="126" t="s">
        <v>170</v>
      </c>
      <c r="F8" s="126" t="s">
        <v>171</v>
      </c>
      <c r="G8" s="126" t="s">
        <v>172</v>
      </c>
      <c r="H8" s="126" t="s">
        <v>173</v>
      </c>
      <c r="K8" s="130" t="s">
        <v>224</v>
      </c>
      <c r="L8" s="136">
        <v>0.2315854</v>
      </c>
      <c r="N8" s="107">
        <v>6.0</v>
      </c>
      <c r="O8" s="106">
        <v>1.0</v>
      </c>
      <c r="P8" s="107">
        <v>0.0</v>
      </c>
      <c r="Q8" s="107">
        <v>0.0</v>
      </c>
      <c r="R8" s="107">
        <v>0.0</v>
      </c>
      <c r="S8" s="107">
        <v>0.0</v>
      </c>
      <c r="V8" s="116">
        <v>6.0</v>
      </c>
      <c r="W8" s="107">
        <v>1.0</v>
      </c>
      <c r="X8" s="107">
        <v>0.0</v>
      </c>
      <c r="Y8" s="107"/>
      <c r="Z8" s="107">
        <v>0.0</v>
      </c>
      <c r="AA8" s="107">
        <v>0.0</v>
      </c>
    </row>
    <row r="9">
      <c r="D9" s="136"/>
      <c r="E9" s="136"/>
      <c r="F9" s="136"/>
      <c r="G9" s="136"/>
      <c r="H9" s="136"/>
      <c r="K9" s="130" t="s">
        <v>227</v>
      </c>
      <c r="L9" s="136">
        <v>0.0</v>
      </c>
      <c r="M9" s="194"/>
      <c r="N9" s="107">
        <v>7.0</v>
      </c>
      <c r="O9" s="106">
        <v>1.0</v>
      </c>
      <c r="P9" s="107">
        <v>0.0</v>
      </c>
      <c r="Q9" s="107">
        <v>0.0</v>
      </c>
      <c r="R9" s="107">
        <v>0.0</v>
      </c>
      <c r="S9" s="107">
        <v>0.0</v>
      </c>
      <c r="V9" s="116">
        <v>7.0</v>
      </c>
      <c r="W9" s="107">
        <v>1.0</v>
      </c>
      <c r="X9" s="107">
        <v>0.0</v>
      </c>
      <c r="Y9" s="107"/>
      <c r="Z9" s="107">
        <v>0.0</v>
      </c>
      <c r="AA9" s="117" t="s">
        <v>174</v>
      </c>
    </row>
    <row r="10">
      <c r="K10" s="130" t="s">
        <v>228</v>
      </c>
      <c r="L10" s="136">
        <v>0.2905062</v>
      </c>
      <c r="N10" s="107">
        <v>8.0</v>
      </c>
      <c r="O10" s="106">
        <v>0.0</v>
      </c>
      <c r="P10" s="107">
        <v>0.0</v>
      </c>
      <c r="Q10" s="107">
        <v>0.0</v>
      </c>
      <c r="R10" s="107">
        <v>0.0</v>
      </c>
      <c r="S10" s="107">
        <v>1.0</v>
      </c>
      <c r="V10" s="116">
        <v>8.0</v>
      </c>
      <c r="W10" s="107">
        <v>0.0</v>
      </c>
      <c r="X10" s="107">
        <v>0.0</v>
      </c>
      <c r="Y10" s="107"/>
      <c r="Z10" s="107">
        <v>0.0</v>
      </c>
      <c r="AA10" s="107">
        <v>1.0</v>
      </c>
    </row>
    <row r="11">
      <c r="A11" s="170" t="s">
        <v>279</v>
      </c>
      <c r="F11" s="57"/>
      <c r="G11" s="57"/>
      <c r="H11" s="57"/>
      <c r="I11" s="57"/>
      <c r="J11" s="57"/>
      <c r="K11" s="130" t="s">
        <v>230</v>
      </c>
      <c r="L11" s="136">
        <v>0.3058688</v>
      </c>
      <c r="N11" s="107">
        <v>9.0</v>
      </c>
      <c r="O11" s="106">
        <v>1.0</v>
      </c>
      <c r="P11" s="107">
        <v>0.0</v>
      </c>
      <c r="Q11" s="107">
        <v>0.0</v>
      </c>
      <c r="R11" s="107">
        <v>0.0</v>
      </c>
      <c r="S11" s="107">
        <v>0.0</v>
      </c>
      <c r="V11" s="116">
        <v>9.0</v>
      </c>
      <c r="W11" s="107">
        <v>1.0</v>
      </c>
      <c r="X11" s="107">
        <v>0.0</v>
      </c>
      <c r="Y11" s="107"/>
      <c r="Z11" s="107">
        <v>0.0</v>
      </c>
      <c r="AA11" s="107">
        <v>0.0</v>
      </c>
    </row>
    <row r="12">
      <c r="A12" s="170"/>
      <c r="F12" s="57"/>
      <c r="G12" s="57"/>
      <c r="H12" s="57"/>
      <c r="I12" s="57"/>
      <c r="J12" s="57"/>
      <c r="K12" s="130" t="s">
        <v>233</v>
      </c>
      <c r="L12" s="136">
        <v>0.3359337</v>
      </c>
      <c r="N12" s="107">
        <v>10.0</v>
      </c>
      <c r="O12" s="108">
        <v>1.0</v>
      </c>
      <c r="P12" s="107">
        <v>0.0</v>
      </c>
      <c r="Q12" s="107">
        <v>0.0</v>
      </c>
      <c r="R12" s="107">
        <v>0.0</v>
      </c>
      <c r="S12" s="107">
        <v>0.0</v>
      </c>
      <c r="V12" s="116">
        <v>10.0</v>
      </c>
      <c r="W12" s="107">
        <v>1.0</v>
      </c>
      <c r="X12" s="107">
        <v>0.0</v>
      </c>
      <c r="Y12" s="107"/>
      <c r="Z12" s="107">
        <v>0.0</v>
      </c>
      <c r="AA12" s="107">
        <v>0.0</v>
      </c>
    </row>
    <row r="13">
      <c r="K13" s="130" t="s">
        <v>235</v>
      </c>
      <c r="L13" s="147">
        <v>0.8654468</v>
      </c>
      <c r="N13" s="107">
        <v>11.0</v>
      </c>
      <c r="O13" s="106">
        <v>1.0</v>
      </c>
      <c r="P13" s="107">
        <v>1.0</v>
      </c>
      <c r="Q13" s="107">
        <v>0.0</v>
      </c>
      <c r="R13" s="107">
        <v>0.0</v>
      </c>
      <c r="S13" s="107">
        <v>0.0</v>
      </c>
      <c r="V13" s="116">
        <v>11.0</v>
      </c>
      <c r="W13" s="107">
        <v>1.0</v>
      </c>
      <c r="X13" s="107">
        <v>1.0</v>
      </c>
      <c r="Y13" s="107"/>
      <c r="Z13" s="107">
        <v>0.0</v>
      </c>
      <c r="AA13" s="107">
        <v>0.0</v>
      </c>
      <c r="AC13" s="57"/>
    </row>
    <row r="14">
      <c r="A14" s="105"/>
      <c r="B14" s="165" t="s">
        <v>252</v>
      </c>
      <c r="C14" s="165" t="s">
        <v>253</v>
      </c>
      <c r="D14" s="143" t="s">
        <v>271</v>
      </c>
      <c r="E14" s="165" t="s">
        <v>255</v>
      </c>
      <c r="K14" s="130" t="s">
        <v>237</v>
      </c>
      <c r="L14" s="136">
        <v>0.3973297</v>
      </c>
      <c r="M14" s="114"/>
      <c r="N14" s="107">
        <v>12.0</v>
      </c>
      <c r="O14" s="106">
        <v>1.0</v>
      </c>
      <c r="P14" s="107">
        <v>0.0</v>
      </c>
      <c r="Q14" s="107">
        <v>0.0</v>
      </c>
      <c r="R14" s="107">
        <v>0.0</v>
      </c>
      <c r="S14" s="107">
        <v>0.0</v>
      </c>
      <c r="V14" s="116">
        <v>12.0</v>
      </c>
      <c r="W14" s="107">
        <v>1.0</v>
      </c>
      <c r="X14" s="107">
        <v>0.0</v>
      </c>
      <c r="Y14" s="107"/>
      <c r="Z14" s="107">
        <v>0.0</v>
      </c>
      <c r="AA14" s="107">
        <v>0.0</v>
      </c>
    </row>
    <row r="15">
      <c r="A15" s="165">
        <v>1.0</v>
      </c>
      <c r="B15" s="195">
        <v>0.6906</v>
      </c>
      <c r="C15" s="203" t="s">
        <v>280</v>
      </c>
      <c r="D15" s="144">
        <v>0.0192</v>
      </c>
      <c r="E15" s="108">
        <v>0.0115</v>
      </c>
      <c r="K15" s="130" t="s">
        <v>240</v>
      </c>
      <c r="L15" s="136">
        <v>0.0</v>
      </c>
      <c r="M15" s="114"/>
      <c r="N15" s="107">
        <v>13.0</v>
      </c>
      <c r="O15" s="106">
        <v>1.0</v>
      </c>
      <c r="P15" s="107">
        <v>0.0</v>
      </c>
      <c r="Q15" s="107">
        <v>0.0</v>
      </c>
      <c r="R15" s="107">
        <v>0.0</v>
      </c>
      <c r="S15" s="107">
        <v>0.0</v>
      </c>
      <c r="V15" s="116">
        <v>13.0</v>
      </c>
      <c r="W15" s="107">
        <v>1.0</v>
      </c>
      <c r="X15" s="107">
        <v>0.0</v>
      </c>
      <c r="Y15" s="107"/>
      <c r="Z15" s="107">
        <v>0.0</v>
      </c>
      <c r="AA15" s="117" t="s">
        <v>174</v>
      </c>
    </row>
    <row r="16">
      <c r="A16" s="165">
        <v>2.0</v>
      </c>
      <c r="B16" s="195">
        <v>0.3458</v>
      </c>
      <c r="C16" s="203" t="s">
        <v>281</v>
      </c>
      <c r="D16" s="144">
        <v>0.0203</v>
      </c>
      <c r="E16" s="108">
        <v>0.0201</v>
      </c>
      <c r="G16" s="114"/>
      <c r="H16" s="114"/>
      <c r="K16" s="130" t="s">
        <v>242</v>
      </c>
      <c r="L16" s="136">
        <v>0.2967951</v>
      </c>
      <c r="M16" s="114"/>
      <c r="N16" s="107">
        <v>14.0</v>
      </c>
      <c r="O16" s="108">
        <v>1.0</v>
      </c>
      <c r="P16" s="107">
        <v>0.0</v>
      </c>
      <c r="Q16" s="107">
        <v>0.0</v>
      </c>
      <c r="R16" s="107">
        <v>0.0</v>
      </c>
      <c r="S16" s="107">
        <v>0.0</v>
      </c>
      <c r="V16" s="116">
        <v>14.0</v>
      </c>
      <c r="W16" s="107">
        <v>1.0</v>
      </c>
      <c r="X16" s="117" t="s">
        <v>174</v>
      </c>
      <c r="Y16" s="107"/>
      <c r="Z16" s="117" t="s">
        <v>174</v>
      </c>
      <c r="AA16" s="117" t="s">
        <v>174</v>
      </c>
    </row>
    <row r="17">
      <c r="A17" s="165">
        <v>3.0</v>
      </c>
      <c r="B17" s="108">
        <v>0.2754</v>
      </c>
      <c r="C17" s="195">
        <v>0.3069</v>
      </c>
      <c r="D17" s="108">
        <v>0.0191</v>
      </c>
      <c r="E17" s="108">
        <v>0.021</v>
      </c>
      <c r="G17" s="114"/>
      <c r="H17" s="114"/>
      <c r="K17" s="130" t="s">
        <v>244</v>
      </c>
      <c r="L17" s="136">
        <v>0.6561051</v>
      </c>
      <c r="M17" s="114"/>
      <c r="N17" s="107">
        <v>15.0</v>
      </c>
      <c r="O17" s="106">
        <v>0.0</v>
      </c>
      <c r="P17" s="107">
        <v>0.0</v>
      </c>
      <c r="Q17" s="107">
        <v>0.0</v>
      </c>
      <c r="R17" s="107">
        <v>1.0</v>
      </c>
      <c r="S17" s="107">
        <v>0.0</v>
      </c>
      <c r="V17" s="116">
        <v>15.0</v>
      </c>
      <c r="W17" s="107">
        <v>0.0</v>
      </c>
      <c r="X17" s="107">
        <v>0.0</v>
      </c>
      <c r="Y17" s="107"/>
      <c r="Z17" s="107">
        <v>1.0</v>
      </c>
      <c r="AA17" s="107">
        <v>0.0</v>
      </c>
    </row>
    <row r="18">
      <c r="A18" s="165">
        <v>4.0</v>
      </c>
      <c r="B18" s="108">
        <v>0.2572</v>
      </c>
      <c r="C18" s="195">
        <v>0.4061</v>
      </c>
      <c r="D18" s="108">
        <v>0.0186</v>
      </c>
      <c r="E18" s="108">
        <v>0.0222</v>
      </c>
      <c r="G18" s="114"/>
      <c r="H18" s="114"/>
      <c r="K18" s="183"/>
      <c r="L18" s="124"/>
      <c r="M18" s="114"/>
      <c r="N18" s="107">
        <v>16.0</v>
      </c>
      <c r="O18" s="108">
        <v>1.0</v>
      </c>
      <c r="P18" s="107">
        <v>0.0</v>
      </c>
      <c r="Q18" s="107">
        <v>0.0</v>
      </c>
      <c r="R18" s="107">
        <v>0.0</v>
      </c>
      <c r="S18" s="107">
        <v>0.0</v>
      </c>
      <c r="V18" s="116">
        <v>16.0</v>
      </c>
      <c r="W18" s="107">
        <v>1.0</v>
      </c>
      <c r="X18" s="107">
        <v>0.0</v>
      </c>
      <c r="Y18" s="107"/>
      <c r="Z18" s="107">
        <v>0.0</v>
      </c>
      <c r="AA18" s="107">
        <v>0.0</v>
      </c>
    </row>
    <row r="19">
      <c r="A19" s="165">
        <v>5.0</v>
      </c>
      <c r="B19" s="195">
        <v>0.3821</v>
      </c>
      <c r="C19" s="108">
        <v>0.0556</v>
      </c>
      <c r="D19" s="108">
        <v>0.0213</v>
      </c>
      <c r="E19" s="108">
        <v>0.0116</v>
      </c>
      <c r="F19" s="183"/>
      <c r="G19" s="204"/>
      <c r="H19" s="204"/>
      <c r="I19" s="183"/>
      <c r="J19" s="183"/>
      <c r="K19" s="183"/>
      <c r="L19" s="183"/>
      <c r="M19" s="114"/>
      <c r="N19" s="107">
        <v>17.0</v>
      </c>
      <c r="O19" s="106">
        <v>1.0</v>
      </c>
      <c r="P19" s="107">
        <v>0.0</v>
      </c>
      <c r="Q19" s="107">
        <v>0.0</v>
      </c>
      <c r="R19" s="107">
        <v>0.0</v>
      </c>
      <c r="S19" s="107">
        <v>0.0</v>
      </c>
      <c r="V19" s="116">
        <v>17.0</v>
      </c>
      <c r="W19" s="107">
        <v>1.0</v>
      </c>
      <c r="X19" s="107">
        <v>0.0</v>
      </c>
      <c r="Y19" s="107"/>
      <c r="Z19" s="107">
        <v>0.0</v>
      </c>
      <c r="AA19" s="107" t="s">
        <v>174</v>
      </c>
    </row>
    <row r="20">
      <c r="A20" s="165">
        <v>6.0</v>
      </c>
      <c r="B20" s="108">
        <v>0.297</v>
      </c>
      <c r="C20" s="108">
        <v>0.1866</v>
      </c>
      <c r="D20" s="108">
        <v>0.0204</v>
      </c>
      <c r="E20" s="108">
        <v>0.0179</v>
      </c>
      <c r="F20" s="183"/>
      <c r="G20" s="181"/>
      <c r="H20" s="182"/>
      <c r="I20" s="183"/>
      <c r="J20" s="183"/>
      <c r="K20" s="183"/>
      <c r="L20" s="183"/>
      <c r="M20" s="114"/>
      <c r="N20" s="107">
        <v>18.0</v>
      </c>
      <c r="O20" s="106">
        <v>1.0</v>
      </c>
      <c r="P20" s="107">
        <v>0.0</v>
      </c>
      <c r="Q20" s="107">
        <v>0.0</v>
      </c>
      <c r="R20" s="107">
        <v>1.0</v>
      </c>
      <c r="S20" s="107">
        <v>0.0</v>
      </c>
      <c r="V20" s="116">
        <v>18.0</v>
      </c>
      <c r="W20" s="107">
        <v>1.0</v>
      </c>
      <c r="X20" s="107">
        <v>0.0</v>
      </c>
      <c r="Y20" s="107"/>
      <c r="Z20" s="107">
        <v>1.0</v>
      </c>
      <c r="AA20" s="107">
        <v>0.0</v>
      </c>
    </row>
    <row r="21">
      <c r="A21" s="165">
        <v>7.0</v>
      </c>
      <c r="B21" s="108">
        <v>0.2936</v>
      </c>
      <c r="C21" s="195">
        <v>0.4917</v>
      </c>
      <c r="D21" s="108">
        <v>0.0192</v>
      </c>
      <c r="E21" s="108">
        <v>0.0221</v>
      </c>
      <c r="F21" s="183"/>
      <c r="G21" s="184"/>
      <c r="H21" s="181"/>
      <c r="I21" s="182"/>
      <c r="J21" s="183"/>
      <c r="K21" s="183"/>
      <c r="L21" s="183"/>
      <c r="M21" s="114"/>
      <c r="N21" s="107">
        <v>19.0</v>
      </c>
      <c r="O21" s="106">
        <v>0.0</v>
      </c>
      <c r="P21" s="107">
        <v>0.0</v>
      </c>
      <c r="Q21" s="107">
        <v>0.0</v>
      </c>
      <c r="R21" s="107">
        <v>1.0</v>
      </c>
      <c r="S21" s="107">
        <v>0.0</v>
      </c>
      <c r="V21" s="116">
        <v>19.0</v>
      </c>
      <c r="W21" s="107">
        <v>0.0</v>
      </c>
      <c r="X21" s="107">
        <v>0.0</v>
      </c>
      <c r="Y21" s="107"/>
      <c r="Z21" s="107">
        <v>1.0</v>
      </c>
      <c r="AA21" s="107">
        <v>0.0</v>
      </c>
    </row>
    <row r="22">
      <c r="A22" s="165">
        <v>8.0</v>
      </c>
      <c r="B22" s="108">
        <v>0.0075</v>
      </c>
      <c r="C22" s="195">
        <v>0.3212</v>
      </c>
      <c r="D22" s="108">
        <v>0.0227</v>
      </c>
      <c r="E22" s="195">
        <v>0.0749</v>
      </c>
      <c r="F22" s="183"/>
      <c r="G22" s="187"/>
      <c r="H22" s="184"/>
      <c r="I22" s="184"/>
      <c r="J22" s="184"/>
      <c r="K22" s="183"/>
      <c r="L22" s="183"/>
      <c r="M22" s="114"/>
      <c r="N22" s="107">
        <v>20.0</v>
      </c>
      <c r="O22" s="106">
        <v>1.0</v>
      </c>
      <c r="P22" s="107">
        <v>0.0</v>
      </c>
      <c r="Q22" s="107">
        <v>0.0</v>
      </c>
      <c r="R22" s="107">
        <v>0.0</v>
      </c>
      <c r="S22" s="107">
        <v>0.0</v>
      </c>
      <c r="V22" s="116">
        <v>20.0</v>
      </c>
      <c r="W22" s="107">
        <v>1.0</v>
      </c>
      <c r="X22" s="107">
        <v>0.0</v>
      </c>
      <c r="Y22" s="107"/>
      <c r="Z22" s="117" t="s">
        <v>174</v>
      </c>
      <c r="AA22" s="107">
        <v>0.0</v>
      </c>
    </row>
    <row r="23">
      <c r="A23" s="165">
        <v>9.0</v>
      </c>
      <c r="B23" s="195">
        <v>0.3945</v>
      </c>
      <c r="C23" s="108">
        <v>0.1796</v>
      </c>
      <c r="D23" s="108">
        <v>0.021</v>
      </c>
      <c r="E23" s="108">
        <v>0.0177</v>
      </c>
      <c r="F23" s="183"/>
      <c r="G23" s="187"/>
      <c r="H23" s="187"/>
      <c r="I23" s="185"/>
      <c r="J23" s="186"/>
      <c r="K23" s="183"/>
      <c r="L23" s="183"/>
      <c r="M23" s="114"/>
      <c r="N23" s="107">
        <v>21.0</v>
      </c>
      <c r="O23" s="108">
        <v>1.0</v>
      </c>
      <c r="P23" s="107">
        <v>0.0</v>
      </c>
      <c r="Q23" s="107">
        <v>0.0</v>
      </c>
      <c r="R23" s="107">
        <v>0.0</v>
      </c>
      <c r="S23" s="107">
        <v>0.0</v>
      </c>
      <c r="V23" s="116">
        <v>21.0</v>
      </c>
      <c r="W23" s="107">
        <v>1.0</v>
      </c>
      <c r="X23" s="107">
        <v>0.0</v>
      </c>
      <c r="Y23" s="107"/>
      <c r="Z23" s="117" t="s">
        <v>174</v>
      </c>
      <c r="AA23" s="107">
        <v>0.0</v>
      </c>
    </row>
    <row r="24">
      <c r="A24" s="165">
        <v>10.0</v>
      </c>
      <c r="B24" s="195">
        <v>0.3199</v>
      </c>
      <c r="C24" s="195">
        <v>0.411</v>
      </c>
      <c r="D24" s="108">
        <v>0.0197</v>
      </c>
      <c r="E24" s="108">
        <v>0.0216</v>
      </c>
      <c r="F24" s="183"/>
      <c r="G24" s="187"/>
      <c r="H24" s="187"/>
      <c r="I24" s="185"/>
      <c r="J24" s="186"/>
      <c r="K24" s="183"/>
      <c r="L24" s="183"/>
      <c r="M24" s="114"/>
      <c r="N24" s="107">
        <v>22.0</v>
      </c>
      <c r="O24" s="106">
        <v>1.0</v>
      </c>
      <c r="P24" s="107">
        <v>0.0</v>
      </c>
      <c r="Q24" s="107">
        <v>0.0</v>
      </c>
      <c r="R24" s="107">
        <v>0.0</v>
      </c>
      <c r="S24" s="107">
        <v>0.0</v>
      </c>
      <c r="V24" s="116">
        <v>22.0</v>
      </c>
      <c r="W24" s="107">
        <v>1.0</v>
      </c>
      <c r="X24" s="107">
        <v>0.0</v>
      </c>
      <c r="Y24" s="107"/>
      <c r="Z24" s="117" t="s">
        <v>174</v>
      </c>
      <c r="AA24" s="107">
        <v>0.0</v>
      </c>
    </row>
    <row r="25">
      <c r="A25" s="165">
        <v>11.0</v>
      </c>
      <c r="B25" s="108">
        <v>0.262</v>
      </c>
      <c r="C25" s="195">
        <v>0.3339</v>
      </c>
      <c r="D25" s="108">
        <v>0.0183</v>
      </c>
      <c r="E25" s="108">
        <v>0.025</v>
      </c>
      <c r="F25" s="183"/>
      <c r="G25" s="187"/>
      <c r="H25" s="187"/>
      <c r="I25" s="185"/>
      <c r="J25" s="186"/>
      <c r="K25" s="183"/>
      <c r="L25" s="183"/>
      <c r="M25" s="114"/>
      <c r="N25" s="107">
        <v>23.0</v>
      </c>
      <c r="O25" s="106">
        <v>1.0</v>
      </c>
      <c r="P25" s="107">
        <v>0.0</v>
      </c>
      <c r="Q25" s="107">
        <v>0.0</v>
      </c>
      <c r="R25" s="107">
        <v>0.0</v>
      </c>
      <c r="S25" s="107">
        <v>0.0</v>
      </c>
      <c r="V25" s="116">
        <v>23.0</v>
      </c>
      <c r="W25" s="107">
        <v>1.0</v>
      </c>
      <c r="X25" s="107">
        <v>0.0</v>
      </c>
      <c r="Y25" s="107"/>
      <c r="Z25" s="117" t="s">
        <v>174</v>
      </c>
      <c r="AA25" s="117" t="s">
        <v>174</v>
      </c>
    </row>
    <row r="26">
      <c r="A26" s="165">
        <v>12.0</v>
      </c>
      <c r="B26" s="195">
        <v>0.4243</v>
      </c>
      <c r="C26" s="108">
        <v>0.0896</v>
      </c>
      <c r="D26" s="108">
        <v>0.0215</v>
      </c>
      <c r="E26" s="108">
        <v>0.0136</v>
      </c>
      <c r="F26" s="183"/>
      <c r="G26" s="187"/>
      <c r="H26" s="187"/>
      <c r="I26" s="185"/>
      <c r="J26" s="186"/>
      <c r="K26" s="183"/>
      <c r="L26" s="183"/>
      <c r="M26" s="114"/>
      <c r="N26" s="107">
        <v>24.0</v>
      </c>
      <c r="O26" s="106">
        <v>0.0</v>
      </c>
      <c r="P26" s="107">
        <v>1.0</v>
      </c>
      <c r="Q26" s="107">
        <v>0.0</v>
      </c>
      <c r="R26" s="107">
        <v>1.0</v>
      </c>
      <c r="S26" s="107">
        <v>0.0</v>
      </c>
      <c r="V26" s="116">
        <v>24.0</v>
      </c>
      <c r="W26" s="107">
        <v>0.0</v>
      </c>
      <c r="X26" s="107">
        <v>1.0</v>
      </c>
      <c r="Y26" s="107"/>
      <c r="Z26" s="107">
        <v>1.0</v>
      </c>
      <c r="AA26" s="107">
        <v>0.0</v>
      </c>
    </row>
    <row r="27">
      <c r="A27" s="165">
        <v>13.0</v>
      </c>
      <c r="B27" s="108">
        <v>0.2244</v>
      </c>
      <c r="C27" s="195">
        <v>0.5043</v>
      </c>
      <c r="D27" s="108">
        <v>0.0177</v>
      </c>
      <c r="E27" s="108">
        <v>0.0229</v>
      </c>
      <c r="F27" s="183"/>
      <c r="G27" s="187"/>
      <c r="H27" s="187"/>
      <c r="I27" s="185"/>
      <c r="J27" s="186"/>
      <c r="K27" s="183"/>
      <c r="L27" s="183"/>
      <c r="M27" s="114"/>
      <c r="N27" s="107">
        <v>25.0</v>
      </c>
      <c r="O27" s="106">
        <v>0.0</v>
      </c>
      <c r="P27" s="107">
        <v>1.0</v>
      </c>
      <c r="Q27" s="107">
        <v>0.0</v>
      </c>
      <c r="R27" s="107">
        <v>1.0</v>
      </c>
      <c r="S27" s="107">
        <v>0.0</v>
      </c>
      <c r="V27" s="116">
        <v>25.0</v>
      </c>
      <c r="W27" s="107">
        <v>0.0</v>
      </c>
      <c r="X27" s="107">
        <v>1.0</v>
      </c>
      <c r="Y27" s="107"/>
      <c r="Z27" s="107">
        <v>1.0</v>
      </c>
      <c r="AA27" s="107">
        <v>0.0</v>
      </c>
    </row>
    <row r="28">
      <c r="A28" s="165">
        <v>14.0</v>
      </c>
      <c r="B28" s="108">
        <v>0.1138</v>
      </c>
      <c r="C28" s="195">
        <v>0.8786</v>
      </c>
      <c r="D28" s="108">
        <v>0.0132</v>
      </c>
      <c r="E28" s="108">
        <v>0.0142</v>
      </c>
      <c r="F28" s="183"/>
      <c r="G28" s="187"/>
      <c r="H28" s="187"/>
      <c r="I28" s="185"/>
      <c r="J28" s="186"/>
      <c r="K28" s="183"/>
      <c r="L28" s="183"/>
      <c r="M28" s="114"/>
      <c r="N28" s="124"/>
      <c r="O28" s="124"/>
      <c r="P28" s="124"/>
      <c r="Q28" s="124"/>
      <c r="R28" s="124"/>
      <c r="S28" s="124"/>
    </row>
    <row r="29">
      <c r="A29" s="165">
        <v>15.0</v>
      </c>
      <c r="B29" s="108">
        <v>0.2026</v>
      </c>
      <c r="C29" s="195">
        <v>0.3676</v>
      </c>
      <c r="D29" s="203" t="s">
        <v>282</v>
      </c>
      <c r="E29" s="108">
        <v>0.0252</v>
      </c>
      <c r="F29" s="183"/>
      <c r="G29" s="187"/>
      <c r="H29" s="187"/>
      <c r="I29" s="185"/>
      <c r="J29" s="186"/>
      <c r="K29" s="183"/>
      <c r="L29" s="183"/>
      <c r="M29" s="114"/>
    </row>
    <row r="30">
      <c r="A30" s="165">
        <v>16.0</v>
      </c>
      <c r="B30" s="195">
        <v>0.7022</v>
      </c>
      <c r="C30" s="108">
        <v>0.0167</v>
      </c>
      <c r="D30" s="203" t="s">
        <v>283</v>
      </c>
      <c r="E30" s="108">
        <v>0.0059</v>
      </c>
      <c r="F30" s="183"/>
      <c r="G30" s="187"/>
      <c r="H30" s="187"/>
      <c r="I30" s="185"/>
      <c r="J30" s="186"/>
      <c r="K30" s="183"/>
      <c r="L30" s="183"/>
      <c r="M30" s="114"/>
    </row>
    <row r="31">
      <c r="A31" s="165">
        <v>17.0</v>
      </c>
      <c r="B31" s="108">
        <v>0.2349</v>
      </c>
      <c r="C31" s="108">
        <v>0.623</v>
      </c>
      <c r="D31" s="203" t="s">
        <v>284</v>
      </c>
      <c r="E31" s="108">
        <v>0.0221</v>
      </c>
      <c r="F31" s="183"/>
      <c r="G31" s="187"/>
      <c r="H31" s="187"/>
      <c r="I31" s="185"/>
      <c r="J31" s="186"/>
      <c r="K31" s="183"/>
      <c r="L31" s="183"/>
      <c r="M31" s="114"/>
    </row>
    <row r="32">
      <c r="A32" s="165">
        <v>18.0</v>
      </c>
      <c r="B32" s="195">
        <v>0.3976</v>
      </c>
      <c r="C32" s="108">
        <v>0.2531</v>
      </c>
      <c r="D32" s="203" t="s">
        <v>285</v>
      </c>
      <c r="E32" s="108">
        <v>0.0243</v>
      </c>
      <c r="F32" s="183"/>
      <c r="G32" s="187"/>
      <c r="H32" s="187"/>
      <c r="I32" s="185"/>
      <c r="J32" s="186"/>
      <c r="K32" s="186"/>
      <c r="L32" s="186"/>
      <c r="M32" s="199"/>
    </row>
    <row r="33">
      <c r="A33" s="165">
        <v>19.0</v>
      </c>
      <c r="B33" s="195">
        <v>0.3068</v>
      </c>
      <c r="C33" s="108">
        <v>0.092</v>
      </c>
      <c r="D33" s="203" t="s">
        <v>286</v>
      </c>
      <c r="E33" s="108">
        <v>0.0191</v>
      </c>
      <c r="F33" s="183"/>
      <c r="G33" s="187"/>
      <c r="H33" s="187"/>
      <c r="I33" s="185"/>
      <c r="J33" s="186"/>
      <c r="K33" s="186"/>
      <c r="L33" s="186"/>
      <c r="M33" s="199"/>
    </row>
    <row r="34">
      <c r="A34" s="165">
        <v>20.0</v>
      </c>
      <c r="B34" s="195">
        <v>0.3607</v>
      </c>
      <c r="C34" s="108">
        <v>0.394</v>
      </c>
      <c r="D34" s="203" t="s">
        <v>287</v>
      </c>
      <c r="E34" s="108">
        <v>0.0217</v>
      </c>
      <c r="F34" s="183"/>
      <c r="G34" s="187"/>
      <c r="H34" s="187"/>
      <c r="I34" s="185"/>
      <c r="J34" s="186"/>
      <c r="K34" s="186"/>
      <c r="L34" s="186"/>
      <c r="M34" s="199"/>
    </row>
    <row r="35">
      <c r="A35" s="165">
        <v>21.0</v>
      </c>
      <c r="B35" s="195">
        <v>0.3721</v>
      </c>
      <c r="C35" s="108">
        <v>0.3486</v>
      </c>
      <c r="D35" s="203" t="s">
        <v>288</v>
      </c>
      <c r="E35" s="108">
        <v>0.0213</v>
      </c>
      <c r="F35" s="183"/>
      <c r="G35" s="187"/>
      <c r="H35" s="187"/>
      <c r="I35" s="185"/>
      <c r="J35" s="186"/>
      <c r="K35" s="186"/>
      <c r="L35" s="186"/>
      <c r="M35" s="199"/>
    </row>
    <row r="36">
      <c r="A36" s="165">
        <v>22.0</v>
      </c>
      <c r="B36" s="108">
        <v>0.2572</v>
      </c>
      <c r="C36" s="195">
        <v>0.5893</v>
      </c>
      <c r="D36" s="203" t="s">
        <v>289</v>
      </c>
      <c r="E36" s="108">
        <v>0.0214</v>
      </c>
      <c r="F36" s="183"/>
      <c r="G36" s="204"/>
      <c r="H36" s="187"/>
      <c r="I36" s="185"/>
      <c r="J36" s="186"/>
      <c r="K36" s="186"/>
      <c r="L36" s="186"/>
      <c r="M36" s="199"/>
    </row>
    <row r="37">
      <c r="A37" s="165">
        <v>23.0</v>
      </c>
      <c r="B37" s="108">
        <v>0.0955</v>
      </c>
      <c r="C37" s="195">
        <v>0.8092</v>
      </c>
      <c r="D37" s="203" t="s">
        <v>290</v>
      </c>
      <c r="E37" s="108">
        <v>0.0176</v>
      </c>
      <c r="F37" s="183"/>
      <c r="G37" s="204"/>
      <c r="H37" s="183"/>
      <c r="I37" s="187"/>
      <c r="J37" s="186"/>
      <c r="K37" s="186"/>
      <c r="L37" s="186"/>
      <c r="M37" s="199"/>
    </row>
    <row r="38">
      <c r="A38" s="165">
        <v>24.0</v>
      </c>
      <c r="B38" s="108">
        <v>0.2758</v>
      </c>
      <c r="C38" s="108">
        <v>0.2091</v>
      </c>
      <c r="D38" s="203" t="s">
        <v>284</v>
      </c>
      <c r="E38" s="108">
        <v>0.0264</v>
      </c>
      <c r="F38" s="183"/>
      <c r="G38" s="204"/>
      <c r="H38" s="183"/>
      <c r="I38" s="187"/>
      <c r="J38" s="186"/>
      <c r="K38" s="186"/>
      <c r="L38" s="186"/>
      <c r="M38" s="199"/>
    </row>
    <row r="39">
      <c r="A39" s="165">
        <v>25.0</v>
      </c>
      <c r="B39" s="108">
        <v>0.2687</v>
      </c>
      <c r="C39" s="195">
        <v>0.4015</v>
      </c>
      <c r="D39" s="203" t="s">
        <v>291</v>
      </c>
      <c r="E39" s="108">
        <v>0.0293</v>
      </c>
      <c r="F39" s="183"/>
      <c r="G39" s="183"/>
      <c r="H39" s="183"/>
      <c r="I39" s="187"/>
      <c r="J39" s="186"/>
      <c r="K39" s="186"/>
      <c r="L39" s="186"/>
      <c r="M39" s="199"/>
    </row>
    <row r="40">
      <c r="I40" s="198"/>
      <c r="J40" s="199"/>
      <c r="K40" s="199"/>
      <c r="L40" s="199"/>
      <c r="M40" s="199"/>
    </row>
    <row r="41">
      <c r="I41" s="198"/>
      <c r="J41" s="199"/>
      <c r="K41" s="199"/>
      <c r="L41" s="199"/>
      <c r="M41" s="199"/>
    </row>
    <row r="42">
      <c r="I42" s="198"/>
      <c r="J42" s="199"/>
      <c r="K42" s="199"/>
      <c r="L42" s="199"/>
      <c r="M42" s="199"/>
    </row>
    <row r="43">
      <c r="I43" s="198"/>
      <c r="J43" s="199"/>
      <c r="K43" s="199"/>
      <c r="L43" s="199"/>
      <c r="M43" s="199"/>
    </row>
    <row r="44">
      <c r="I44" s="198"/>
      <c r="J44" s="199"/>
      <c r="K44" s="199"/>
      <c r="L44" s="199"/>
      <c r="M44" s="199"/>
    </row>
    <row r="45">
      <c r="I45" s="198"/>
      <c r="J45" s="199"/>
      <c r="K45" s="199"/>
      <c r="L45" s="199"/>
      <c r="M45" s="199"/>
    </row>
    <row r="46">
      <c r="I46" s="198"/>
      <c r="J46" s="199"/>
      <c r="K46" s="199"/>
      <c r="L46" s="186"/>
      <c r="M46" s="199"/>
    </row>
    <row r="47">
      <c r="I47" s="198"/>
      <c r="J47" s="199"/>
      <c r="K47" s="199"/>
      <c r="L47" s="186"/>
      <c r="M47" s="199"/>
    </row>
    <row r="48">
      <c r="I48" s="198"/>
      <c r="J48" s="199"/>
      <c r="K48" s="199"/>
      <c r="L48" s="186"/>
      <c r="M48" s="199"/>
    </row>
    <row r="49">
      <c r="I49" s="198"/>
      <c r="J49" s="199"/>
      <c r="K49" s="199"/>
      <c r="L49" s="186"/>
      <c r="M49" s="199"/>
    </row>
    <row r="50">
      <c r="I50" s="198"/>
      <c r="J50" s="199"/>
      <c r="K50" s="199"/>
      <c r="L50" s="186"/>
      <c r="M50" s="199"/>
    </row>
    <row r="51">
      <c r="I51" s="198"/>
      <c r="J51" s="199"/>
      <c r="K51" s="199"/>
      <c r="L51" s="186"/>
      <c r="M51" s="199"/>
    </row>
    <row r="52">
      <c r="I52" s="198"/>
      <c r="J52" s="199"/>
      <c r="K52" s="199"/>
      <c r="L52" s="186"/>
      <c r="M52" s="199"/>
    </row>
    <row r="53">
      <c r="I53" s="198"/>
      <c r="J53" s="199"/>
      <c r="K53" s="199"/>
      <c r="L53" s="186"/>
      <c r="M53" s="199"/>
    </row>
    <row r="54">
      <c r="I54" s="198"/>
      <c r="J54" s="199"/>
      <c r="K54" s="199"/>
      <c r="L54" s="186"/>
      <c r="M54" s="199"/>
    </row>
    <row r="55">
      <c r="I55" s="198"/>
      <c r="J55" s="199"/>
      <c r="K55" s="199"/>
      <c r="L55" s="186"/>
      <c r="M55" s="199"/>
      <c r="N55" s="47"/>
      <c r="O55" s="47"/>
      <c r="P55" s="47"/>
      <c r="Q55" s="47"/>
      <c r="R55" s="47"/>
      <c r="S55" s="47"/>
    </row>
    <row r="56">
      <c r="I56" s="198"/>
      <c r="J56" s="199"/>
      <c r="K56" s="199"/>
      <c r="L56" s="186"/>
      <c r="M56" s="199"/>
      <c r="N56" s="47"/>
      <c r="O56" s="47"/>
      <c r="P56" s="47"/>
      <c r="Q56" s="47"/>
      <c r="R56" s="47"/>
      <c r="S56" s="47"/>
    </row>
    <row r="57">
      <c r="L57" s="183"/>
      <c r="N57" s="47"/>
      <c r="O57" s="47"/>
      <c r="P57" s="47"/>
      <c r="Q57" s="47"/>
      <c r="R57" s="47"/>
      <c r="S57" s="47"/>
    </row>
    <row r="58">
      <c r="L58" s="183"/>
      <c r="N58" s="47"/>
      <c r="O58" s="47"/>
      <c r="P58" s="47"/>
      <c r="Q58" s="47"/>
      <c r="R58" s="47"/>
      <c r="S58" s="47"/>
    </row>
    <row r="59">
      <c r="L59" s="183"/>
      <c r="N59" s="47"/>
      <c r="O59" s="47"/>
      <c r="P59" s="47"/>
      <c r="Q59" s="47"/>
      <c r="R59" s="47"/>
      <c r="S59" s="47"/>
    </row>
    <row r="60">
      <c r="L60" s="183"/>
      <c r="N60" s="47"/>
      <c r="O60" s="47"/>
      <c r="P60" s="47"/>
      <c r="Q60" s="47"/>
      <c r="R60" s="47"/>
      <c r="S60" s="47"/>
    </row>
    <row r="61">
      <c r="L61" s="183"/>
      <c r="N61" s="47"/>
      <c r="O61" s="47"/>
      <c r="P61" s="47"/>
      <c r="Q61" s="47"/>
      <c r="R61" s="47"/>
      <c r="S61" s="47"/>
    </row>
    <row r="62">
      <c r="L62" s="183"/>
      <c r="N62" s="47"/>
      <c r="O62" s="47"/>
      <c r="P62" s="47"/>
      <c r="Q62" s="47"/>
      <c r="R62" s="47"/>
      <c r="S62" s="47"/>
    </row>
    <row r="63">
      <c r="L63" s="183"/>
      <c r="N63" s="47"/>
      <c r="O63" s="47"/>
      <c r="P63" s="47"/>
      <c r="Q63" s="47"/>
      <c r="R63" s="47"/>
      <c r="S63" s="47"/>
    </row>
    <row r="64">
      <c r="L64" s="183"/>
      <c r="N64" s="47"/>
      <c r="O64" s="47"/>
      <c r="P64" s="47"/>
      <c r="Q64" s="47"/>
      <c r="R64" s="47"/>
      <c r="S64" s="47"/>
    </row>
    <row r="65">
      <c r="L65" s="183"/>
      <c r="N65" s="47"/>
      <c r="O65" s="47"/>
      <c r="P65" s="47"/>
      <c r="Q65" s="47"/>
      <c r="R65" s="47"/>
      <c r="S65" s="47"/>
    </row>
    <row r="66">
      <c r="L66" s="183"/>
      <c r="N66" s="47"/>
      <c r="O66" s="47"/>
      <c r="P66" s="47"/>
      <c r="Q66" s="47"/>
      <c r="R66" s="47"/>
      <c r="S66" s="47"/>
    </row>
    <row r="67">
      <c r="L67" s="183"/>
      <c r="N67" s="47"/>
      <c r="O67" s="47"/>
      <c r="P67" s="47"/>
      <c r="Q67" s="47"/>
      <c r="R67" s="47"/>
      <c r="S67" s="47"/>
    </row>
    <row r="68">
      <c r="L68" s="183"/>
      <c r="N68" s="47"/>
      <c r="O68" s="47"/>
      <c r="P68" s="47"/>
      <c r="Q68" s="47"/>
      <c r="R68" s="47"/>
      <c r="S68" s="47"/>
    </row>
    <row r="69">
      <c r="L69" s="183"/>
      <c r="N69" s="47"/>
      <c r="O69" s="47"/>
      <c r="P69" s="47"/>
      <c r="Q69" s="47"/>
      <c r="R69" s="47"/>
      <c r="S69" s="47"/>
    </row>
    <row r="70">
      <c r="L70" s="183"/>
      <c r="N70" s="47"/>
      <c r="O70" s="47"/>
      <c r="P70" s="47"/>
      <c r="Q70" s="47"/>
      <c r="R70" s="47"/>
      <c r="S70" s="47"/>
    </row>
    <row r="71">
      <c r="L71" s="183"/>
      <c r="N71" s="47"/>
      <c r="O71" s="47"/>
      <c r="P71" s="47"/>
      <c r="Q71" s="47"/>
      <c r="R71" s="47"/>
      <c r="S71" s="47"/>
    </row>
    <row r="72">
      <c r="L72" s="183"/>
      <c r="N72" s="47"/>
      <c r="O72" s="47"/>
      <c r="P72" s="47"/>
      <c r="Q72" s="47"/>
      <c r="R72" s="47"/>
      <c r="S72" s="47"/>
    </row>
    <row r="73">
      <c r="L73" s="183"/>
      <c r="N73" s="47"/>
      <c r="O73" s="47"/>
      <c r="P73" s="47"/>
      <c r="Q73" s="47"/>
      <c r="R73" s="47"/>
      <c r="S73" s="47"/>
    </row>
    <row r="74">
      <c r="L74" s="183"/>
      <c r="N74" s="47"/>
      <c r="O74" s="47"/>
      <c r="P74" s="47"/>
      <c r="Q74" s="47"/>
      <c r="R74" s="47"/>
      <c r="S74" s="47"/>
    </row>
    <row r="75">
      <c r="L75" s="183"/>
      <c r="N75" s="47"/>
      <c r="O75" s="47"/>
      <c r="P75" s="47"/>
      <c r="Q75" s="47"/>
      <c r="R75" s="47"/>
      <c r="S75" s="47"/>
    </row>
    <row r="76">
      <c r="L76" s="183"/>
      <c r="N76" s="47"/>
      <c r="O76" s="47"/>
      <c r="P76" s="47"/>
      <c r="Q76" s="47"/>
      <c r="R76" s="47"/>
      <c r="S76" s="47"/>
    </row>
    <row r="77">
      <c r="L77" s="183"/>
      <c r="N77" s="47"/>
      <c r="O77" s="47"/>
      <c r="P77" s="47"/>
      <c r="Q77" s="47"/>
      <c r="R77" s="47"/>
      <c r="S77" s="47"/>
    </row>
    <row r="78">
      <c r="L78" s="183"/>
      <c r="N78" s="47"/>
      <c r="O78" s="47"/>
      <c r="P78" s="47"/>
      <c r="Q78" s="47"/>
      <c r="R78" s="47"/>
      <c r="S78" s="47"/>
    </row>
    <row r="79">
      <c r="L79" s="183"/>
      <c r="N79" s="47"/>
      <c r="O79" s="47"/>
      <c r="P79" s="47"/>
      <c r="Q79" s="47"/>
      <c r="R79" s="47"/>
      <c r="S79" s="47"/>
    </row>
    <row r="80">
      <c r="L80" s="183"/>
      <c r="N80" s="47"/>
      <c r="O80" s="47"/>
      <c r="P80" s="47"/>
      <c r="Q80" s="47"/>
      <c r="R80" s="47"/>
      <c r="S80" s="47"/>
    </row>
    <row r="81">
      <c r="L81" s="183"/>
      <c r="N81" s="47"/>
      <c r="O81" s="47"/>
      <c r="P81" s="47"/>
      <c r="Q81" s="47"/>
      <c r="R81" s="47"/>
      <c r="S81" s="47"/>
    </row>
    <row r="82">
      <c r="L82" s="183"/>
      <c r="N82" s="47"/>
      <c r="O82" s="47"/>
      <c r="P82" s="47"/>
      <c r="Q82" s="47"/>
      <c r="R82" s="47"/>
      <c r="S82" s="47"/>
    </row>
    <row r="83">
      <c r="L83" s="183"/>
      <c r="N83" s="47"/>
      <c r="O83" s="47"/>
      <c r="P83" s="47"/>
      <c r="Q83" s="47"/>
      <c r="R83" s="47"/>
      <c r="S83" s="47"/>
    </row>
    <row r="84">
      <c r="L84" s="183"/>
      <c r="N84" s="47"/>
      <c r="O84" s="47"/>
      <c r="P84" s="47"/>
      <c r="Q84" s="47"/>
      <c r="R84" s="47"/>
      <c r="S84" s="47"/>
    </row>
    <row r="85">
      <c r="L85" s="183"/>
      <c r="N85" s="47"/>
      <c r="O85" s="47"/>
      <c r="P85" s="47"/>
      <c r="Q85" s="47"/>
      <c r="R85" s="47"/>
      <c r="S85" s="47"/>
    </row>
    <row r="86">
      <c r="L86" s="183"/>
      <c r="N86" s="47"/>
      <c r="O86" s="47"/>
      <c r="P86" s="47"/>
      <c r="Q86" s="47"/>
      <c r="R86" s="47"/>
      <c r="S86" s="47"/>
    </row>
    <row r="87">
      <c r="L87" s="183"/>
      <c r="N87" s="47"/>
      <c r="O87" s="47"/>
      <c r="P87" s="47"/>
      <c r="Q87" s="47"/>
      <c r="R87" s="47"/>
      <c r="S87" s="47"/>
    </row>
    <row r="88">
      <c r="L88" s="183"/>
      <c r="N88" s="47"/>
      <c r="O88" s="47"/>
      <c r="P88" s="47"/>
      <c r="Q88" s="47"/>
      <c r="R88" s="47"/>
      <c r="S88" s="47"/>
    </row>
    <row r="89">
      <c r="L89" s="183"/>
      <c r="N89" s="47"/>
      <c r="O89" s="47"/>
      <c r="P89" s="47"/>
      <c r="Q89" s="47"/>
      <c r="R89" s="47"/>
      <c r="S89" s="47"/>
    </row>
    <row r="90">
      <c r="L90" s="183"/>
      <c r="N90" s="47"/>
      <c r="O90" s="47"/>
      <c r="P90" s="47"/>
      <c r="Q90" s="47"/>
      <c r="R90" s="47"/>
      <c r="S90" s="47"/>
    </row>
    <row r="91">
      <c r="L91" s="183"/>
      <c r="N91" s="47"/>
      <c r="O91" s="47"/>
      <c r="P91" s="47"/>
      <c r="Q91" s="47"/>
      <c r="R91" s="47"/>
      <c r="S91" s="47"/>
    </row>
    <row r="92">
      <c r="L92" s="183"/>
      <c r="N92" s="47"/>
      <c r="O92" s="47"/>
      <c r="P92" s="47"/>
      <c r="Q92" s="47"/>
      <c r="R92" s="47"/>
      <c r="S92" s="47"/>
    </row>
    <row r="93">
      <c r="L93" s="183"/>
      <c r="N93" s="47"/>
      <c r="O93" s="47"/>
      <c r="P93" s="47"/>
      <c r="Q93" s="47"/>
      <c r="R93" s="47"/>
      <c r="S93" s="47"/>
    </row>
    <row r="94">
      <c r="L94" s="183"/>
      <c r="N94" s="47"/>
      <c r="O94" s="47"/>
      <c r="P94" s="47"/>
      <c r="Q94" s="47"/>
      <c r="R94" s="47"/>
      <c r="S94" s="47"/>
    </row>
    <row r="95">
      <c r="L95" s="183"/>
      <c r="N95" s="47"/>
      <c r="O95" s="47"/>
      <c r="P95" s="47"/>
      <c r="Q95" s="47"/>
      <c r="R95" s="47"/>
      <c r="S95" s="47"/>
    </row>
    <row r="96">
      <c r="L96" s="183"/>
      <c r="N96" s="47"/>
      <c r="O96" s="47"/>
      <c r="P96" s="47"/>
      <c r="Q96" s="47"/>
      <c r="R96" s="47"/>
      <c r="S96" s="47"/>
    </row>
    <row r="97">
      <c r="L97" s="183"/>
      <c r="N97" s="47"/>
      <c r="O97" s="47"/>
      <c r="P97" s="47"/>
      <c r="Q97" s="47"/>
      <c r="R97" s="47"/>
      <c r="S97" s="47"/>
    </row>
    <row r="98">
      <c r="L98" s="183"/>
      <c r="N98" s="47"/>
      <c r="O98" s="47"/>
      <c r="P98" s="47"/>
      <c r="Q98" s="47"/>
      <c r="R98" s="47"/>
      <c r="S98" s="47"/>
    </row>
    <row r="99">
      <c r="L99" s="183"/>
      <c r="N99" s="47"/>
      <c r="O99" s="47"/>
      <c r="P99" s="47"/>
      <c r="Q99" s="47"/>
      <c r="R99" s="47"/>
      <c r="S99" s="47"/>
    </row>
    <row r="100">
      <c r="L100" s="183"/>
      <c r="N100" s="47"/>
      <c r="O100" s="47"/>
      <c r="P100" s="47"/>
      <c r="Q100" s="47"/>
      <c r="R100" s="47"/>
      <c r="S100" s="47"/>
    </row>
    <row r="101">
      <c r="L101" s="183"/>
      <c r="N101" s="47"/>
      <c r="O101" s="47"/>
      <c r="P101" s="47"/>
      <c r="Q101" s="47"/>
      <c r="R101" s="47"/>
      <c r="S101" s="47"/>
    </row>
    <row r="102">
      <c r="L102" s="183"/>
      <c r="N102" s="47"/>
      <c r="O102" s="47"/>
      <c r="P102" s="47"/>
      <c r="Q102" s="47"/>
      <c r="R102" s="47"/>
      <c r="S102" s="47"/>
    </row>
    <row r="103">
      <c r="L103" s="183"/>
      <c r="N103" s="47"/>
      <c r="O103" s="47"/>
      <c r="P103" s="47"/>
      <c r="Q103" s="47"/>
      <c r="R103" s="47"/>
      <c r="S103" s="47"/>
    </row>
    <row r="104">
      <c r="L104" s="183"/>
      <c r="N104" s="47"/>
      <c r="O104" s="47"/>
      <c r="P104" s="47"/>
      <c r="Q104" s="47"/>
      <c r="R104" s="47"/>
      <c r="S104" s="47"/>
    </row>
    <row r="105">
      <c r="L105" s="183"/>
      <c r="N105" s="47"/>
      <c r="O105" s="47"/>
      <c r="P105" s="47"/>
      <c r="Q105" s="47"/>
      <c r="R105" s="47"/>
      <c r="S105" s="47"/>
    </row>
    <row r="106">
      <c r="L106" s="183"/>
      <c r="N106" s="47"/>
      <c r="O106" s="47"/>
      <c r="P106" s="47"/>
      <c r="Q106" s="47"/>
      <c r="R106" s="47"/>
      <c r="S106" s="47"/>
    </row>
    <row r="107">
      <c r="L107" s="183"/>
      <c r="N107" s="47"/>
      <c r="O107" s="47"/>
      <c r="P107" s="47"/>
      <c r="Q107" s="47"/>
      <c r="R107" s="47"/>
      <c r="S107" s="47"/>
    </row>
    <row r="108">
      <c r="L108" s="183"/>
      <c r="N108" s="47"/>
      <c r="O108" s="47"/>
      <c r="P108" s="47"/>
      <c r="Q108" s="47"/>
      <c r="R108" s="47"/>
      <c r="S108" s="47"/>
    </row>
    <row r="109">
      <c r="L109" s="183"/>
      <c r="N109" s="47"/>
      <c r="O109" s="47"/>
      <c r="P109" s="47"/>
      <c r="Q109" s="47"/>
      <c r="R109" s="47"/>
      <c r="S109" s="47"/>
    </row>
    <row r="110">
      <c r="L110" s="183"/>
      <c r="N110" s="47"/>
      <c r="O110" s="47"/>
      <c r="P110" s="47"/>
      <c r="Q110" s="47"/>
      <c r="R110" s="47"/>
      <c r="S110" s="47"/>
    </row>
    <row r="111">
      <c r="L111" s="183"/>
      <c r="N111" s="47"/>
      <c r="O111" s="47"/>
      <c r="P111" s="47"/>
      <c r="Q111" s="47"/>
      <c r="R111" s="47"/>
      <c r="S111" s="47"/>
    </row>
    <row r="112">
      <c r="L112" s="183"/>
      <c r="N112" s="47"/>
      <c r="O112" s="47"/>
      <c r="P112" s="47"/>
      <c r="Q112" s="47"/>
      <c r="R112" s="47"/>
      <c r="S112" s="47"/>
    </row>
    <row r="113">
      <c r="L113" s="183"/>
      <c r="N113" s="47"/>
      <c r="O113" s="47"/>
      <c r="P113" s="47"/>
      <c r="Q113" s="47"/>
      <c r="R113" s="47"/>
      <c r="S113" s="47"/>
    </row>
    <row r="114">
      <c r="L114" s="183"/>
      <c r="N114" s="47"/>
      <c r="O114" s="47"/>
      <c r="P114" s="47"/>
      <c r="Q114" s="47"/>
      <c r="R114" s="47"/>
      <c r="S114" s="47"/>
    </row>
    <row r="115">
      <c r="L115" s="183"/>
      <c r="N115" s="47"/>
      <c r="O115" s="47"/>
      <c r="P115" s="47"/>
      <c r="Q115" s="47"/>
      <c r="R115" s="47"/>
      <c r="S115" s="47"/>
    </row>
    <row r="116">
      <c r="L116" s="183"/>
      <c r="N116" s="47"/>
      <c r="O116" s="47"/>
      <c r="P116" s="47"/>
      <c r="Q116" s="47"/>
      <c r="R116" s="47"/>
      <c r="S116" s="47"/>
    </row>
    <row r="117">
      <c r="L117" s="183"/>
      <c r="N117" s="47"/>
      <c r="O117" s="47"/>
      <c r="P117" s="47"/>
      <c r="Q117" s="47"/>
      <c r="R117" s="47"/>
      <c r="S117" s="47"/>
    </row>
    <row r="118">
      <c r="L118" s="183"/>
      <c r="N118" s="47"/>
      <c r="O118" s="47"/>
      <c r="P118" s="47"/>
      <c r="Q118" s="47"/>
      <c r="R118" s="47"/>
      <c r="S118" s="47"/>
    </row>
    <row r="119">
      <c r="L119" s="183"/>
      <c r="N119" s="47"/>
      <c r="O119" s="47"/>
      <c r="P119" s="47"/>
      <c r="Q119" s="47"/>
      <c r="R119" s="47"/>
      <c r="S119" s="47"/>
    </row>
    <row r="120">
      <c r="L120" s="183"/>
      <c r="N120" s="47"/>
      <c r="O120" s="47"/>
      <c r="P120" s="47"/>
      <c r="Q120" s="47"/>
      <c r="R120" s="47"/>
      <c r="S120" s="47"/>
    </row>
    <row r="121">
      <c r="L121" s="183"/>
      <c r="N121" s="47"/>
      <c r="O121" s="47"/>
      <c r="P121" s="47"/>
      <c r="Q121" s="47"/>
      <c r="R121" s="47"/>
      <c r="S121" s="47"/>
    </row>
    <row r="122">
      <c r="L122" s="183"/>
      <c r="N122" s="47"/>
      <c r="O122" s="47"/>
      <c r="P122" s="47"/>
      <c r="Q122" s="47"/>
      <c r="R122" s="47"/>
      <c r="S122" s="47"/>
    </row>
    <row r="123">
      <c r="L123" s="183"/>
      <c r="N123" s="47"/>
      <c r="O123" s="47"/>
      <c r="P123" s="47"/>
      <c r="Q123" s="47"/>
      <c r="R123" s="47"/>
      <c r="S123" s="47"/>
    </row>
    <row r="124">
      <c r="L124" s="183"/>
      <c r="N124" s="47"/>
      <c r="O124" s="47"/>
      <c r="P124" s="47"/>
      <c r="Q124" s="47"/>
      <c r="R124" s="47"/>
      <c r="S124" s="47"/>
    </row>
    <row r="125">
      <c r="L125" s="183"/>
      <c r="N125" s="47"/>
      <c r="O125" s="47"/>
      <c r="P125" s="47"/>
      <c r="Q125" s="47"/>
      <c r="R125" s="47"/>
      <c r="S125" s="47"/>
    </row>
    <row r="126">
      <c r="L126" s="183"/>
      <c r="N126" s="47"/>
      <c r="O126" s="47"/>
      <c r="P126" s="47"/>
      <c r="Q126" s="47"/>
      <c r="R126" s="47"/>
      <c r="S126" s="47"/>
    </row>
    <row r="127">
      <c r="L127" s="183"/>
      <c r="N127" s="47"/>
      <c r="O127" s="47"/>
      <c r="P127" s="47"/>
      <c r="Q127" s="47"/>
      <c r="R127" s="47"/>
      <c r="S127" s="47"/>
    </row>
    <row r="128">
      <c r="L128" s="183"/>
      <c r="N128" s="47"/>
      <c r="O128" s="47"/>
      <c r="P128" s="47"/>
      <c r="Q128" s="47"/>
      <c r="R128" s="47"/>
      <c r="S128" s="47"/>
    </row>
    <row r="129">
      <c r="L129" s="183"/>
      <c r="N129" s="47"/>
      <c r="O129" s="47"/>
      <c r="P129" s="47"/>
      <c r="Q129" s="47"/>
      <c r="R129" s="47"/>
      <c r="S129" s="47"/>
    </row>
    <row r="130">
      <c r="L130" s="183"/>
      <c r="N130" s="47"/>
      <c r="O130" s="47"/>
      <c r="P130" s="47"/>
      <c r="Q130" s="47"/>
      <c r="R130" s="47"/>
      <c r="S130" s="47"/>
    </row>
    <row r="131">
      <c r="L131" s="183"/>
      <c r="N131" s="47"/>
      <c r="O131" s="47"/>
      <c r="P131" s="47"/>
      <c r="Q131" s="47"/>
      <c r="R131" s="47"/>
      <c r="S131" s="47"/>
    </row>
    <row r="132">
      <c r="L132" s="183"/>
      <c r="N132" s="47"/>
      <c r="O132" s="47"/>
      <c r="P132" s="47"/>
      <c r="Q132" s="47"/>
      <c r="R132" s="47"/>
      <c r="S132" s="47"/>
    </row>
    <row r="133">
      <c r="L133" s="183"/>
      <c r="N133" s="47"/>
      <c r="O133" s="47"/>
      <c r="P133" s="47"/>
      <c r="Q133" s="47"/>
      <c r="R133" s="47"/>
      <c r="S133" s="47"/>
    </row>
    <row r="134">
      <c r="L134" s="183"/>
      <c r="N134" s="47"/>
      <c r="O134" s="47"/>
      <c r="P134" s="47"/>
      <c r="Q134" s="47"/>
      <c r="R134" s="47"/>
      <c r="S134" s="47"/>
    </row>
    <row r="135">
      <c r="L135" s="183"/>
      <c r="N135" s="47"/>
      <c r="O135" s="47"/>
      <c r="P135" s="47"/>
      <c r="Q135" s="47"/>
      <c r="R135" s="47"/>
      <c r="S135" s="47"/>
    </row>
    <row r="136">
      <c r="L136" s="183"/>
      <c r="N136" s="47"/>
      <c r="O136" s="47"/>
      <c r="P136" s="47"/>
      <c r="Q136" s="47"/>
      <c r="R136" s="47"/>
      <c r="S136" s="47"/>
    </row>
    <row r="137">
      <c r="L137" s="183"/>
      <c r="N137" s="47"/>
      <c r="O137" s="47"/>
      <c r="P137" s="47"/>
      <c r="Q137" s="47"/>
      <c r="R137" s="47"/>
      <c r="S137" s="47"/>
    </row>
    <row r="138">
      <c r="L138" s="183"/>
      <c r="N138" s="47"/>
      <c r="O138" s="47"/>
      <c r="P138" s="47"/>
      <c r="Q138" s="47"/>
      <c r="R138" s="47"/>
      <c r="S138" s="47"/>
    </row>
    <row r="139">
      <c r="L139" s="183"/>
      <c r="N139" s="47"/>
      <c r="O139" s="47"/>
      <c r="P139" s="47"/>
      <c r="Q139" s="47"/>
      <c r="R139" s="47"/>
      <c r="S139" s="47"/>
    </row>
    <row r="140">
      <c r="L140" s="183"/>
      <c r="N140" s="47"/>
      <c r="O140" s="47"/>
      <c r="P140" s="47"/>
      <c r="Q140" s="47"/>
      <c r="R140" s="47"/>
      <c r="S140" s="47"/>
    </row>
    <row r="141">
      <c r="L141" s="183"/>
      <c r="N141" s="47"/>
      <c r="O141" s="47"/>
      <c r="P141" s="47"/>
      <c r="Q141" s="47"/>
      <c r="R141" s="47"/>
      <c r="S141" s="47"/>
    </row>
    <row r="142">
      <c r="L142" s="183"/>
      <c r="N142" s="47"/>
      <c r="O142" s="47"/>
      <c r="P142" s="47"/>
      <c r="Q142" s="47"/>
      <c r="R142" s="47"/>
      <c r="S142" s="47"/>
    </row>
    <row r="143">
      <c r="L143" s="183"/>
      <c r="N143" s="47"/>
      <c r="O143" s="47"/>
      <c r="P143" s="47"/>
      <c r="Q143" s="47"/>
      <c r="R143" s="47"/>
      <c r="S143" s="47"/>
    </row>
    <row r="144">
      <c r="L144" s="183"/>
      <c r="N144" s="47"/>
      <c r="O144" s="47"/>
      <c r="P144" s="47"/>
      <c r="Q144" s="47"/>
      <c r="R144" s="47"/>
      <c r="S144" s="47"/>
    </row>
    <row r="145">
      <c r="L145" s="183"/>
      <c r="N145" s="47"/>
      <c r="O145" s="47"/>
      <c r="P145" s="47"/>
      <c r="Q145" s="47"/>
      <c r="R145" s="47"/>
      <c r="S145" s="47"/>
    </row>
    <row r="146">
      <c r="L146" s="183"/>
      <c r="N146" s="47"/>
      <c r="O146" s="47"/>
      <c r="P146" s="47"/>
      <c r="Q146" s="47"/>
      <c r="R146" s="47"/>
      <c r="S146" s="47"/>
    </row>
    <row r="147">
      <c r="L147" s="183"/>
      <c r="N147" s="47"/>
      <c r="O147" s="47"/>
      <c r="P147" s="47"/>
      <c r="Q147" s="47"/>
      <c r="R147" s="47"/>
      <c r="S147" s="47"/>
    </row>
    <row r="148">
      <c r="L148" s="183"/>
      <c r="N148" s="47"/>
      <c r="O148" s="47"/>
      <c r="P148" s="47"/>
      <c r="Q148" s="47"/>
      <c r="R148" s="47"/>
      <c r="S148" s="47"/>
    </row>
    <row r="149">
      <c r="L149" s="183"/>
      <c r="N149" s="47"/>
      <c r="O149" s="47"/>
      <c r="P149" s="47"/>
      <c r="Q149" s="47"/>
      <c r="R149" s="47"/>
      <c r="S149" s="47"/>
    </row>
    <row r="150">
      <c r="L150" s="183"/>
      <c r="N150" s="47"/>
      <c r="O150" s="47"/>
      <c r="P150" s="47"/>
      <c r="Q150" s="47"/>
      <c r="R150" s="47"/>
      <c r="S150" s="47"/>
    </row>
    <row r="151">
      <c r="L151" s="183"/>
      <c r="N151" s="47"/>
      <c r="O151" s="47"/>
      <c r="P151" s="47"/>
      <c r="Q151" s="47"/>
      <c r="R151" s="47"/>
      <c r="S151" s="47"/>
    </row>
    <row r="152">
      <c r="L152" s="183"/>
      <c r="N152" s="47"/>
      <c r="O152" s="47"/>
      <c r="P152" s="47"/>
      <c r="Q152" s="47"/>
      <c r="R152" s="47"/>
      <c r="S152" s="47"/>
    </row>
    <row r="153">
      <c r="L153" s="183"/>
      <c r="N153" s="47"/>
      <c r="O153" s="47"/>
      <c r="P153" s="47"/>
      <c r="Q153" s="47"/>
      <c r="R153" s="47"/>
      <c r="S153" s="47"/>
    </row>
    <row r="154">
      <c r="L154" s="183"/>
      <c r="N154" s="47"/>
      <c r="O154" s="47"/>
      <c r="P154" s="47"/>
      <c r="Q154" s="47"/>
      <c r="R154" s="47"/>
      <c r="S154" s="47"/>
    </row>
    <row r="155">
      <c r="L155" s="183"/>
      <c r="N155" s="47"/>
      <c r="O155" s="47"/>
      <c r="P155" s="47"/>
      <c r="Q155" s="47"/>
      <c r="R155" s="47"/>
      <c r="S155" s="47"/>
    </row>
    <row r="156">
      <c r="L156" s="183"/>
      <c r="N156" s="47"/>
      <c r="O156" s="47"/>
      <c r="P156" s="47"/>
      <c r="Q156" s="47"/>
      <c r="R156" s="47"/>
      <c r="S156" s="47"/>
    </row>
    <row r="157">
      <c r="L157" s="183"/>
      <c r="N157" s="47"/>
      <c r="O157" s="47"/>
      <c r="P157" s="47"/>
      <c r="Q157" s="47"/>
      <c r="R157" s="47"/>
      <c r="S157" s="47"/>
    </row>
    <row r="158">
      <c r="L158" s="183"/>
      <c r="N158" s="47"/>
      <c r="O158" s="47"/>
      <c r="P158" s="47"/>
      <c r="Q158" s="47"/>
      <c r="R158" s="47"/>
      <c r="S158" s="47"/>
    </row>
    <row r="159">
      <c r="L159" s="183"/>
      <c r="N159" s="47"/>
      <c r="O159" s="47"/>
      <c r="P159" s="47"/>
      <c r="Q159" s="47"/>
      <c r="R159" s="47"/>
      <c r="S159" s="47"/>
    </row>
    <row r="160">
      <c r="L160" s="183"/>
      <c r="N160" s="47"/>
      <c r="O160" s="47"/>
      <c r="P160" s="47"/>
      <c r="Q160" s="47"/>
      <c r="R160" s="47"/>
      <c r="S160" s="47"/>
    </row>
    <row r="161">
      <c r="L161" s="183"/>
      <c r="N161" s="47"/>
      <c r="O161" s="47"/>
      <c r="P161" s="47"/>
      <c r="Q161" s="47"/>
      <c r="R161" s="47"/>
      <c r="S161" s="47"/>
    </row>
    <row r="162">
      <c r="L162" s="183"/>
      <c r="N162" s="47"/>
      <c r="O162" s="47"/>
      <c r="P162" s="47"/>
      <c r="Q162" s="47"/>
      <c r="R162" s="47"/>
      <c r="S162" s="47"/>
    </row>
    <row r="163">
      <c r="L163" s="183"/>
      <c r="N163" s="47"/>
      <c r="O163" s="47"/>
      <c r="P163" s="47"/>
      <c r="Q163" s="47"/>
      <c r="R163" s="47"/>
      <c r="S163" s="47"/>
    </row>
    <row r="164">
      <c r="L164" s="183"/>
      <c r="N164" s="47"/>
      <c r="O164" s="47"/>
      <c r="P164" s="47"/>
      <c r="Q164" s="47"/>
      <c r="R164" s="47"/>
      <c r="S164" s="47"/>
    </row>
    <row r="165">
      <c r="L165" s="183"/>
      <c r="N165" s="47"/>
      <c r="O165" s="47"/>
      <c r="P165" s="47"/>
      <c r="Q165" s="47"/>
      <c r="R165" s="47"/>
      <c r="S165" s="47"/>
    </row>
    <row r="166">
      <c r="L166" s="183"/>
      <c r="N166" s="47"/>
      <c r="O166" s="47"/>
      <c r="P166" s="47"/>
      <c r="Q166" s="47"/>
      <c r="R166" s="47"/>
      <c r="S166" s="47"/>
    </row>
    <row r="167">
      <c r="L167" s="183"/>
      <c r="N167" s="47"/>
      <c r="O167" s="47"/>
      <c r="P167" s="47"/>
      <c r="Q167" s="47"/>
      <c r="R167" s="47"/>
      <c r="S167" s="47"/>
    </row>
    <row r="168">
      <c r="L168" s="183"/>
      <c r="N168" s="47"/>
      <c r="O168" s="47"/>
      <c r="P168" s="47"/>
      <c r="Q168" s="47"/>
      <c r="R168" s="47"/>
      <c r="S168" s="47"/>
    </row>
    <row r="169">
      <c r="L169" s="183"/>
      <c r="N169" s="47"/>
      <c r="O169" s="47"/>
      <c r="P169" s="47"/>
      <c r="Q169" s="47"/>
      <c r="R169" s="47"/>
      <c r="S169" s="47"/>
    </row>
    <row r="170">
      <c r="L170" s="183"/>
      <c r="N170" s="47"/>
      <c r="O170" s="47"/>
      <c r="P170" s="47"/>
      <c r="Q170" s="47"/>
      <c r="R170" s="47"/>
      <c r="S170" s="47"/>
    </row>
    <row r="171">
      <c r="L171" s="183"/>
      <c r="N171" s="47"/>
      <c r="O171" s="47"/>
      <c r="P171" s="47"/>
      <c r="Q171" s="47"/>
      <c r="R171" s="47"/>
      <c r="S171" s="47"/>
    </row>
    <row r="172">
      <c r="L172" s="183"/>
      <c r="N172" s="47"/>
      <c r="O172" s="47"/>
      <c r="P172" s="47"/>
      <c r="Q172" s="47"/>
      <c r="R172" s="47"/>
      <c r="S172" s="47"/>
    </row>
    <row r="173">
      <c r="L173" s="183"/>
      <c r="N173" s="47"/>
      <c r="O173" s="47"/>
      <c r="P173" s="47"/>
      <c r="Q173" s="47"/>
      <c r="R173" s="47"/>
      <c r="S173" s="47"/>
    </row>
    <row r="174">
      <c r="L174" s="183"/>
      <c r="N174" s="47"/>
      <c r="O174" s="47"/>
      <c r="P174" s="47"/>
      <c r="Q174" s="47"/>
      <c r="R174" s="47"/>
      <c r="S174" s="47"/>
    </row>
    <row r="175">
      <c r="L175" s="183"/>
      <c r="N175" s="47"/>
      <c r="O175" s="47"/>
      <c r="P175" s="47"/>
      <c r="Q175" s="47"/>
      <c r="R175" s="47"/>
      <c r="S175" s="47"/>
    </row>
    <row r="176">
      <c r="L176" s="183"/>
      <c r="N176" s="47"/>
      <c r="O176" s="47"/>
      <c r="P176" s="47"/>
      <c r="Q176" s="47"/>
      <c r="R176" s="47"/>
      <c r="S176" s="47"/>
    </row>
    <row r="177">
      <c r="L177" s="183"/>
      <c r="N177" s="47"/>
      <c r="O177" s="47"/>
      <c r="P177" s="47"/>
      <c r="Q177" s="47"/>
      <c r="R177" s="47"/>
      <c r="S177" s="47"/>
    </row>
    <row r="178">
      <c r="L178" s="183"/>
      <c r="N178" s="47"/>
      <c r="O178" s="47"/>
      <c r="P178" s="47"/>
      <c r="Q178" s="47"/>
      <c r="R178" s="47"/>
      <c r="S178" s="47"/>
    </row>
    <row r="179">
      <c r="L179" s="183"/>
      <c r="N179" s="47"/>
      <c r="O179" s="47"/>
      <c r="P179" s="47"/>
      <c r="Q179" s="47"/>
      <c r="R179" s="47"/>
      <c r="S179" s="47"/>
    </row>
    <row r="180">
      <c r="L180" s="183"/>
      <c r="N180" s="47"/>
      <c r="O180" s="47"/>
      <c r="P180" s="47"/>
      <c r="Q180" s="47"/>
      <c r="R180" s="47"/>
      <c r="S180" s="47"/>
    </row>
    <row r="181">
      <c r="L181" s="183"/>
      <c r="N181" s="47"/>
      <c r="O181" s="47"/>
      <c r="P181" s="47"/>
      <c r="Q181" s="47"/>
      <c r="R181" s="47"/>
      <c r="S181" s="47"/>
    </row>
    <row r="182">
      <c r="L182" s="183"/>
      <c r="N182" s="47"/>
      <c r="O182" s="47"/>
      <c r="P182" s="47"/>
      <c r="Q182" s="47"/>
      <c r="R182" s="47"/>
      <c r="S182" s="47"/>
    </row>
    <row r="183">
      <c r="L183" s="183"/>
      <c r="N183" s="47"/>
      <c r="O183" s="47"/>
      <c r="P183" s="47"/>
      <c r="Q183" s="47"/>
      <c r="R183" s="47"/>
      <c r="S183" s="47"/>
    </row>
    <row r="184">
      <c r="L184" s="183"/>
      <c r="N184" s="47"/>
      <c r="O184" s="47"/>
      <c r="P184" s="47"/>
      <c r="Q184" s="47"/>
      <c r="R184" s="47"/>
      <c r="S184" s="47"/>
    </row>
    <row r="185">
      <c r="L185" s="183"/>
      <c r="N185" s="47"/>
      <c r="O185" s="47"/>
      <c r="P185" s="47"/>
      <c r="Q185" s="47"/>
      <c r="R185" s="47"/>
      <c r="S185" s="47"/>
    </row>
    <row r="186">
      <c r="L186" s="183"/>
      <c r="N186" s="47"/>
      <c r="O186" s="47"/>
      <c r="P186" s="47"/>
      <c r="Q186" s="47"/>
      <c r="R186" s="47"/>
      <c r="S186" s="47"/>
    </row>
    <row r="187">
      <c r="L187" s="183"/>
      <c r="N187" s="47"/>
      <c r="O187" s="47"/>
      <c r="P187" s="47"/>
      <c r="Q187" s="47"/>
      <c r="R187" s="47"/>
      <c r="S187" s="47"/>
    </row>
    <row r="188">
      <c r="L188" s="183"/>
      <c r="N188" s="47"/>
      <c r="O188" s="47"/>
      <c r="P188" s="47"/>
      <c r="Q188" s="47"/>
      <c r="R188" s="47"/>
      <c r="S188" s="47"/>
    </row>
    <row r="189">
      <c r="L189" s="183"/>
      <c r="N189" s="47"/>
      <c r="O189" s="47"/>
      <c r="P189" s="47"/>
      <c r="Q189" s="47"/>
      <c r="R189" s="47"/>
      <c r="S189" s="47"/>
    </row>
    <row r="190">
      <c r="L190" s="183"/>
      <c r="N190" s="47"/>
      <c r="O190" s="47"/>
      <c r="P190" s="47"/>
      <c r="Q190" s="47"/>
      <c r="R190" s="47"/>
      <c r="S190" s="47"/>
    </row>
    <row r="191">
      <c r="L191" s="183"/>
      <c r="N191" s="47"/>
      <c r="O191" s="47"/>
      <c r="P191" s="47"/>
      <c r="Q191" s="47"/>
      <c r="R191" s="47"/>
      <c r="S191" s="47"/>
    </row>
    <row r="192">
      <c r="L192" s="183"/>
      <c r="N192" s="47"/>
      <c r="O192" s="47"/>
      <c r="P192" s="47"/>
      <c r="Q192" s="47"/>
      <c r="R192" s="47"/>
      <c r="S192" s="47"/>
    </row>
    <row r="193">
      <c r="L193" s="183"/>
      <c r="N193" s="47"/>
      <c r="O193" s="47"/>
      <c r="P193" s="47"/>
      <c r="Q193" s="47"/>
      <c r="R193" s="47"/>
      <c r="S193" s="47"/>
    </row>
    <row r="194">
      <c r="L194" s="183"/>
      <c r="N194" s="47"/>
      <c r="O194" s="47"/>
      <c r="P194" s="47"/>
      <c r="Q194" s="47"/>
      <c r="R194" s="47"/>
      <c r="S194" s="47"/>
    </row>
    <row r="195">
      <c r="L195" s="183"/>
      <c r="N195" s="47"/>
      <c r="O195" s="47"/>
      <c r="P195" s="47"/>
      <c r="Q195" s="47"/>
      <c r="R195" s="47"/>
      <c r="S195" s="47"/>
    </row>
    <row r="196">
      <c r="L196" s="183"/>
      <c r="N196" s="47"/>
      <c r="O196" s="47"/>
      <c r="P196" s="47"/>
      <c r="Q196" s="47"/>
      <c r="R196" s="47"/>
      <c r="S196" s="47"/>
    </row>
    <row r="197">
      <c r="L197" s="183"/>
      <c r="N197" s="47"/>
      <c r="O197" s="47"/>
      <c r="P197" s="47"/>
      <c r="Q197" s="47"/>
      <c r="R197" s="47"/>
      <c r="S197" s="47"/>
    </row>
    <row r="198">
      <c r="L198" s="183"/>
      <c r="N198" s="47"/>
      <c r="O198" s="47"/>
      <c r="P198" s="47"/>
      <c r="Q198" s="47"/>
      <c r="R198" s="47"/>
      <c r="S198" s="47"/>
    </row>
    <row r="199">
      <c r="L199" s="183"/>
      <c r="N199" s="47"/>
      <c r="O199" s="47"/>
      <c r="P199" s="47"/>
      <c r="Q199" s="47"/>
      <c r="R199" s="47"/>
      <c r="S199" s="47"/>
    </row>
    <row r="200">
      <c r="L200" s="183"/>
      <c r="N200" s="47"/>
      <c r="O200" s="47"/>
      <c r="P200" s="47"/>
      <c r="Q200" s="47"/>
      <c r="R200" s="47"/>
      <c r="S200" s="47"/>
    </row>
    <row r="201">
      <c r="L201" s="183"/>
      <c r="N201" s="47"/>
      <c r="O201" s="47"/>
      <c r="P201" s="47"/>
      <c r="Q201" s="47"/>
      <c r="R201" s="47"/>
      <c r="S201" s="47"/>
    </row>
    <row r="202">
      <c r="L202" s="183"/>
      <c r="N202" s="47"/>
      <c r="O202" s="47"/>
      <c r="P202" s="47"/>
      <c r="Q202" s="47"/>
      <c r="R202" s="47"/>
      <c r="S202" s="47"/>
    </row>
    <row r="203">
      <c r="L203" s="183"/>
      <c r="N203" s="47"/>
      <c r="O203" s="47"/>
      <c r="P203" s="47"/>
      <c r="Q203" s="47"/>
      <c r="R203" s="47"/>
      <c r="S203" s="47"/>
    </row>
    <row r="204">
      <c r="L204" s="183"/>
      <c r="N204" s="47"/>
      <c r="O204" s="47"/>
      <c r="P204" s="47"/>
      <c r="Q204" s="47"/>
      <c r="R204" s="47"/>
      <c r="S204" s="47"/>
    </row>
    <row r="205">
      <c r="L205" s="183"/>
      <c r="N205" s="47"/>
      <c r="O205" s="47"/>
      <c r="P205" s="47"/>
      <c r="Q205" s="47"/>
      <c r="R205" s="47"/>
      <c r="S205" s="47"/>
    </row>
    <row r="206">
      <c r="L206" s="183"/>
      <c r="N206" s="47"/>
      <c r="O206" s="47"/>
      <c r="P206" s="47"/>
      <c r="Q206" s="47"/>
      <c r="R206" s="47"/>
      <c r="S206" s="47"/>
    </row>
    <row r="207">
      <c r="L207" s="183"/>
      <c r="N207" s="47"/>
      <c r="O207" s="47"/>
      <c r="P207" s="47"/>
      <c r="Q207" s="47"/>
      <c r="R207" s="47"/>
      <c r="S207" s="47"/>
    </row>
    <row r="208">
      <c r="L208" s="183"/>
      <c r="N208" s="47"/>
      <c r="O208" s="47"/>
      <c r="P208" s="47"/>
      <c r="Q208" s="47"/>
      <c r="R208" s="47"/>
      <c r="S208" s="47"/>
    </row>
    <row r="209">
      <c r="L209" s="183"/>
      <c r="N209" s="47"/>
      <c r="O209" s="47"/>
      <c r="P209" s="47"/>
      <c r="Q209" s="47"/>
      <c r="R209" s="47"/>
      <c r="S209" s="47"/>
    </row>
    <row r="210">
      <c r="L210" s="183"/>
      <c r="N210" s="47"/>
      <c r="O210" s="47"/>
      <c r="P210" s="47"/>
      <c r="Q210" s="47"/>
      <c r="R210" s="47"/>
      <c r="S210" s="47"/>
    </row>
    <row r="211">
      <c r="L211" s="183"/>
      <c r="N211" s="47"/>
      <c r="O211" s="47"/>
      <c r="P211" s="47"/>
      <c r="Q211" s="47"/>
      <c r="R211" s="47"/>
      <c r="S211" s="47"/>
    </row>
    <row r="212">
      <c r="L212" s="183"/>
      <c r="N212" s="47"/>
      <c r="O212" s="47"/>
      <c r="P212" s="47"/>
      <c r="Q212" s="47"/>
      <c r="R212" s="47"/>
      <c r="S212" s="47"/>
    </row>
    <row r="213">
      <c r="L213" s="183"/>
      <c r="N213" s="47"/>
      <c r="O213" s="47"/>
      <c r="P213" s="47"/>
      <c r="Q213" s="47"/>
      <c r="R213" s="47"/>
      <c r="S213" s="47"/>
    </row>
    <row r="214">
      <c r="L214" s="183"/>
      <c r="N214" s="47"/>
      <c r="O214" s="47"/>
      <c r="P214" s="47"/>
      <c r="Q214" s="47"/>
      <c r="R214" s="47"/>
      <c r="S214" s="47"/>
    </row>
    <row r="215">
      <c r="L215" s="183"/>
      <c r="N215" s="47"/>
      <c r="O215" s="47"/>
      <c r="P215" s="47"/>
      <c r="Q215" s="47"/>
      <c r="R215" s="47"/>
      <c r="S215" s="47"/>
    </row>
    <row r="216">
      <c r="L216" s="183"/>
      <c r="N216" s="47"/>
      <c r="O216" s="47"/>
      <c r="P216" s="47"/>
      <c r="Q216" s="47"/>
      <c r="R216" s="47"/>
      <c r="S216" s="47"/>
    </row>
    <row r="217">
      <c r="L217" s="183"/>
      <c r="N217" s="47"/>
      <c r="O217" s="47"/>
      <c r="P217" s="47"/>
      <c r="Q217" s="47"/>
      <c r="R217" s="47"/>
      <c r="S217" s="47"/>
    </row>
    <row r="218">
      <c r="L218" s="183"/>
      <c r="N218" s="47"/>
      <c r="O218" s="47"/>
      <c r="P218" s="47"/>
      <c r="Q218" s="47"/>
      <c r="R218" s="47"/>
      <c r="S218" s="47"/>
    </row>
    <row r="219">
      <c r="L219" s="183"/>
      <c r="N219" s="47"/>
      <c r="O219" s="47"/>
      <c r="P219" s="47"/>
      <c r="Q219" s="47"/>
      <c r="R219" s="47"/>
      <c r="S219" s="47"/>
    </row>
    <row r="220">
      <c r="L220" s="183"/>
      <c r="N220" s="47"/>
      <c r="O220" s="47"/>
      <c r="P220" s="47"/>
      <c r="Q220" s="47"/>
      <c r="R220" s="47"/>
      <c r="S220" s="47"/>
    </row>
    <row r="221">
      <c r="L221" s="183"/>
      <c r="N221" s="47"/>
      <c r="O221" s="47"/>
      <c r="P221" s="47"/>
      <c r="Q221" s="47"/>
      <c r="R221" s="47"/>
      <c r="S221" s="47"/>
    </row>
    <row r="222">
      <c r="L222" s="183"/>
      <c r="N222" s="47"/>
      <c r="O222" s="47"/>
      <c r="P222" s="47"/>
      <c r="Q222" s="47"/>
      <c r="R222" s="47"/>
      <c r="S222" s="47"/>
    </row>
    <row r="223">
      <c r="L223" s="183"/>
      <c r="N223" s="47"/>
      <c r="O223" s="47"/>
      <c r="P223" s="47"/>
      <c r="Q223" s="47"/>
      <c r="R223" s="47"/>
      <c r="S223" s="47"/>
    </row>
    <row r="224">
      <c r="L224" s="183"/>
      <c r="N224" s="47"/>
      <c r="O224" s="47"/>
      <c r="P224" s="47"/>
      <c r="Q224" s="47"/>
      <c r="R224" s="47"/>
      <c r="S224" s="47"/>
    </row>
    <row r="225">
      <c r="L225" s="183"/>
      <c r="N225" s="47"/>
      <c r="O225" s="47"/>
      <c r="P225" s="47"/>
      <c r="Q225" s="47"/>
      <c r="R225" s="47"/>
      <c r="S225" s="47"/>
    </row>
    <row r="226">
      <c r="L226" s="183"/>
      <c r="N226" s="47"/>
      <c r="O226" s="47"/>
      <c r="P226" s="47"/>
      <c r="Q226" s="47"/>
      <c r="R226" s="47"/>
      <c r="S226" s="47"/>
    </row>
    <row r="227">
      <c r="L227" s="183"/>
      <c r="N227" s="47"/>
      <c r="O227" s="47"/>
      <c r="P227" s="47"/>
      <c r="Q227" s="47"/>
      <c r="R227" s="47"/>
      <c r="S227" s="47"/>
    </row>
    <row r="228">
      <c r="L228" s="183"/>
      <c r="N228" s="47"/>
      <c r="O228" s="47"/>
      <c r="P228" s="47"/>
      <c r="Q228" s="47"/>
      <c r="R228" s="47"/>
      <c r="S228" s="47"/>
    </row>
    <row r="229">
      <c r="L229" s="183"/>
      <c r="N229" s="47"/>
      <c r="O229" s="47"/>
      <c r="P229" s="47"/>
      <c r="Q229" s="47"/>
      <c r="R229" s="47"/>
      <c r="S229" s="47"/>
    </row>
    <row r="230">
      <c r="L230" s="183"/>
      <c r="N230" s="47"/>
      <c r="O230" s="47"/>
      <c r="P230" s="47"/>
      <c r="Q230" s="47"/>
      <c r="R230" s="47"/>
      <c r="S230" s="47"/>
    </row>
    <row r="231">
      <c r="L231" s="183"/>
      <c r="N231" s="47"/>
      <c r="O231" s="47"/>
      <c r="P231" s="47"/>
      <c r="Q231" s="47"/>
      <c r="R231" s="47"/>
      <c r="S231" s="47"/>
    </row>
    <row r="232">
      <c r="L232" s="183"/>
      <c r="N232" s="47"/>
      <c r="O232" s="47"/>
      <c r="P232" s="47"/>
      <c r="Q232" s="47"/>
      <c r="R232" s="47"/>
      <c r="S232" s="47"/>
    </row>
    <row r="233">
      <c r="L233" s="183"/>
      <c r="N233" s="47"/>
      <c r="O233" s="47"/>
      <c r="P233" s="47"/>
      <c r="Q233" s="47"/>
      <c r="R233" s="47"/>
      <c r="S233" s="47"/>
    </row>
    <row r="234">
      <c r="L234" s="183"/>
      <c r="N234" s="47"/>
      <c r="O234" s="47"/>
      <c r="P234" s="47"/>
      <c r="Q234" s="47"/>
      <c r="R234" s="47"/>
      <c r="S234" s="47"/>
    </row>
    <row r="235">
      <c r="L235" s="183"/>
      <c r="N235" s="47"/>
      <c r="O235" s="47"/>
      <c r="P235" s="47"/>
      <c r="Q235" s="47"/>
      <c r="R235" s="47"/>
      <c r="S235" s="47"/>
    </row>
    <row r="236">
      <c r="L236" s="183"/>
      <c r="N236" s="47"/>
      <c r="O236" s="47"/>
      <c r="P236" s="47"/>
      <c r="Q236" s="47"/>
      <c r="R236" s="47"/>
      <c r="S236" s="47"/>
    </row>
    <row r="237">
      <c r="L237" s="183"/>
      <c r="N237" s="47"/>
      <c r="O237" s="47"/>
      <c r="P237" s="47"/>
      <c r="Q237" s="47"/>
      <c r="R237" s="47"/>
      <c r="S237" s="47"/>
    </row>
    <row r="238">
      <c r="L238" s="183"/>
      <c r="N238" s="47"/>
      <c r="O238" s="47"/>
      <c r="P238" s="47"/>
      <c r="Q238" s="47"/>
      <c r="R238" s="47"/>
      <c r="S238" s="47"/>
    </row>
    <row r="239">
      <c r="L239" s="183"/>
      <c r="N239" s="47"/>
      <c r="O239" s="47"/>
      <c r="P239" s="47"/>
      <c r="Q239" s="47"/>
      <c r="R239" s="47"/>
      <c r="S239" s="47"/>
    </row>
    <row r="240">
      <c r="L240" s="183"/>
      <c r="N240" s="47"/>
      <c r="O240" s="47"/>
      <c r="P240" s="47"/>
      <c r="Q240" s="47"/>
      <c r="R240" s="47"/>
      <c r="S240" s="47"/>
    </row>
    <row r="241">
      <c r="L241" s="183"/>
      <c r="N241" s="47"/>
      <c r="O241" s="47"/>
      <c r="P241" s="47"/>
      <c r="Q241" s="47"/>
      <c r="R241" s="47"/>
      <c r="S241" s="47"/>
    </row>
    <row r="242">
      <c r="L242" s="183"/>
      <c r="N242" s="47"/>
      <c r="O242" s="47"/>
      <c r="P242" s="47"/>
      <c r="Q242" s="47"/>
      <c r="R242" s="47"/>
      <c r="S242" s="47"/>
    </row>
    <row r="243">
      <c r="L243" s="183"/>
      <c r="N243" s="47"/>
      <c r="O243" s="47"/>
      <c r="P243" s="47"/>
      <c r="Q243" s="47"/>
      <c r="R243" s="47"/>
      <c r="S243" s="47"/>
    </row>
    <row r="244">
      <c r="L244" s="183"/>
      <c r="N244" s="47"/>
      <c r="O244" s="47"/>
      <c r="P244" s="47"/>
      <c r="Q244" s="47"/>
      <c r="R244" s="47"/>
      <c r="S244" s="47"/>
    </row>
    <row r="245">
      <c r="L245" s="183"/>
      <c r="N245" s="47"/>
      <c r="O245" s="47"/>
      <c r="P245" s="47"/>
      <c r="Q245" s="47"/>
      <c r="R245" s="47"/>
      <c r="S245" s="47"/>
    </row>
    <row r="246">
      <c r="L246" s="183"/>
      <c r="N246" s="47"/>
      <c r="O246" s="47"/>
      <c r="P246" s="47"/>
      <c r="Q246" s="47"/>
      <c r="R246" s="47"/>
      <c r="S246" s="47"/>
    </row>
    <row r="247">
      <c r="L247" s="183"/>
      <c r="N247" s="47"/>
      <c r="O247" s="47"/>
      <c r="P247" s="47"/>
      <c r="Q247" s="47"/>
      <c r="R247" s="47"/>
      <c r="S247" s="47"/>
    </row>
    <row r="248">
      <c r="L248" s="183"/>
      <c r="N248" s="47"/>
      <c r="O248" s="47"/>
      <c r="P248" s="47"/>
      <c r="Q248" s="47"/>
      <c r="R248" s="47"/>
      <c r="S248" s="47"/>
    </row>
    <row r="249">
      <c r="L249" s="183"/>
      <c r="N249" s="47"/>
      <c r="O249" s="47"/>
      <c r="P249" s="47"/>
      <c r="Q249" s="47"/>
      <c r="R249" s="47"/>
      <c r="S249" s="47"/>
    </row>
    <row r="250">
      <c r="L250" s="183"/>
      <c r="N250" s="47"/>
      <c r="O250" s="47"/>
      <c r="P250" s="47"/>
      <c r="Q250" s="47"/>
      <c r="R250" s="47"/>
      <c r="S250" s="47"/>
    </row>
    <row r="251">
      <c r="L251" s="183"/>
      <c r="N251" s="47"/>
      <c r="O251" s="47"/>
      <c r="P251" s="47"/>
      <c r="Q251" s="47"/>
      <c r="R251" s="47"/>
      <c r="S251" s="47"/>
    </row>
    <row r="252">
      <c r="L252" s="183"/>
      <c r="N252" s="47"/>
      <c r="O252" s="47"/>
      <c r="P252" s="47"/>
      <c r="Q252" s="47"/>
      <c r="R252" s="47"/>
      <c r="S252" s="47"/>
    </row>
    <row r="253">
      <c r="L253" s="183"/>
      <c r="N253" s="47"/>
      <c r="O253" s="47"/>
      <c r="P253" s="47"/>
      <c r="Q253" s="47"/>
      <c r="R253" s="47"/>
      <c r="S253" s="47"/>
    </row>
    <row r="254">
      <c r="L254" s="183"/>
      <c r="N254" s="47"/>
      <c r="O254" s="47"/>
      <c r="P254" s="47"/>
      <c r="Q254" s="47"/>
      <c r="R254" s="47"/>
      <c r="S254" s="47"/>
    </row>
    <row r="255">
      <c r="L255" s="183"/>
      <c r="N255" s="47"/>
      <c r="O255" s="47"/>
      <c r="P255" s="47"/>
      <c r="Q255" s="47"/>
      <c r="R255" s="47"/>
      <c r="S255" s="47"/>
    </row>
    <row r="256">
      <c r="L256" s="183"/>
      <c r="N256" s="47"/>
      <c r="O256" s="47"/>
      <c r="P256" s="47"/>
      <c r="Q256" s="47"/>
      <c r="R256" s="47"/>
      <c r="S256" s="47"/>
    </row>
    <row r="257">
      <c r="L257" s="183"/>
      <c r="N257" s="47"/>
      <c r="O257" s="47"/>
      <c r="P257" s="47"/>
      <c r="Q257" s="47"/>
      <c r="R257" s="47"/>
      <c r="S257" s="47"/>
    </row>
    <row r="258">
      <c r="L258" s="183"/>
      <c r="N258" s="47"/>
      <c r="O258" s="47"/>
      <c r="P258" s="47"/>
      <c r="Q258" s="47"/>
      <c r="R258" s="47"/>
      <c r="S258" s="47"/>
    </row>
    <row r="259">
      <c r="L259" s="183"/>
      <c r="N259" s="47"/>
      <c r="O259" s="47"/>
      <c r="P259" s="47"/>
      <c r="Q259" s="47"/>
      <c r="R259" s="47"/>
      <c r="S259" s="47"/>
    </row>
    <row r="260">
      <c r="L260" s="183"/>
      <c r="N260" s="47"/>
      <c r="O260" s="47"/>
      <c r="P260" s="47"/>
      <c r="Q260" s="47"/>
      <c r="R260" s="47"/>
      <c r="S260" s="47"/>
    </row>
    <row r="261">
      <c r="L261" s="183"/>
      <c r="N261" s="47"/>
      <c r="O261" s="47"/>
      <c r="P261" s="47"/>
      <c r="Q261" s="47"/>
      <c r="R261" s="47"/>
      <c r="S261" s="47"/>
    </row>
    <row r="262">
      <c r="L262" s="183"/>
      <c r="N262" s="47"/>
      <c r="O262" s="47"/>
      <c r="P262" s="47"/>
      <c r="Q262" s="47"/>
      <c r="R262" s="47"/>
      <c r="S262" s="47"/>
    </row>
    <row r="263">
      <c r="L263" s="183"/>
      <c r="N263" s="47"/>
      <c r="O263" s="47"/>
      <c r="P263" s="47"/>
      <c r="Q263" s="47"/>
      <c r="R263" s="47"/>
      <c r="S263" s="47"/>
    </row>
    <row r="264">
      <c r="L264" s="183"/>
      <c r="N264" s="47"/>
      <c r="O264" s="47"/>
      <c r="P264" s="47"/>
      <c r="Q264" s="47"/>
      <c r="R264" s="47"/>
      <c r="S264" s="47"/>
    </row>
    <row r="265">
      <c r="L265" s="183"/>
      <c r="N265" s="47"/>
      <c r="O265" s="47"/>
      <c r="P265" s="47"/>
      <c r="Q265" s="47"/>
      <c r="R265" s="47"/>
      <c r="S265" s="47"/>
    </row>
    <row r="266">
      <c r="L266" s="183"/>
      <c r="N266" s="47"/>
      <c r="O266" s="47"/>
      <c r="P266" s="47"/>
      <c r="Q266" s="47"/>
      <c r="R266" s="47"/>
      <c r="S266" s="47"/>
    </row>
    <row r="267">
      <c r="L267" s="183"/>
      <c r="N267" s="47"/>
      <c r="O267" s="47"/>
      <c r="P267" s="47"/>
      <c r="Q267" s="47"/>
      <c r="R267" s="47"/>
      <c r="S267" s="47"/>
    </row>
    <row r="268">
      <c r="L268" s="183"/>
      <c r="N268" s="47"/>
      <c r="O268" s="47"/>
      <c r="P268" s="47"/>
      <c r="Q268" s="47"/>
      <c r="R268" s="47"/>
      <c r="S268" s="47"/>
    </row>
    <row r="269">
      <c r="L269" s="183"/>
      <c r="N269" s="47"/>
      <c r="O269" s="47"/>
      <c r="P269" s="47"/>
      <c r="Q269" s="47"/>
      <c r="R269" s="47"/>
      <c r="S269" s="47"/>
    </row>
    <row r="270">
      <c r="L270" s="183"/>
      <c r="N270" s="47"/>
      <c r="O270" s="47"/>
      <c r="P270" s="47"/>
      <c r="Q270" s="47"/>
      <c r="R270" s="47"/>
      <c r="S270" s="47"/>
    </row>
    <row r="271">
      <c r="L271" s="183"/>
      <c r="N271" s="47"/>
      <c r="O271" s="47"/>
      <c r="P271" s="47"/>
      <c r="Q271" s="47"/>
      <c r="R271" s="47"/>
      <c r="S271" s="47"/>
    </row>
    <row r="272">
      <c r="L272" s="183"/>
      <c r="N272" s="47"/>
      <c r="O272" s="47"/>
      <c r="P272" s="47"/>
      <c r="Q272" s="47"/>
      <c r="R272" s="47"/>
      <c r="S272" s="47"/>
    </row>
    <row r="273">
      <c r="L273" s="183"/>
      <c r="N273" s="47"/>
      <c r="O273" s="47"/>
      <c r="P273" s="47"/>
      <c r="Q273" s="47"/>
      <c r="R273" s="47"/>
      <c r="S273" s="47"/>
    </row>
    <row r="274">
      <c r="L274" s="183"/>
      <c r="N274" s="47"/>
      <c r="O274" s="47"/>
      <c r="P274" s="47"/>
      <c r="Q274" s="47"/>
      <c r="R274" s="47"/>
      <c r="S274" s="47"/>
    </row>
    <row r="275">
      <c r="L275" s="183"/>
      <c r="N275" s="47"/>
      <c r="O275" s="47"/>
      <c r="P275" s="47"/>
      <c r="Q275" s="47"/>
      <c r="R275" s="47"/>
      <c r="S275" s="47"/>
    </row>
    <row r="276">
      <c r="L276" s="183"/>
      <c r="N276" s="47"/>
      <c r="O276" s="47"/>
      <c r="P276" s="47"/>
      <c r="Q276" s="47"/>
      <c r="R276" s="47"/>
      <c r="S276" s="47"/>
    </row>
    <row r="277">
      <c r="L277" s="183"/>
      <c r="N277" s="47"/>
      <c r="O277" s="47"/>
      <c r="P277" s="47"/>
      <c r="Q277" s="47"/>
      <c r="R277" s="47"/>
      <c r="S277" s="47"/>
    </row>
    <row r="278">
      <c r="L278" s="183"/>
      <c r="N278" s="47"/>
      <c r="O278" s="47"/>
      <c r="P278" s="47"/>
      <c r="Q278" s="47"/>
      <c r="R278" s="47"/>
      <c r="S278" s="47"/>
    </row>
    <row r="279">
      <c r="L279" s="183"/>
      <c r="N279" s="47"/>
      <c r="O279" s="47"/>
      <c r="P279" s="47"/>
      <c r="Q279" s="47"/>
      <c r="R279" s="47"/>
      <c r="S279" s="47"/>
    </row>
    <row r="280">
      <c r="L280" s="183"/>
      <c r="N280" s="47"/>
      <c r="O280" s="47"/>
      <c r="P280" s="47"/>
      <c r="Q280" s="47"/>
      <c r="R280" s="47"/>
      <c r="S280" s="47"/>
    </row>
    <row r="281">
      <c r="L281" s="183"/>
      <c r="N281" s="47"/>
      <c r="O281" s="47"/>
      <c r="P281" s="47"/>
      <c r="Q281" s="47"/>
      <c r="R281" s="47"/>
      <c r="S281" s="47"/>
    </row>
    <row r="282">
      <c r="L282" s="183"/>
      <c r="N282" s="47"/>
      <c r="O282" s="47"/>
      <c r="P282" s="47"/>
      <c r="Q282" s="47"/>
      <c r="R282" s="47"/>
      <c r="S282" s="47"/>
    </row>
    <row r="283">
      <c r="L283" s="183"/>
      <c r="N283" s="47"/>
      <c r="O283" s="47"/>
      <c r="P283" s="47"/>
      <c r="Q283" s="47"/>
      <c r="R283" s="47"/>
      <c r="S283" s="47"/>
    </row>
    <row r="284">
      <c r="L284" s="183"/>
      <c r="N284" s="47"/>
      <c r="O284" s="47"/>
      <c r="P284" s="47"/>
      <c r="Q284" s="47"/>
      <c r="R284" s="47"/>
      <c r="S284" s="47"/>
    </row>
    <row r="285">
      <c r="L285" s="183"/>
      <c r="N285" s="47"/>
      <c r="O285" s="47"/>
      <c r="P285" s="47"/>
      <c r="Q285" s="47"/>
      <c r="R285" s="47"/>
      <c r="S285" s="47"/>
    </row>
    <row r="286">
      <c r="L286" s="183"/>
      <c r="N286" s="47"/>
      <c r="O286" s="47"/>
      <c r="P286" s="47"/>
      <c r="Q286" s="47"/>
      <c r="R286" s="47"/>
      <c r="S286" s="47"/>
    </row>
    <row r="287">
      <c r="L287" s="183"/>
      <c r="N287" s="47"/>
      <c r="O287" s="47"/>
      <c r="P287" s="47"/>
      <c r="Q287" s="47"/>
      <c r="R287" s="47"/>
      <c r="S287" s="47"/>
    </row>
    <row r="288">
      <c r="L288" s="183"/>
      <c r="N288" s="47"/>
      <c r="O288" s="47"/>
      <c r="P288" s="47"/>
      <c r="Q288" s="47"/>
      <c r="R288" s="47"/>
      <c r="S288" s="47"/>
    </row>
    <row r="289">
      <c r="L289" s="183"/>
      <c r="N289" s="47"/>
      <c r="O289" s="47"/>
      <c r="P289" s="47"/>
      <c r="Q289" s="47"/>
      <c r="R289" s="47"/>
      <c r="S289" s="47"/>
    </row>
    <row r="290">
      <c r="L290" s="183"/>
      <c r="N290" s="47"/>
      <c r="O290" s="47"/>
      <c r="P290" s="47"/>
      <c r="Q290" s="47"/>
      <c r="R290" s="47"/>
      <c r="S290" s="47"/>
    </row>
    <row r="291">
      <c r="L291" s="183"/>
      <c r="N291" s="47"/>
      <c r="O291" s="47"/>
      <c r="P291" s="47"/>
      <c r="Q291" s="47"/>
      <c r="R291" s="47"/>
      <c r="S291" s="47"/>
    </row>
    <row r="292">
      <c r="L292" s="183"/>
      <c r="N292" s="47"/>
      <c r="O292" s="47"/>
      <c r="P292" s="47"/>
      <c r="Q292" s="47"/>
      <c r="R292" s="47"/>
      <c r="S292" s="47"/>
    </row>
    <row r="293">
      <c r="L293" s="183"/>
      <c r="N293" s="47"/>
      <c r="O293" s="47"/>
      <c r="P293" s="47"/>
      <c r="Q293" s="47"/>
      <c r="R293" s="47"/>
      <c r="S293" s="47"/>
    </row>
    <row r="294">
      <c r="L294" s="183"/>
      <c r="N294" s="47"/>
      <c r="O294" s="47"/>
      <c r="P294" s="47"/>
      <c r="Q294" s="47"/>
      <c r="R294" s="47"/>
      <c r="S294" s="47"/>
    </row>
    <row r="295">
      <c r="L295" s="183"/>
      <c r="N295" s="47"/>
      <c r="O295" s="47"/>
      <c r="P295" s="47"/>
      <c r="Q295" s="47"/>
      <c r="R295" s="47"/>
      <c r="S295" s="47"/>
    </row>
    <row r="296">
      <c r="L296" s="183"/>
      <c r="N296" s="47"/>
      <c r="O296" s="47"/>
      <c r="P296" s="47"/>
      <c r="Q296" s="47"/>
      <c r="R296" s="47"/>
      <c r="S296" s="47"/>
    </row>
    <row r="297">
      <c r="L297" s="183"/>
      <c r="N297" s="47"/>
      <c r="O297" s="47"/>
      <c r="P297" s="47"/>
      <c r="Q297" s="47"/>
      <c r="R297" s="47"/>
      <c r="S297" s="47"/>
    </row>
    <row r="298">
      <c r="L298" s="183"/>
      <c r="N298" s="47"/>
      <c r="O298" s="47"/>
      <c r="P298" s="47"/>
      <c r="Q298" s="47"/>
      <c r="R298" s="47"/>
      <c r="S298" s="47"/>
    </row>
    <row r="299">
      <c r="L299" s="183"/>
      <c r="N299" s="47"/>
      <c r="O299" s="47"/>
      <c r="P299" s="47"/>
      <c r="Q299" s="47"/>
      <c r="R299" s="47"/>
      <c r="S299" s="47"/>
    </row>
    <row r="300">
      <c r="L300" s="183"/>
      <c r="N300" s="47"/>
      <c r="O300" s="47"/>
      <c r="P300" s="47"/>
      <c r="Q300" s="47"/>
      <c r="R300" s="47"/>
      <c r="S300" s="47"/>
    </row>
    <row r="301">
      <c r="L301" s="183"/>
      <c r="N301" s="47"/>
      <c r="O301" s="47"/>
      <c r="P301" s="47"/>
      <c r="Q301" s="47"/>
      <c r="R301" s="47"/>
      <c r="S301" s="47"/>
    </row>
    <row r="302">
      <c r="L302" s="183"/>
      <c r="N302" s="47"/>
      <c r="O302" s="47"/>
      <c r="P302" s="47"/>
      <c r="Q302" s="47"/>
      <c r="R302" s="47"/>
      <c r="S302" s="47"/>
    </row>
    <row r="303">
      <c r="L303" s="183"/>
      <c r="N303" s="47"/>
      <c r="O303" s="47"/>
      <c r="P303" s="47"/>
      <c r="Q303" s="47"/>
      <c r="R303" s="47"/>
      <c r="S303" s="47"/>
    </row>
    <row r="304">
      <c r="L304" s="183"/>
      <c r="N304" s="47"/>
      <c r="O304" s="47"/>
      <c r="P304" s="47"/>
      <c r="Q304" s="47"/>
      <c r="R304" s="47"/>
      <c r="S304" s="47"/>
    </row>
    <row r="305">
      <c r="L305" s="183"/>
      <c r="N305" s="47"/>
      <c r="O305" s="47"/>
      <c r="P305" s="47"/>
      <c r="Q305" s="47"/>
      <c r="R305" s="47"/>
      <c r="S305" s="47"/>
    </row>
    <row r="306">
      <c r="L306" s="183"/>
      <c r="N306" s="47"/>
      <c r="O306" s="47"/>
      <c r="P306" s="47"/>
      <c r="Q306" s="47"/>
      <c r="R306" s="47"/>
      <c r="S306" s="47"/>
    </row>
    <row r="307">
      <c r="L307" s="183"/>
      <c r="N307" s="47"/>
      <c r="O307" s="47"/>
      <c r="P307" s="47"/>
      <c r="Q307" s="47"/>
      <c r="R307" s="47"/>
      <c r="S307" s="47"/>
    </row>
    <row r="308">
      <c r="L308" s="183"/>
      <c r="N308" s="47"/>
      <c r="O308" s="47"/>
      <c r="P308" s="47"/>
      <c r="Q308" s="47"/>
      <c r="R308" s="47"/>
      <c r="S308" s="47"/>
    </row>
    <row r="309">
      <c r="L309" s="183"/>
      <c r="N309" s="47"/>
      <c r="O309" s="47"/>
      <c r="P309" s="47"/>
      <c r="Q309" s="47"/>
      <c r="R309" s="47"/>
      <c r="S309" s="47"/>
    </row>
    <row r="310">
      <c r="L310" s="183"/>
      <c r="N310" s="47"/>
      <c r="O310" s="47"/>
      <c r="P310" s="47"/>
      <c r="Q310" s="47"/>
      <c r="R310" s="47"/>
      <c r="S310" s="47"/>
    </row>
    <row r="311">
      <c r="L311" s="183"/>
      <c r="N311" s="47"/>
      <c r="O311" s="47"/>
      <c r="P311" s="47"/>
      <c r="Q311" s="47"/>
      <c r="R311" s="47"/>
      <c r="S311" s="47"/>
    </row>
    <row r="312">
      <c r="L312" s="183"/>
      <c r="N312" s="47"/>
      <c r="O312" s="47"/>
      <c r="P312" s="47"/>
      <c r="Q312" s="47"/>
      <c r="R312" s="47"/>
      <c r="S312" s="47"/>
    </row>
    <row r="313">
      <c r="L313" s="183"/>
      <c r="N313" s="47"/>
      <c r="O313" s="47"/>
      <c r="P313" s="47"/>
      <c r="Q313" s="47"/>
      <c r="R313" s="47"/>
      <c r="S313" s="47"/>
    </row>
    <row r="314">
      <c r="L314" s="183"/>
      <c r="N314" s="47"/>
      <c r="O314" s="47"/>
      <c r="P314" s="47"/>
      <c r="Q314" s="47"/>
      <c r="R314" s="47"/>
      <c r="S314" s="47"/>
    </row>
    <row r="315">
      <c r="L315" s="183"/>
      <c r="N315" s="47"/>
      <c r="O315" s="47"/>
      <c r="P315" s="47"/>
      <c r="Q315" s="47"/>
      <c r="R315" s="47"/>
      <c r="S315" s="47"/>
    </row>
    <row r="316">
      <c r="L316" s="183"/>
      <c r="N316" s="47"/>
      <c r="O316" s="47"/>
      <c r="P316" s="47"/>
      <c r="Q316" s="47"/>
      <c r="R316" s="47"/>
      <c r="S316" s="47"/>
    </row>
    <row r="317">
      <c r="L317" s="183"/>
      <c r="N317" s="47"/>
      <c r="O317" s="47"/>
      <c r="P317" s="47"/>
      <c r="Q317" s="47"/>
      <c r="R317" s="47"/>
      <c r="S317" s="47"/>
    </row>
    <row r="318">
      <c r="L318" s="183"/>
      <c r="N318" s="47"/>
      <c r="O318" s="47"/>
      <c r="P318" s="47"/>
      <c r="Q318" s="47"/>
      <c r="R318" s="47"/>
      <c r="S318" s="47"/>
    </row>
    <row r="319">
      <c r="L319" s="183"/>
      <c r="N319" s="47"/>
      <c r="O319" s="47"/>
      <c r="P319" s="47"/>
      <c r="Q319" s="47"/>
      <c r="R319" s="47"/>
      <c r="S319" s="47"/>
    </row>
    <row r="320">
      <c r="L320" s="183"/>
      <c r="N320" s="47"/>
      <c r="O320" s="47"/>
      <c r="P320" s="47"/>
      <c r="Q320" s="47"/>
      <c r="R320" s="47"/>
      <c r="S320" s="47"/>
    </row>
    <row r="321">
      <c r="L321" s="183"/>
      <c r="N321" s="47"/>
      <c r="O321" s="47"/>
      <c r="P321" s="47"/>
      <c r="Q321" s="47"/>
      <c r="R321" s="47"/>
      <c r="S321" s="47"/>
    </row>
    <row r="322">
      <c r="L322" s="183"/>
      <c r="N322" s="47"/>
      <c r="O322" s="47"/>
      <c r="P322" s="47"/>
      <c r="Q322" s="47"/>
      <c r="R322" s="47"/>
      <c r="S322" s="47"/>
    </row>
    <row r="323">
      <c r="L323" s="183"/>
      <c r="N323" s="47"/>
      <c r="O323" s="47"/>
      <c r="P323" s="47"/>
      <c r="Q323" s="47"/>
      <c r="R323" s="47"/>
      <c r="S323" s="47"/>
    </row>
    <row r="324">
      <c r="L324" s="183"/>
      <c r="N324" s="47"/>
      <c r="O324" s="47"/>
      <c r="P324" s="47"/>
      <c r="Q324" s="47"/>
      <c r="R324" s="47"/>
      <c r="S324" s="47"/>
    </row>
    <row r="325">
      <c r="L325" s="183"/>
      <c r="N325" s="47"/>
      <c r="O325" s="47"/>
      <c r="P325" s="47"/>
      <c r="Q325" s="47"/>
      <c r="R325" s="47"/>
      <c r="S325" s="47"/>
    </row>
    <row r="326">
      <c r="L326" s="183"/>
      <c r="N326" s="47"/>
      <c r="O326" s="47"/>
      <c r="P326" s="47"/>
      <c r="Q326" s="47"/>
      <c r="R326" s="47"/>
      <c r="S326" s="47"/>
    </row>
    <row r="327">
      <c r="L327" s="183"/>
      <c r="N327" s="47"/>
      <c r="O327" s="47"/>
      <c r="P327" s="47"/>
      <c r="Q327" s="47"/>
      <c r="R327" s="47"/>
      <c r="S327" s="47"/>
    </row>
    <row r="328">
      <c r="L328" s="183"/>
      <c r="N328" s="47"/>
      <c r="O328" s="47"/>
      <c r="P328" s="47"/>
      <c r="Q328" s="47"/>
      <c r="R328" s="47"/>
      <c r="S328" s="47"/>
    </row>
    <row r="329">
      <c r="L329" s="183"/>
      <c r="N329" s="47"/>
      <c r="O329" s="47"/>
      <c r="P329" s="47"/>
      <c r="Q329" s="47"/>
      <c r="R329" s="47"/>
      <c r="S329" s="47"/>
    </row>
    <row r="330">
      <c r="L330" s="183"/>
      <c r="N330" s="47"/>
      <c r="O330" s="47"/>
      <c r="P330" s="47"/>
      <c r="Q330" s="47"/>
      <c r="R330" s="47"/>
      <c r="S330" s="47"/>
    </row>
    <row r="331">
      <c r="L331" s="183"/>
      <c r="N331" s="47"/>
      <c r="O331" s="47"/>
      <c r="P331" s="47"/>
      <c r="Q331" s="47"/>
      <c r="R331" s="47"/>
      <c r="S331" s="47"/>
    </row>
    <row r="332">
      <c r="L332" s="183"/>
      <c r="N332" s="47"/>
      <c r="O332" s="47"/>
      <c r="P332" s="47"/>
      <c r="Q332" s="47"/>
      <c r="R332" s="47"/>
      <c r="S332" s="47"/>
    </row>
    <row r="333">
      <c r="L333" s="183"/>
      <c r="N333" s="47"/>
      <c r="O333" s="47"/>
      <c r="P333" s="47"/>
      <c r="Q333" s="47"/>
      <c r="R333" s="47"/>
      <c r="S333" s="47"/>
    </row>
    <row r="334">
      <c r="L334" s="183"/>
      <c r="N334" s="47"/>
      <c r="O334" s="47"/>
      <c r="P334" s="47"/>
      <c r="Q334" s="47"/>
      <c r="R334" s="47"/>
      <c r="S334" s="47"/>
    </row>
    <row r="335">
      <c r="L335" s="183"/>
      <c r="N335" s="47"/>
      <c r="O335" s="47"/>
      <c r="P335" s="47"/>
      <c r="Q335" s="47"/>
      <c r="R335" s="47"/>
      <c r="S335" s="47"/>
    </row>
    <row r="336">
      <c r="L336" s="183"/>
      <c r="N336" s="47"/>
      <c r="O336" s="47"/>
      <c r="P336" s="47"/>
      <c r="Q336" s="47"/>
      <c r="R336" s="47"/>
      <c r="S336" s="47"/>
    </row>
    <row r="337">
      <c r="L337" s="183"/>
      <c r="N337" s="47"/>
      <c r="O337" s="47"/>
      <c r="P337" s="47"/>
      <c r="Q337" s="47"/>
      <c r="R337" s="47"/>
      <c r="S337" s="47"/>
    </row>
    <row r="338">
      <c r="L338" s="183"/>
      <c r="N338" s="47"/>
      <c r="O338" s="47"/>
      <c r="P338" s="47"/>
      <c r="Q338" s="47"/>
      <c r="R338" s="47"/>
      <c r="S338" s="47"/>
    </row>
    <row r="339">
      <c r="L339" s="183"/>
      <c r="N339" s="47"/>
      <c r="O339" s="47"/>
      <c r="P339" s="47"/>
      <c r="Q339" s="47"/>
      <c r="R339" s="47"/>
      <c r="S339" s="47"/>
    </row>
    <row r="340">
      <c r="L340" s="183"/>
      <c r="N340" s="47"/>
      <c r="O340" s="47"/>
      <c r="P340" s="47"/>
      <c r="Q340" s="47"/>
      <c r="R340" s="47"/>
      <c r="S340" s="47"/>
    </row>
    <row r="341">
      <c r="L341" s="183"/>
      <c r="N341" s="47"/>
      <c r="O341" s="47"/>
      <c r="P341" s="47"/>
      <c r="Q341" s="47"/>
      <c r="R341" s="47"/>
      <c r="S341" s="47"/>
    </row>
    <row r="342">
      <c r="L342" s="183"/>
      <c r="N342" s="47"/>
      <c r="O342" s="47"/>
      <c r="P342" s="47"/>
      <c r="Q342" s="47"/>
      <c r="R342" s="47"/>
      <c r="S342" s="47"/>
    </row>
    <row r="343">
      <c r="L343" s="183"/>
      <c r="N343" s="47"/>
      <c r="O343" s="47"/>
      <c r="P343" s="47"/>
      <c r="Q343" s="47"/>
      <c r="R343" s="47"/>
      <c r="S343" s="47"/>
    </row>
    <row r="344">
      <c r="L344" s="183"/>
      <c r="N344" s="47"/>
      <c r="O344" s="47"/>
      <c r="P344" s="47"/>
      <c r="Q344" s="47"/>
      <c r="R344" s="47"/>
      <c r="S344" s="47"/>
    </row>
    <row r="345">
      <c r="L345" s="183"/>
      <c r="N345" s="47"/>
      <c r="O345" s="47"/>
      <c r="P345" s="47"/>
      <c r="Q345" s="47"/>
      <c r="R345" s="47"/>
      <c r="S345" s="47"/>
    </row>
    <row r="346">
      <c r="L346" s="183"/>
      <c r="N346" s="47"/>
      <c r="O346" s="47"/>
      <c r="P346" s="47"/>
      <c r="Q346" s="47"/>
      <c r="R346" s="47"/>
      <c r="S346" s="47"/>
    </row>
    <row r="347">
      <c r="L347" s="183"/>
      <c r="N347" s="47"/>
      <c r="O347" s="47"/>
      <c r="P347" s="47"/>
      <c r="Q347" s="47"/>
      <c r="R347" s="47"/>
      <c r="S347" s="47"/>
    </row>
    <row r="348">
      <c r="L348" s="183"/>
      <c r="N348" s="47"/>
      <c r="O348" s="47"/>
      <c r="P348" s="47"/>
      <c r="Q348" s="47"/>
      <c r="R348" s="47"/>
      <c r="S348" s="47"/>
    </row>
    <row r="349">
      <c r="L349" s="183"/>
      <c r="N349" s="47"/>
      <c r="O349" s="47"/>
      <c r="P349" s="47"/>
      <c r="Q349" s="47"/>
      <c r="R349" s="47"/>
      <c r="S349" s="47"/>
    </row>
    <row r="350">
      <c r="L350" s="183"/>
      <c r="N350" s="47"/>
      <c r="O350" s="47"/>
      <c r="P350" s="47"/>
      <c r="Q350" s="47"/>
      <c r="R350" s="47"/>
      <c r="S350" s="47"/>
    </row>
    <row r="351">
      <c r="L351" s="183"/>
      <c r="N351" s="47"/>
      <c r="O351" s="47"/>
      <c r="P351" s="47"/>
      <c r="Q351" s="47"/>
      <c r="R351" s="47"/>
      <c r="S351" s="47"/>
    </row>
    <row r="352">
      <c r="L352" s="183"/>
      <c r="N352" s="47"/>
      <c r="O352" s="47"/>
      <c r="P352" s="47"/>
      <c r="Q352" s="47"/>
      <c r="R352" s="47"/>
      <c r="S352" s="47"/>
    </row>
    <row r="353">
      <c r="L353" s="183"/>
      <c r="N353" s="47"/>
      <c r="O353" s="47"/>
      <c r="P353" s="47"/>
      <c r="Q353" s="47"/>
      <c r="R353" s="47"/>
      <c r="S353" s="47"/>
    </row>
    <row r="354">
      <c r="L354" s="183"/>
      <c r="N354" s="47"/>
      <c r="O354" s="47"/>
      <c r="P354" s="47"/>
      <c r="Q354" s="47"/>
      <c r="R354" s="47"/>
      <c r="S354" s="47"/>
    </row>
    <row r="355">
      <c r="L355" s="183"/>
      <c r="N355" s="47"/>
      <c r="O355" s="47"/>
      <c r="P355" s="47"/>
      <c r="Q355" s="47"/>
      <c r="R355" s="47"/>
      <c r="S355" s="47"/>
    </row>
    <row r="356">
      <c r="L356" s="183"/>
      <c r="N356" s="47"/>
      <c r="O356" s="47"/>
      <c r="P356" s="47"/>
      <c r="Q356" s="47"/>
      <c r="R356" s="47"/>
      <c r="S356" s="47"/>
    </row>
    <row r="357">
      <c r="L357" s="183"/>
      <c r="N357" s="47"/>
      <c r="O357" s="47"/>
      <c r="P357" s="47"/>
      <c r="Q357" s="47"/>
      <c r="R357" s="47"/>
      <c r="S357" s="47"/>
    </row>
    <row r="358">
      <c r="L358" s="183"/>
      <c r="N358" s="47"/>
      <c r="O358" s="47"/>
      <c r="P358" s="47"/>
      <c r="Q358" s="47"/>
      <c r="R358" s="47"/>
      <c r="S358" s="47"/>
    </row>
    <row r="359">
      <c r="L359" s="183"/>
      <c r="N359" s="47"/>
      <c r="O359" s="47"/>
      <c r="P359" s="47"/>
      <c r="Q359" s="47"/>
      <c r="R359" s="47"/>
      <c r="S359" s="47"/>
    </row>
    <row r="360">
      <c r="L360" s="183"/>
      <c r="N360" s="47"/>
      <c r="O360" s="47"/>
      <c r="P360" s="47"/>
      <c r="Q360" s="47"/>
      <c r="R360" s="47"/>
      <c r="S360" s="47"/>
    </row>
    <row r="361">
      <c r="L361" s="183"/>
      <c r="N361" s="47"/>
      <c r="O361" s="47"/>
      <c r="P361" s="47"/>
      <c r="Q361" s="47"/>
      <c r="R361" s="47"/>
      <c r="S361" s="47"/>
    </row>
    <row r="362">
      <c r="L362" s="183"/>
      <c r="N362" s="47"/>
      <c r="O362" s="47"/>
      <c r="P362" s="47"/>
      <c r="Q362" s="47"/>
      <c r="R362" s="47"/>
      <c r="S362" s="47"/>
    </row>
    <row r="363">
      <c r="L363" s="183"/>
      <c r="N363" s="47"/>
      <c r="O363" s="47"/>
      <c r="P363" s="47"/>
      <c r="Q363" s="47"/>
      <c r="R363" s="47"/>
      <c r="S363" s="47"/>
    </row>
    <row r="364">
      <c r="L364" s="183"/>
      <c r="N364" s="47"/>
      <c r="O364" s="47"/>
      <c r="P364" s="47"/>
      <c r="Q364" s="47"/>
      <c r="R364" s="47"/>
      <c r="S364" s="47"/>
    </row>
    <row r="365">
      <c r="L365" s="183"/>
      <c r="N365" s="47"/>
      <c r="O365" s="47"/>
      <c r="P365" s="47"/>
      <c r="Q365" s="47"/>
      <c r="R365" s="47"/>
      <c r="S365" s="47"/>
    </row>
    <row r="366">
      <c r="L366" s="183"/>
      <c r="N366" s="47"/>
      <c r="O366" s="47"/>
      <c r="P366" s="47"/>
      <c r="Q366" s="47"/>
      <c r="R366" s="47"/>
      <c r="S366" s="47"/>
    </row>
    <row r="367">
      <c r="L367" s="183"/>
      <c r="N367" s="47"/>
      <c r="O367" s="47"/>
      <c r="P367" s="47"/>
      <c r="Q367" s="47"/>
      <c r="R367" s="47"/>
      <c r="S367" s="47"/>
    </row>
    <row r="368">
      <c r="L368" s="183"/>
      <c r="N368" s="47"/>
      <c r="O368" s="47"/>
      <c r="P368" s="47"/>
      <c r="Q368" s="47"/>
      <c r="R368" s="47"/>
      <c r="S368" s="47"/>
    </row>
    <row r="369">
      <c r="L369" s="183"/>
      <c r="N369" s="47"/>
      <c r="O369" s="47"/>
      <c r="P369" s="47"/>
      <c r="Q369" s="47"/>
      <c r="R369" s="47"/>
      <c r="S369" s="47"/>
    </row>
    <row r="370">
      <c r="L370" s="183"/>
      <c r="N370" s="47"/>
      <c r="O370" s="47"/>
      <c r="P370" s="47"/>
      <c r="Q370" s="47"/>
      <c r="R370" s="47"/>
      <c r="S370" s="47"/>
    </row>
    <row r="371">
      <c r="L371" s="183"/>
      <c r="N371" s="47"/>
      <c r="O371" s="47"/>
      <c r="P371" s="47"/>
      <c r="Q371" s="47"/>
      <c r="R371" s="47"/>
      <c r="S371" s="47"/>
    </row>
    <row r="372">
      <c r="L372" s="183"/>
      <c r="N372" s="47"/>
      <c r="O372" s="47"/>
      <c r="P372" s="47"/>
      <c r="Q372" s="47"/>
      <c r="R372" s="47"/>
      <c r="S372" s="47"/>
    </row>
    <row r="373">
      <c r="L373" s="183"/>
      <c r="N373" s="47"/>
      <c r="O373" s="47"/>
      <c r="P373" s="47"/>
      <c r="Q373" s="47"/>
      <c r="R373" s="47"/>
      <c r="S373" s="47"/>
    </row>
    <row r="374">
      <c r="L374" s="183"/>
      <c r="N374" s="47"/>
      <c r="O374" s="47"/>
      <c r="P374" s="47"/>
      <c r="Q374" s="47"/>
      <c r="R374" s="47"/>
      <c r="S374" s="47"/>
    </row>
    <row r="375">
      <c r="L375" s="183"/>
      <c r="N375" s="47"/>
      <c r="O375" s="47"/>
      <c r="P375" s="47"/>
      <c r="Q375" s="47"/>
      <c r="R375" s="47"/>
      <c r="S375" s="47"/>
    </row>
    <row r="376">
      <c r="L376" s="183"/>
      <c r="N376" s="47"/>
      <c r="O376" s="47"/>
      <c r="P376" s="47"/>
      <c r="Q376" s="47"/>
      <c r="R376" s="47"/>
      <c r="S376" s="47"/>
    </row>
    <row r="377">
      <c r="L377" s="183"/>
      <c r="N377" s="47"/>
      <c r="O377" s="47"/>
      <c r="P377" s="47"/>
      <c r="Q377" s="47"/>
      <c r="R377" s="47"/>
      <c r="S377" s="47"/>
    </row>
    <row r="378">
      <c r="L378" s="183"/>
      <c r="N378" s="47"/>
      <c r="O378" s="47"/>
      <c r="P378" s="47"/>
      <c r="Q378" s="47"/>
      <c r="R378" s="47"/>
      <c r="S378" s="47"/>
    </row>
    <row r="379">
      <c r="L379" s="183"/>
      <c r="N379" s="47"/>
      <c r="O379" s="47"/>
      <c r="P379" s="47"/>
      <c r="Q379" s="47"/>
      <c r="R379" s="47"/>
      <c r="S379" s="47"/>
    </row>
    <row r="380">
      <c r="L380" s="183"/>
      <c r="N380" s="47"/>
      <c r="O380" s="47"/>
      <c r="P380" s="47"/>
      <c r="Q380" s="47"/>
      <c r="R380" s="47"/>
      <c r="S380" s="47"/>
    </row>
    <row r="381">
      <c r="L381" s="183"/>
      <c r="N381" s="47"/>
      <c r="O381" s="47"/>
      <c r="P381" s="47"/>
      <c r="Q381" s="47"/>
      <c r="R381" s="47"/>
      <c r="S381" s="47"/>
    </row>
    <row r="382">
      <c r="L382" s="183"/>
      <c r="N382" s="47"/>
      <c r="O382" s="47"/>
      <c r="P382" s="47"/>
      <c r="Q382" s="47"/>
      <c r="R382" s="47"/>
      <c r="S382" s="47"/>
    </row>
    <row r="383">
      <c r="L383" s="183"/>
      <c r="N383" s="47"/>
      <c r="O383" s="47"/>
      <c r="P383" s="47"/>
      <c r="Q383" s="47"/>
      <c r="R383" s="47"/>
      <c r="S383" s="47"/>
    </row>
    <row r="384">
      <c r="L384" s="183"/>
      <c r="N384" s="47"/>
      <c r="O384" s="47"/>
      <c r="P384" s="47"/>
      <c r="Q384" s="47"/>
      <c r="R384" s="47"/>
      <c r="S384" s="47"/>
    </row>
    <row r="385">
      <c r="L385" s="183"/>
      <c r="N385" s="47"/>
      <c r="O385" s="47"/>
      <c r="P385" s="47"/>
      <c r="Q385" s="47"/>
      <c r="R385" s="47"/>
      <c r="S385" s="47"/>
    </row>
    <row r="386">
      <c r="L386" s="183"/>
      <c r="N386" s="47"/>
      <c r="O386" s="47"/>
      <c r="P386" s="47"/>
      <c r="Q386" s="47"/>
      <c r="R386" s="47"/>
      <c r="S386" s="47"/>
    </row>
    <row r="387">
      <c r="L387" s="183"/>
      <c r="N387" s="47"/>
      <c r="O387" s="47"/>
      <c r="P387" s="47"/>
      <c r="Q387" s="47"/>
      <c r="R387" s="47"/>
      <c r="S387" s="47"/>
    </row>
    <row r="388">
      <c r="L388" s="183"/>
      <c r="N388" s="47"/>
      <c r="O388" s="47"/>
      <c r="P388" s="47"/>
      <c r="Q388" s="47"/>
      <c r="R388" s="47"/>
      <c r="S388" s="47"/>
    </row>
    <row r="389">
      <c r="L389" s="183"/>
      <c r="N389" s="47"/>
      <c r="O389" s="47"/>
      <c r="P389" s="47"/>
      <c r="Q389" s="47"/>
      <c r="R389" s="47"/>
      <c r="S389" s="47"/>
    </row>
    <row r="390">
      <c r="L390" s="183"/>
      <c r="N390" s="47"/>
      <c r="O390" s="47"/>
      <c r="P390" s="47"/>
      <c r="Q390" s="47"/>
      <c r="R390" s="47"/>
      <c r="S390" s="47"/>
    </row>
    <row r="391">
      <c r="L391" s="183"/>
      <c r="N391" s="47"/>
      <c r="O391" s="47"/>
      <c r="P391" s="47"/>
      <c r="Q391" s="47"/>
      <c r="R391" s="47"/>
      <c r="S391" s="47"/>
    </row>
    <row r="392">
      <c r="L392" s="183"/>
      <c r="N392" s="47"/>
      <c r="O392" s="47"/>
      <c r="P392" s="47"/>
      <c r="Q392" s="47"/>
      <c r="R392" s="47"/>
      <c r="S392" s="47"/>
    </row>
    <row r="393">
      <c r="L393" s="183"/>
      <c r="N393" s="47"/>
      <c r="O393" s="47"/>
      <c r="P393" s="47"/>
      <c r="Q393" s="47"/>
      <c r="R393" s="47"/>
      <c r="S393" s="47"/>
    </row>
    <row r="394">
      <c r="L394" s="183"/>
      <c r="N394" s="47"/>
      <c r="O394" s="47"/>
      <c r="P394" s="47"/>
      <c r="Q394" s="47"/>
      <c r="R394" s="47"/>
      <c r="S394" s="47"/>
    </row>
    <row r="395">
      <c r="L395" s="183"/>
      <c r="N395" s="47"/>
      <c r="O395" s="47"/>
      <c r="P395" s="47"/>
      <c r="Q395" s="47"/>
      <c r="R395" s="47"/>
      <c r="S395" s="47"/>
    </row>
    <row r="396">
      <c r="L396" s="183"/>
      <c r="N396" s="47"/>
      <c r="O396" s="47"/>
      <c r="P396" s="47"/>
      <c r="Q396" s="47"/>
      <c r="R396" s="47"/>
      <c r="S396" s="47"/>
    </row>
    <row r="397">
      <c r="L397" s="183"/>
      <c r="N397" s="47"/>
      <c r="O397" s="47"/>
      <c r="P397" s="47"/>
      <c r="Q397" s="47"/>
      <c r="R397" s="47"/>
      <c r="S397" s="47"/>
    </row>
    <row r="398">
      <c r="L398" s="183"/>
      <c r="N398" s="47"/>
      <c r="O398" s="47"/>
      <c r="P398" s="47"/>
      <c r="Q398" s="47"/>
      <c r="R398" s="47"/>
      <c r="S398" s="47"/>
    </row>
    <row r="399">
      <c r="L399" s="183"/>
      <c r="N399" s="47"/>
      <c r="O399" s="47"/>
      <c r="P399" s="47"/>
      <c r="Q399" s="47"/>
      <c r="R399" s="47"/>
      <c r="S399" s="47"/>
    </row>
    <row r="400">
      <c r="L400" s="183"/>
      <c r="N400" s="47"/>
      <c r="O400" s="47"/>
      <c r="P400" s="47"/>
      <c r="Q400" s="47"/>
      <c r="R400" s="47"/>
      <c r="S400" s="47"/>
    </row>
    <row r="401">
      <c r="L401" s="183"/>
      <c r="N401" s="47"/>
      <c r="O401" s="47"/>
      <c r="P401" s="47"/>
      <c r="Q401" s="47"/>
      <c r="R401" s="47"/>
      <c r="S401" s="47"/>
    </row>
    <row r="402">
      <c r="L402" s="183"/>
      <c r="N402" s="47"/>
      <c r="O402" s="47"/>
      <c r="P402" s="47"/>
      <c r="Q402" s="47"/>
      <c r="R402" s="47"/>
      <c r="S402" s="47"/>
    </row>
    <row r="403">
      <c r="L403" s="183"/>
      <c r="N403" s="47"/>
      <c r="O403" s="47"/>
      <c r="P403" s="47"/>
      <c r="Q403" s="47"/>
      <c r="R403" s="47"/>
      <c r="S403" s="47"/>
    </row>
    <row r="404">
      <c r="L404" s="183"/>
      <c r="N404" s="47"/>
      <c r="O404" s="47"/>
      <c r="P404" s="47"/>
      <c r="Q404" s="47"/>
      <c r="R404" s="47"/>
      <c r="S404" s="47"/>
    </row>
    <row r="405">
      <c r="L405" s="183"/>
      <c r="N405" s="47"/>
      <c r="O405" s="47"/>
      <c r="P405" s="47"/>
      <c r="Q405" s="47"/>
      <c r="R405" s="47"/>
      <c r="S405" s="47"/>
    </row>
    <row r="406">
      <c r="L406" s="183"/>
      <c r="N406" s="47"/>
      <c r="O406" s="47"/>
      <c r="P406" s="47"/>
      <c r="Q406" s="47"/>
      <c r="R406" s="47"/>
      <c r="S406" s="47"/>
    </row>
    <row r="407">
      <c r="L407" s="183"/>
      <c r="N407" s="47"/>
      <c r="O407" s="47"/>
      <c r="P407" s="47"/>
      <c r="Q407" s="47"/>
      <c r="R407" s="47"/>
      <c r="S407" s="47"/>
    </row>
    <row r="408">
      <c r="L408" s="183"/>
      <c r="N408" s="47"/>
      <c r="O408" s="47"/>
      <c r="P408" s="47"/>
      <c r="Q408" s="47"/>
      <c r="R408" s="47"/>
      <c r="S408" s="47"/>
    </row>
    <row r="409">
      <c r="L409" s="183"/>
      <c r="N409" s="47"/>
      <c r="O409" s="47"/>
      <c r="P409" s="47"/>
      <c r="Q409" s="47"/>
      <c r="R409" s="47"/>
      <c r="S409" s="47"/>
    </row>
    <row r="410">
      <c r="L410" s="183"/>
      <c r="N410" s="47"/>
      <c r="O410" s="47"/>
      <c r="P410" s="47"/>
      <c r="Q410" s="47"/>
      <c r="R410" s="47"/>
      <c r="S410" s="47"/>
    </row>
    <row r="411">
      <c r="L411" s="183"/>
      <c r="N411" s="47"/>
      <c r="O411" s="47"/>
      <c r="P411" s="47"/>
      <c r="Q411" s="47"/>
      <c r="R411" s="47"/>
      <c r="S411" s="47"/>
    </row>
    <row r="412">
      <c r="L412" s="183"/>
      <c r="N412" s="47"/>
      <c r="O412" s="47"/>
      <c r="P412" s="47"/>
      <c r="Q412" s="47"/>
      <c r="R412" s="47"/>
      <c r="S412" s="47"/>
    </row>
    <row r="413">
      <c r="L413" s="183"/>
      <c r="N413" s="47"/>
      <c r="O413" s="47"/>
      <c r="P413" s="47"/>
      <c r="Q413" s="47"/>
      <c r="R413" s="47"/>
      <c r="S413" s="47"/>
    </row>
    <row r="414">
      <c r="L414" s="183"/>
      <c r="N414" s="47"/>
      <c r="O414" s="47"/>
      <c r="P414" s="47"/>
      <c r="Q414" s="47"/>
      <c r="R414" s="47"/>
      <c r="S414" s="47"/>
    </row>
    <row r="415">
      <c r="L415" s="183"/>
      <c r="N415" s="47"/>
      <c r="O415" s="47"/>
      <c r="P415" s="47"/>
      <c r="Q415" s="47"/>
      <c r="R415" s="47"/>
      <c r="S415" s="47"/>
    </row>
    <row r="416">
      <c r="L416" s="183"/>
      <c r="N416" s="47"/>
      <c r="O416" s="47"/>
      <c r="P416" s="47"/>
      <c r="Q416" s="47"/>
      <c r="R416" s="47"/>
      <c r="S416" s="47"/>
    </row>
    <row r="417">
      <c r="L417" s="183"/>
      <c r="N417" s="47"/>
      <c r="O417" s="47"/>
      <c r="P417" s="47"/>
      <c r="Q417" s="47"/>
      <c r="R417" s="47"/>
      <c r="S417" s="47"/>
    </row>
    <row r="418">
      <c r="L418" s="183"/>
      <c r="N418" s="47"/>
      <c r="O418" s="47"/>
      <c r="P418" s="47"/>
      <c r="Q418" s="47"/>
      <c r="R418" s="47"/>
      <c r="S418" s="47"/>
    </row>
    <row r="419">
      <c r="L419" s="183"/>
      <c r="N419" s="47"/>
      <c r="O419" s="47"/>
      <c r="P419" s="47"/>
      <c r="Q419" s="47"/>
      <c r="R419" s="47"/>
      <c r="S419" s="47"/>
    </row>
    <row r="420">
      <c r="L420" s="183"/>
      <c r="N420" s="47"/>
      <c r="O420" s="47"/>
      <c r="P420" s="47"/>
      <c r="Q420" s="47"/>
      <c r="R420" s="47"/>
      <c r="S420" s="47"/>
    </row>
    <row r="421">
      <c r="L421" s="183"/>
      <c r="N421" s="47"/>
      <c r="O421" s="47"/>
      <c r="P421" s="47"/>
      <c r="Q421" s="47"/>
      <c r="R421" s="47"/>
      <c r="S421" s="47"/>
    </row>
    <row r="422">
      <c r="L422" s="183"/>
      <c r="N422" s="47"/>
      <c r="O422" s="47"/>
      <c r="P422" s="47"/>
      <c r="Q422" s="47"/>
      <c r="R422" s="47"/>
      <c r="S422" s="47"/>
    </row>
    <row r="423">
      <c r="L423" s="183"/>
      <c r="N423" s="47"/>
      <c r="O423" s="47"/>
      <c r="P423" s="47"/>
      <c r="Q423" s="47"/>
      <c r="R423" s="47"/>
      <c r="S423" s="47"/>
    </row>
    <row r="424">
      <c r="L424" s="183"/>
      <c r="N424" s="47"/>
      <c r="O424" s="47"/>
      <c r="P424" s="47"/>
      <c r="Q424" s="47"/>
      <c r="R424" s="47"/>
      <c r="S424" s="47"/>
    </row>
    <row r="425">
      <c r="L425" s="183"/>
      <c r="N425" s="47"/>
      <c r="O425" s="47"/>
      <c r="P425" s="47"/>
      <c r="Q425" s="47"/>
      <c r="R425" s="47"/>
      <c r="S425" s="47"/>
    </row>
    <row r="426">
      <c r="L426" s="183"/>
      <c r="N426" s="47"/>
      <c r="O426" s="47"/>
      <c r="P426" s="47"/>
      <c r="Q426" s="47"/>
      <c r="R426" s="47"/>
      <c r="S426" s="47"/>
    </row>
    <row r="427">
      <c r="L427" s="183"/>
      <c r="N427" s="47"/>
      <c r="O427" s="47"/>
      <c r="P427" s="47"/>
      <c r="Q427" s="47"/>
      <c r="R427" s="47"/>
      <c r="S427" s="47"/>
    </row>
    <row r="428">
      <c r="L428" s="183"/>
      <c r="N428" s="47"/>
      <c r="O428" s="47"/>
      <c r="P428" s="47"/>
      <c r="Q428" s="47"/>
      <c r="R428" s="47"/>
      <c r="S428" s="47"/>
    </row>
    <row r="429">
      <c r="L429" s="183"/>
      <c r="N429" s="47"/>
      <c r="O429" s="47"/>
      <c r="P429" s="47"/>
      <c r="Q429" s="47"/>
      <c r="R429" s="47"/>
      <c r="S429" s="47"/>
    </row>
    <row r="430">
      <c r="L430" s="183"/>
      <c r="N430" s="47"/>
      <c r="O430" s="47"/>
      <c r="P430" s="47"/>
      <c r="Q430" s="47"/>
      <c r="R430" s="47"/>
      <c r="S430" s="47"/>
    </row>
    <row r="431">
      <c r="L431" s="183"/>
      <c r="N431" s="47"/>
      <c r="O431" s="47"/>
      <c r="P431" s="47"/>
      <c r="Q431" s="47"/>
      <c r="R431" s="47"/>
      <c r="S431" s="47"/>
    </row>
    <row r="432">
      <c r="L432" s="183"/>
      <c r="N432" s="47"/>
      <c r="O432" s="47"/>
      <c r="P432" s="47"/>
      <c r="Q432" s="47"/>
      <c r="R432" s="47"/>
      <c r="S432" s="47"/>
    </row>
    <row r="433">
      <c r="L433" s="183"/>
      <c r="N433" s="47"/>
      <c r="O433" s="47"/>
      <c r="P433" s="47"/>
      <c r="Q433" s="47"/>
      <c r="R433" s="47"/>
      <c r="S433" s="47"/>
    </row>
    <row r="434">
      <c r="L434" s="183"/>
      <c r="N434" s="47"/>
      <c r="O434" s="47"/>
      <c r="P434" s="47"/>
      <c r="Q434" s="47"/>
      <c r="R434" s="47"/>
      <c r="S434" s="47"/>
    </row>
    <row r="435">
      <c r="L435" s="183"/>
      <c r="N435" s="47"/>
      <c r="O435" s="47"/>
      <c r="P435" s="47"/>
      <c r="Q435" s="47"/>
      <c r="R435" s="47"/>
      <c r="S435" s="47"/>
    </row>
    <row r="436">
      <c r="L436" s="183"/>
      <c r="N436" s="47"/>
      <c r="O436" s="47"/>
      <c r="P436" s="47"/>
      <c r="Q436" s="47"/>
      <c r="R436" s="47"/>
      <c r="S436" s="47"/>
    </row>
    <row r="437">
      <c r="L437" s="183"/>
      <c r="N437" s="47"/>
      <c r="O437" s="47"/>
      <c r="P437" s="47"/>
      <c r="Q437" s="47"/>
      <c r="R437" s="47"/>
      <c r="S437" s="47"/>
    </row>
    <row r="438">
      <c r="L438" s="183"/>
      <c r="N438" s="47"/>
      <c r="O438" s="47"/>
      <c r="P438" s="47"/>
      <c r="Q438" s="47"/>
      <c r="R438" s="47"/>
      <c r="S438" s="47"/>
    </row>
    <row r="439">
      <c r="L439" s="183"/>
      <c r="N439" s="47"/>
      <c r="O439" s="47"/>
      <c r="P439" s="47"/>
      <c r="Q439" s="47"/>
      <c r="R439" s="47"/>
      <c r="S439" s="47"/>
    </row>
    <row r="440">
      <c r="L440" s="183"/>
      <c r="N440" s="47"/>
      <c r="O440" s="47"/>
      <c r="P440" s="47"/>
      <c r="Q440" s="47"/>
      <c r="R440" s="47"/>
      <c r="S440" s="47"/>
    </row>
    <row r="441">
      <c r="L441" s="183"/>
      <c r="N441" s="47"/>
      <c r="O441" s="47"/>
      <c r="P441" s="47"/>
      <c r="Q441" s="47"/>
      <c r="R441" s="47"/>
      <c r="S441" s="47"/>
    </row>
    <row r="442">
      <c r="L442" s="183"/>
      <c r="N442" s="47"/>
      <c r="O442" s="47"/>
      <c r="P442" s="47"/>
      <c r="Q442" s="47"/>
      <c r="R442" s="47"/>
      <c r="S442" s="47"/>
    </row>
    <row r="443">
      <c r="L443" s="183"/>
      <c r="N443" s="47"/>
      <c r="O443" s="47"/>
      <c r="P443" s="47"/>
      <c r="Q443" s="47"/>
      <c r="R443" s="47"/>
      <c r="S443" s="47"/>
    </row>
    <row r="444">
      <c r="L444" s="183"/>
      <c r="N444" s="47"/>
      <c r="O444" s="47"/>
      <c r="P444" s="47"/>
      <c r="Q444" s="47"/>
      <c r="R444" s="47"/>
      <c r="S444" s="47"/>
    </row>
    <row r="445">
      <c r="L445" s="183"/>
      <c r="N445" s="47"/>
      <c r="O445" s="47"/>
      <c r="P445" s="47"/>
      <c r="Q445" s="47"/>
      <c r="R445" s="47"/>
      <c r="S445" s="47"/>
    </row>
    <row r="446">
      <c r="L446" s="183"/>
      <c r="N446" s="47"/>
      <c r="O446" s="47"/>
      <c r="P446" s="47"/>
      <c r="Q446" s="47"/>
      <c r="R446" s="47"/>
      <c r="S446" s="47"/>
    </row>
    <row r="447">
      <c r="L447" s="183"/>
      <c r="N447" s="47"/>
      <c r="O447" s="47"/>
      <c r="P447" s="47"/>
      <c r="Q447" s="47"/>
      <c r="R447" s="47"/>
      <c r="S447" s="47"/>
    </row>
    <row r="448">
      <c r="L448" s="183"/>
      <c r="N448" s="47"/>
      <c r="O448" s="47"/>
      <c r="P448" s="47"/>
      <c r="Q448" s="47"/>
      <c r="R448" s="47"/>
      <c r="S448" s="47"/>
    </row>
    <row r="449">
      <c r="L449" s="183"/>
      <c r="N449" s="47"/>
      <c r="O449" s="47"/>
      <c r="P449" s="47"/>
      <c r="Q449" s="47"/>
      <c r="R449" s="47"/>
      <c r="S449" s="47"/>
    </row>
    <row r="450">
      <c r="L450" s="183"/>
      <c r="N450" s="47"/>
      <c r="O450" s="47"/>
      <c r="P450" s="47"/>
      <c r="Q450" s="47"/>
      <c r="R450" s="47"/>
      <c r="S450" s="47"/>
    </row>
    <row r="451">
      <c r="L451" s="183"/>
      <c r="N451" s="47"/>
      <c r="O451" s="47"/>
      <c r="P451" s="47"/>
      <c r="Q451" s="47"/>
      <c r="R451" s="47"/>
      <c r="S451" s="47"/>
    </row>
    <row r="452">
      <c r="L452" s="183"/>
      <c r="N452" s="47"/>
      <c r="O452" s="47"/>
      <c r="P452" s="47"/>
      <c r="Q452" s="47"/>
      <c r="R452" s="47"/>
      <c r="S452" s="47"/>
    </row>
    <row r="453">
      <c r="L453" s="183"/>
      <c r="N453" s="47"/>
      <c r="O453" s="47"/>
      <c r="P453" s="47"/>
      <c r="Q453" s="47"/>
      <c r="R453" s="47"/>
      <c r="S453" s="47"/>
    </row>
    <row r="454">
      <c r="L454" s="183"/>
      <c r="N454" s="47"/>
      <c r="O454" s="47"/>
      <c r="P454" s="47"/>
      <c r="Q454" s="47"/>
      <c r="R454" s="47"/>
      <c r="S454" s="47"/>
    </row>
    <row r="455">
      <c r="L455" s="183"/>
      <c r="N455" s="47"/>
      <c r="O455" s="47"/>
      <c r="P455" s="47"/>
      <c r="Q455" s="47"/>
      <c r="R455" s="47"/>
      <c r="S455" s="47"/>
    </row>
    <row r="456">
      <c r="L456" s="183"/>
      <c r="N456" s="47"/>
      <c r="O456" s="47"/>
      <c r="P456" s="47"/>
      <c r="Q456" s="47"/>
      <c r="R456" s="47"/>
      <c r="S456" s="47"/>
    </row>
    <row r="457">
      <c r="L457" s="183"/>
      <c r="N457" s="47"/>
      <c r="O457" s="47"/>
      <c r="P457" s="47"/>
      <c r="Q457" s="47"/>
      <c r="R457" s="47"/>
      <c r="S457" s="47"/>
    </row>
    <row r="458">
      <c r="L458" s="183"/>
      <c r="N458" s="47"/>
      <c r="O458" s="47"/>
      <c r="P458" s="47"/>
      <c r="Q458" s="47"/>
      <c r="R458" s="47"/>
      <c r="S458" s="47"/>
    </row>
    <row r="459">
      <c r="L459" s="183"/>
      <c r="N459" s="47"/>
      <c r="O459" s="47"/>
      <c r="P459" s="47"/>
      <c r="Q459" s="47"/>
      <c r="R459" s="47"/>
      <c r="S459" s="47"/>
    </row>
    <row r="460">
      <c r="L460" s="183"/>
      <c r="N460" s="47"/>
      <c r="O460" s="47"/>
      <c r="P460" s="47"/>
      <c r="Q460" s="47"/>
      <c r="R460" s="47"/>
      <c r="S460" s="47"/>
    </row>
    <row r="461">
      <c r="L461" s="183"/>
      <c r="N461" s="47"/>
      <c r="O461" s="47"/>
      <c r="P461" s="47"/>
      <c r="Q461" s="47"/>
      <c r="R461" s="47"/>
      <c r="S461" s="47"/>
    </row>
    <row r="462">
      <c r="L462" s="183"/>
      <c r="N462" s="47"/>
      <c r="O462" s="47"/>
      <c r="P462" s="47"/>
      <c r="Q462" s="47"/>
      <c r="R462" s="47"/>
      <c r="S462" s="47"/>
    </row>
    <row r="463">
      <c r="L463" s="183"/>
      <c r="N463" s="47"/>
      <c r="O463" s="47"/>
      <c r="P463" s="47"/>
      <c r="Q463" s="47"/>
      <c r="R463" s="47"/>
      <c r="S463" s="47"/>
    </row>
    <row r="464">
      <c r="L464" s="183"/>
      <c r="N464" s="47"/>
      <c r="O464" s="47"/>
      <c r="P464" s="47"/>
      <c r="Q464" s="47"/>
      <c r="R464" s="47"/>
      <c r="S464" s="47"/>
    </row>
    <row r="465">
      <c r="L465" s="183"/>
      <c r="N465" s="47"/>
      <c r="O465" s="47"/>
      <c r="P465" s="47"/>
      <c r="Q465" s="47"/>
      <c r="R465" s="47"/>
      <c r="S465" s="47"/>
    </row>
    <row r="466">
      <c r="L466" s="183"/>
      <c r="N466" s="47"/>
      <c r="O466" s="47"/>
      <c r="P466" s="47"/>
      <c r="Q466" s="47"/>
      <c r="R466" s="47"/>
      <c r="S466" s="47"/>
    </row>
    <row r="467">
      <c r="L467" s="183"/>
      <c r="N467" s="47"/>
      <c r="O467" s="47"/>
      <c r="P467" s="47"/>
      <c r="Q467" s="47"/>
      <c r="R467" s="47"/>
      <c r="S467" s="47"/>
    </row>
    <row r="468">
      <c r="L468" s="183"/>
      <c r="N468" s="47"/>
      <c r="O468" s="47"/>
      <c r="P468" s="47"/>
      <c r="Q468" s="47"/>
      <c r="R468" s="47"/>
      <c r="S468" s="47"/>
    </row>
    <row r="469">
      <c r="L469" s="183"/>
      <c r="N469" s="47"/>
      <c r="O469" s="47"/>
      <c r="P469" s="47"/>
      <c r="Q469" s="47"/>
      <c r="R469" s="47"/>
      <c r="S469" s="47"/>
    </row>
    <row r="470">
      <c r="L470" s="183"/>
      <c r="N470" s="47"/>
      <c r="O470" s="47"/>
      <c r="P470" s="47"/>
      <c r="Q470" s="47"/>
      <c r="R470" s="47"/>
      <c r="S470" s="47"/>
    </row>
    <row r="471">
      <c r="L471" s="183"/>
      <c r="N471" s="47"/>
      <c r="O471" s="47"/>
      <c r="P471" s="47"/>
      <c r="Q471" s="47"/>
      <c r="R471" s="47"/>
      <c r="S471" s="47"/>
    </row>
    <row r="472">
      <c r="L472" s="183"/>
      <c r="N472" s="47"/>
      <c r="O472" s="47"/>
      <c r="P472" s="47"/>
      <c r="Q472" s="47"/>
      <c r="R472" s="47"/>
      <c r="S472" s="47"/>
    </row>
    <row r="473">
      <c r="L473" s="183"/>
      <c r="N473" s="47"/>
      <c r="O473" s="47"/>
      <c r="P473" s="47"/>
      <c r="Q473" s="47"/>
      <c r="R473" s="47"/>
      <c r="S473" s="47"/>
    </row>
    <row r="474">
      <c r="L474" s="183"/>
      <c r="N474" s="47"/>
      <c r="O474" s="47"/>
      <c r="P474" s="47"/>
      <c r="Q474" s="47"/>
      <c r="R474" s="47"/>
      <c r="S474" s="47"/>
    </row>
    <row r="475">
      <c r="L475" s="183"/>
      <c r="N475" s="47"/>
      <c r="O475" s="47"/>
      <c r="P475" s="47"/>
      <c r="Q475" s="47"/>
      <c r="R475" s="47"/>
      <c r="S475" s="47"/>
    </row>
    <row r="476">
      <c r="L476" s="183"/>
      <c r="N476" s="47"/>
      <c r="O476" s="47"/>
      <c r="P476" s="47"/>
      <c r="Q476" s="47"/>
      <c r="R476" s="47"/>
      <c r="S476" s="47"/>
    </row>
    <row r="477">
      <c r="L477" s="183"/>
      <c r="N477" s="47"/>
      <c r="O477" s="47"/>
      <c r="P477" s="47"/>
      <c r="Q477" s="47"/>
      <c r="R477" s="47"/>
      <c r="S477" s="47"/>
    </row>
    <row r="478">
      <c r="L478" s="183"/>
      <c r="N478" s="47"/>
      <c r="O478" s="47"/>
      <c r="P478" s="47"/>
      <c r="Q478" s="47"/>
      <c r="R478" s="47"/>
      <c r="S478" s="47"/>
    </row>
    <row r="479">
      <c r="L479" s="183"/>
      <c r="N479" s="47"/>
      <c r="O479" s="47"/>
      <c r="P479" s="47"/>
      <c r="Q479" s="47"/>
      <c r="R479" s="47"/>
      <c r="S479" s="47"/>
    </row>
    <row r="480">
      <c r="L480" s="183"/>
      <c r="N480" s="47"/>
      <c r="O480" s="47"/>
      <c r="P480" s="47"/>
      <c r="Q480" s="47"/>
      <c r="R480" s="47"/>
      <c r="S480" s="47"/>
    </row>
    <row r="481">
      <c r="L481" s="183"/>
      <c r="N481" s="47"/>
      <c r="O481" s="47"/>
      <c r="P481" s="47"/>
      <c r="Q481" s="47"/>
      <c r="R481" s="47"/>
      <c r="S481" s="47"/>
    </row>
    <row r="482">
      <c r="L482" s="183"/>
      <c r="N482" s="47"/>
      <c r="O482" s="47"/>
      <c r="P482" s="47"/>
      <c r="Q482" s="47"/>
      <c r="R482" s="47"/>
      <c r="S482" s="47"/>
    </row>
    <row r="483">
      <c r="L483" s="183"/>
      <c r="N483" s="47"/>
      <c r="O483" s="47"/>
      <c r="P483" s="47"/>
      <c r="Q483" s="47"/>
      <c r="R483" s="47"/>
      <c r="S483" s="47"/>
    </row>
    <row r="484">
      <c r="L484" s="183"/>
      <c r="N484" s="47"/>
      <c r="O484" s="47"/>
      <c r="P484" s="47"/>
      <c r="Q484" s="47"/>
      <c r="R484" s="47"/>
      <c r="S484" s="47"/>
    </row>
    <row r="485">
      <c r="L485" s="183"/>
      <c r="N485" s="47"/>
      <c r="O485" s="47"/>
      <c r="P485" s="47"/>
      <c r="Q485" s="47"/>
      <c r="R485" s="47"/>
      <c r="S485" s="47"/>
    </row>
    <row r="486">
      <c r="L486" s="183"/>
      <c r="N486" s="47"/>
      <c r="O486" s="47"/>
      <c r="P486" s="47"/>
      <c r="Q486" s="47"/>
      <c r="R486" s="47"/>
      <c r="S486" s="47"/>
    </row>
    <row r="487">
      <c r="L487" s="183"/>
      <c r="N487" s="47"/>
      <c r="O487" s="47"/>
      <c r="P487" s="47"/>
      <c r="Q487" s="47"/>
      <c r="R487" s="47"/>
      <c r="S487" s="47"/>
    </row>
    <row r="488">
      <c r="L488" s="183"/>
      <c r="N488" s="47"/>
      <c r="O488" s="47"/>
      <c r="P488" s="47"/>
      <c r="Q488" s="47"/>
      <c r="R488" s="47"/>
      <c r="S488" s="47"/>
    </row>
    <row r="489">
      <c r="L489" s="183"/>
      <c r="N489" s="47"/>
      <c r="O489" s="47"/>
      <c r="P489" s="47"/>
      <c r="Q489" s="47"/>
      <c r="R489" s="47"/>
      <c r="S489" s="47"/>
    </row>
    <row r="490">
      <c r="L490" s="183"/>
      <c r="N490" s="47"/>
      <c r="O490" s="47"/>
      <c r="P490" s="47"/>
      <c r="Q490" s="47"/>
      <c r="R490" s="47"/>
      <c r="S490" s="47"/>
    </row>
    <row r="491">
      <c r="L491" s="183"/>
      <c r="N491" s="47"/>
      <c r="O491" s="47"/>
      <c r="P491" s="47"/>
      <c r="Q491" s="47"/>
      <c r="R491" s="47"/>
      <c r="S491" s="47"/>
    </row>
    <row r="492">
      <c r="L492" s="183"/>
      <c r="N492" s="47"/>
      <c r="O492" s="47"/>
      <c r="P492" s="47"/>
      <c r="Q492" s="47"/>
      <c r="R492" s="47"/>
      <c r="S492" s="47"/>
    </row>
    <row r="493">
      <c r="L493" s="183"/>
      <c r="N493" s="47"/>
      <c r="O493" s="47"/>
      <c r="P493" s="47"/>
      <c r="Q493" s="47"/>
      <c r="R493" s="47"/>
      <c r="S493" s="47"/>
    </row>
    <row r="494">
      <c r="L494" s="183"/>
      <c r="N494" s="47"/>
      <c r="O494" s="47"/>
      <c r="P494" s="47"/>
      <c r="Q494" s="47"/>
      <c r="R494" s="47"/>
      <c r="S494" s="47"/>
    </row>
    <row r="495">
      <c r="L495" s="183"/>
      <c r="N495" s="47"/>
      <c r="O495" s="47"/>
      <c r="P495" s="47"/>
      <c r="Q495" s="47"/>
      <c r="R495" s="47"/>
      <c r="S495" s="47"/>
    </row>
    <row r="496">
      <c r="L496" s="183"/>
      <c r="N496" s="47"/>
      <c r="O496" s="47"/>
      <c r="P496" s="47"/>
      <c r="Q496" s="47"/>
      <c r="R496" s="47"/>
      <c r="S496" s="47"/>
    </row>
    <row r="497">
      <c r="L497" s="183"/>
      <c r="N497" s="47"/>
      <c r="O497" s="47"/>
      <c r="P497" s="47"/>
      <c r="Q497" s="47"/>
      <c r="R497" s="47"/>
      <c r="S497" s="47"/>
    </row>
    <row r="498">
      <c r="L498" s="183"/>
      <c r="N498" s="47"/>
      <c r="O498" s="47"/>
      <c r="P498" s="47"/>
      <c r="Q498" s="47"/>
      <c r="R498" s="47"/>
      <c r="S498" s="47"/>
    </row>
    <row r="499">
      <c r="L499" s="183"/>
      <c r="N499" s="47"/>
      <c r="O499" s="47"/>
      <c r="P499" s="47"/>
      <c r="Q499" s="47"/>
      <c r="R499" s="47"/>
      <c r="S499" s="47"/>
    </row>
    <row r="500">
      <c r="L500" s="183"/>
      <c r="N500" s="47"/>
      <c r="O500" s="47"/>
      <c r="P500" s="47"/>
      <c r="Q500" s="47"/>
      <c r="R500" s="47"/>
      <c r="S500" s="47"/>
    </row>
    <row r="501">
      <c r="L501" s="183"/>
      <c r="N501" s="47"/>
      <c r="O501" s="47"/>
      <c r="P501" s="47"/>
      <c r="Q501" s="47"/>
      <c r="R501" s="47"/>
      <c r="S501" s="47"/>
    </row>
    <row r="502">
      <c r="L502" s="183"/>
      <c r="N502" s="47"/>
      <c r="O502" s="47"/>
      <c r="P502" s="47"/>
      <c r="Q502" s="47"/>
      <c r="R502" s="47"/>
      <c r="S502" s="47"/>
    </row>
    <row r="503">
      <c r="L503" s="183"/>
      <c r="N503" s="47"/>
      <c r="O503" s="47"/>
      <c r="P503" s="47"/>
      <c r="Q503" s="47"/>
      <c r="R503" s="47"/>
      <c r="S503" s="47"/>
    </row>
    <row r="504">
      <c r="L504" s="183"/>
      <c r="N504" s="47"/>
      <c r="O504" s="47"/>
      <c r="P504" s="47"/>
      <c r="Q504" s="47"/>
      <c r="R504" s="47"/>
      <c r="S504" s="47"/>
    </row>
    <row r="505">
      <c r="L505" s="183"/>
      <c r="N505" s="47"/>
      <c r="O505" s="47"/>
      <c r="P505" s="47"/>
      <c r="Q505" s="47"/>
      <c r="R505" s="47"/>
      <c r="S505" s="47"/>
    </row>
    <row r="506">
      <c r="L506" s="183"/>
      <c r="N506" s="47"/>
      <c r="O506" s="47"/>
      <c r="P506" s="47"/>
      <c r="Q506" s="47"/>
      <c r="R506" s="47"/>
      <c r="S506" s="47"/>
    </row>
    <row r="507">
      <c r="L507" s="183"/>
      <c r="N507" s="47"/>
      <c r="O507" s="47"/>
      <c r="P507" s="47"/>
      <c r="Q507" s="47"/>
      <c r="R507" s="47"/>
      <c r="S507" s="47"/>
    </row>
    <row r="508">
      <c r="L508" s="183"/>
      <c r="N508" s="47"/>
      <c r="O508" s="47"/>
      <c r="P508" s="47"/>
      <c r="Q508" s="47"/>
      <c r="R508" s="47"/>
      <c r="S508" s="47"/>
    </row>
    <row r="509">
      <c r="L509" s="183"/>
      <c r="N509" s="47"/>
      <c r="O509" s="47"/>
      <c r="P509" s="47"/>
      <c r="Q509" s="47"/>
      <c r="R509" s="47"/>
      <c r="S509" s="47"/>
    </row>
    <row r="510">
      <c r="L510" s="183"/>
      <c r="N510" s="47"/>
      <c r="O510" s="47"/>
      <c r="P510" s="47"/>
      <c r="Q510" s="47"/>
      <c r="R510" s="47"/>
      <c r="S510" s="47"/>
    </row>
    <row r="511">
      <c r="L511" s="183"/>
      <c r="N511" s="47"/>
      <c r="O511" s="47"/>
      <c r="P511" s="47"/>
      <c r="Q511" s="47"/>
      <c r="R511" s="47"/>
      <c r="S511" s="47"/>
    </row>
    <row r="512">
      <c r="L512" s="183"/>
      <c r="N512" s="47"/>
      <c r="O512" s="47"/>
      <c r="P512" s="47"/>
      <c r="Q512" s="47"/>
      <c r="R512" s="47"/>
      <c r="S512" s="47"/>
    </row>
    <row r="513">
      <c r="L513" s="183"/>
      <c r="N513" s="47"/>
      <c r="O513" s="47"/>
      <c r="P513" s="47"/>
      <c r="Q513" s="47"/>
      <c r="R513" s="47"/>
      <c r="S513" s="47"/>
    </row>
    <row r="514">
      <c r="L514" s="183"/>
      <c r="N514" s="47"/>
      <c r="O514" s="47"/>
      <c r="P514" s="47"/>
      <c r="Q514" s="47"/>
      <c r="R514" s="47"/>
      <c r="S514" s="47"/>
    </row>
    <row r="515">
      <c r="L515" s="183"/>
      <c r="N515" s="47"/>
      <c r="O515" s="47"/>
      <c r="P515" s="47"/>
      <c r="Q515" s="47"/>
      <c r="R515" s="47"/>
      <c r="S515" s="47"/>
    </row>
    <row r="516">
      <c r="L516" s="183"/>
      <c r="N516" s="47"/>
      <c r="O516" s="47"/>
      <c r="P516" s="47"/>
      <c r="Q516" s="47"/>
      <c r="R516" s="47"/>
      <c r="S516" s="47"/>
    </row>
    <row r="517">
      <c r="L517" s="183"/>
      <c r="N517" s="47"/>
      <c r="O517" s="47"/>
      <c r="P517" s="47"/>
      <c r="Q517" s="47"/>
      <c r="R517" s="47"/>
      <c r="S517" s="47"/>
    </row>
    <row r="518">
      <c r="L518" s="183"/>
      <c r="N518" s="47"/>
      <c r="O518" s="47"/>
      <c r="P518" s="47"/>
      <c r="Q518" s="47"/>
      <c r="R518" s="47"/>
      <c r="S518" s="47"/>
    </row>
    <row r="519">
      <c r="L519" s="183"/>
      <c r="N519" s="47"/>
      <c r="O519" s="47"/>
      <c r="P519" s="47"/>
      <c r="Q519" s="47"/>
      <c r="R519" s="47"/>
      <c r="S519" s="47"/>
    </row>
    <row r="520">
      <c r="L520" s="183"/>
      <c r="N520" s="47"/>
      <c r="O520" s="47"/>
      <c r="P520" s="47"/>
      <c r="Q520" s="47"/>
      <c r="R520" s="47"/>
      <c r="S520" s="47"/>
    </row>
    <row r="521">
      <c r="L521" s="183"/>
      <c r="N521" s="47"/>
      <c r="O521" s="47"/>
      <c r="P521" s="47"/>
      <c r="Q521" s="47"/>
      <c r="R521" s="47"/>
      <c r="S521" s="47"/>
    </row>
    <row r="522">
      <c r="L522" s="183"/>
      <c r="N522" s="47"/>
      <c r="O522" s="47"/>
      <c r="P522" s="47"/>
      <c r="Q522" s="47"/>
      <c r="R522" s="47"/>
      <c r="S522" s="47"/>
    </row>
    <row r="523">
      <c r="L523" s="183"/>
      <c r="N523" s="47"/>
      <c r="O523" s="47"/>
      <c r="P523" s="47"/>
      <c r="Q523" s="47"/>
      <c r="R523" s="47"/>
      <c r="S523" s="47"/>
    </row>
    <row r="524">
      <c r="L524" s="183"/>
      <c r="N524" s="47"/>
      <c r="O524" s="47"/>
      <c r="P524" s="47"/>
      <c r="Q524" s="47"/>
      <c r="R524" s="47"/>
      <c r="S524" s="47"/>
    </row>
    <row r="525">
      <c r="L525" s="183"/>
      <c r="N525" s="47"/>
      <c r="O525" s="47"/>
      <c r="P525" s="47"/>
      <c r="Q525" s="47"/>
      <c r="R525" s="47"/>
      <c r="S525" s="47"/>
    </row>
    <row r="526">
      <c r="L526" s="183"/>
      <c r="N526" s="47"/>
      <c r="O526" s="47"/>
      <c r="P526" s="47"/>
      <c r="Q526" s="47"/>
      <c r="R526" s="47"/>
      <c r="S526" s="47"/>
    </row>
    <row r="527">
      <c r="L527" s="183"/>
      <c r="N527" s="47"/>
      <c r="O527" s="47"/>
      <c r="P527" s="47"/>
      <c r="Q527" s="47"/>
      <c r="R527" s="47"/>
      <c r="S527" s="47"/>
    </row>
    <row r="528">
      <c r="L528" s="183"/>
      <c r="N528" s="47"/>
      <c r="O528" s="47"/>
      <c r="P528" s="47"/>
      <c r="Q528" s="47"/>
      <c r="R528" s="47"/>
      <c r="S528" s="47"/>
    </row>
    <row r="529">
      <c r="L529" s="183"/>
      <c r="N529" s="47"/>
      <c r="O529" s="47"/>
      <c r="P529" s="47"/>
      <c r="Q529" s="47"/>
      <c r="R529" s="47"/>
      <c r="S529" s="47"/>
    </row>
    <row r="530">
      <c r="L530" s="183"/>
      <c r="N530" s="47"/>
      <c r="O530" s="47"/>
      <c r="P530" s="47"/>
      <c r="Q530" s="47"/>
      <c r="R530" s="47"/>
      <c r="S530" s="47"/>
    </row>
    <row r="531">
      <c r="L531" s="183"/>
      <c r="N531" s="47"/>
      <c r="O531" s="47"/>
      <c r="P531" s="47"/>
      <c r="Q531" s="47"/>
      <c r="R531" s="47"/>
      <c r="S531" s="47"/>
    </row>
    <row r="532">
      <c r="L532" s="183"/>
      <c r="N532" s="47"/>
      <c r="O532" s="47"/>
      <c r="P532" s="47"/>
      <c r="Q532" s="47"/>
      <c r="R532" s="47"/>
      <c r="S532" s="47"/>
    </row>
    <row r="533">
      <c r="L533" s="183"/>
      <c r="N533" s="47"/>
      <c r="O533" s="47"/>
      <c r="P533" s="47"/>
      <c r="Q533" s="47"/>
      <c r="R533" s="47"/>
      <c r="S533" s="47"/>
    </row>
    <row r="534">
      <c r="L534" s="183"/>
      <c r="N534" s="47"/>
      <c r="O534" s="47"/>
      <c r="P534" s="47"/>
      <c r="Q534" s="47"/>
      <c r="R534" s="47"/>
      <c r="S534" s="47"/>
    </row>
    <row r="535">
      <c r="L535" s="183"/>
      <c r="N535" s="47"/>
      <c r="O535" s="47"/>
      <c r="P535" s="47"/>
      <c r="Q535" s="47"/>
      <c r="R535" s="47"/>
      <c r="S535" s="47"/>
    </row>
    <row r="536">
      <c r="L536" s="183"/>
      <c r="N536" s="47"/>
      <c r="O536" s="47"/>
      <c r="P536" s="47"/>
      <c r="Q536" s="47"/>
      <c r="R536" s="47"/>
      <c r="S536" s="47"/>
    </row>
    <row r="537">
      <c r="L537" s="183"/>
      <c r="N537" s="47"/>
      <c r="O537" s="47"/>
      <c r="P537" s="47"/>
      <c r="Q537" s="47"/>
      <c r="R537" s="47"/>
      <c r="S537" s="47"/>
    </row>
    <row r="538">
      <c r="L538" s="183"/>
      <c r="N538" s="47"/>
      <c r="O538" s="47"/>
      <c r="P538" s="47"/>
      <c r="Q538" s="47"/>
      <c r="R538" s="47"/>
      <c r="S538" s="47"/>
    </row>
    <row r="539">
      <c r="L539" s="183"/>
      <c r="N539" s="47"/>
      <c r="O539" s="47"/>
      <c r="P539" s="47"/>
      <c r="Q539" s="47"/>
      <c r="R539" s="47"/>
      <c r="S539" s="47"/>
    </row>
    <row r="540">
      <c r="L540" s="183"/>
      <c r="N540" s="47"/>
      <c r="O540" s="47"/>
      <c r="P540" s="47"/>
      <c r="Q540" s="47"/>
      <c r="R540" s="47"/>
      <c r="S540" s="47"/>
    </row>
    <row r="541">
      <c r="L541" s="183"/>
      <c r="N541" s="47"/>
      <c r="O541" s="47"/>
      <c r="P541" s="47"/>
      <c r="Q541" s="47"/>
      <c r="R541" s="47"/>
      <c r="S541" s="47"/>
    </row>
    <row r="542">
      <c r="L542" s="183"/>
      <c r="N542" s="47"/>
      <c r="O542" s="47"/>
      <c r="P542" s="47"/>
      <c r="Q542" s="47"/>
      <c r="R542" s="47"/>
      <c r="S542" s="47"/>
    </row>
    <row r="543">
      <c r="L543" s="183"/>
      <c r="N543" s="47"/>
      <c r="O543" s="47"/>
      <c r="P543" s="47"/>
      <c r="Q543" s="47"/>
      <c r="R543" s="47"/>
      <c r="S543" s="47"/>
    </row>
    <row r="544">
      <c r="L544" s="183"/>
      <c r="N544" s="47"/>
      <c r="O544" s="47"/>
      <c r="P544" s="47"/>
      <c r="Q544" s="47"/>
      <c r="R544" s="47"/>
      <c r="S544" s="47"/>
    </row>
    <row r="545">
      <c r="L545" s="183"/>
      <c r="N545" s="47"/>
      <c r="O545" s="47"/>
      <c r="P545" s="47"/>
      <c r="Q545" s="47"/>
      <c r="R545" s="47"/>
      <c r="S545" s="47"/>
    </row>
    <row r="546">
      <c r="L546" s="183"/>
      <c r="N546" s="47"/>
      <c r="O546" s="47"/>
      <c r="P546" s="47"/>
      <c r="Q546" s="47"/>
      <c r="R546" s="47"/>
      <c r="S546" s="47"/>
    </row>
    <row r="547">
      <c r="L547" s="183"/>
      <c r="N547" s="47"/>
      <c r="O547" s="47"/>
      <c r="P547" s="47"/>
      <c r="Q547" s="47"/>
      <c r="R547" s="47"/>
      <c r="S547" s="47"/>
    </row>
    <row r="548">
      <c r="L548" s="183"/>
      <c r="N548" s="47"/>
      <c r="O548" s="47"/>
      <c r="P548" s="47"/>
      <c r="Q548" s="47"/>
      <c r="R548" s="47"/>
      <c r="S548" s="47"/>
    </row>
    <row r="549">
      <c r="L549" s="183"/>
      <c r="N549" s="47"/>
      <c r="O549" s="47"/>
      <c r="P549" s="47"/>
      <c r="Q549" s="47"/>
      <c r="R549" s="47"/>
      <c r="S549" s="47"/>
    </row>
    <row r="550">
      <c r="L550" s="183"/>
      <c r="N550" s="47"/>
      <c r="O550" s="47"/>
      <c r="P550" s="47"/>
      <c r="Q550" s="47"/>
      <c r="R550" s="47"/>
      <c r="S550" s="47"/>
    </row>
    <row r="551">
      <c r="L551" s="183"/>
      <c r="N551" s="47"/>
      <c r="O551" s="47"/>
      <c r="P551" s="47"/>
      <c r="Q551" s="47"/>
      <c r="R551" s="47"/>
      <c r="S551" s="47"/>
    </row>
    <row r="552">
      <c r="L552" s="183"/>
      <c r="N552" s="47"/>
      <c r="O552" s="47"/>
      <c r="P552" s="47"/>
      <c r="Q552" s="47"/>
      <c r="R552" s="47"/>
      <c r="S552" s="47"/>
    </row>
    <row r="553">
      <c r="L553" s="183"/>
      <c r="N553" s="47"/>
      <c r="O553" s="47"/>
      <c r="P553" s="47"/>
      <c r="Q553" s="47"/>
      <c r="R553" s="47"/>
      <c r="S553" s="47"/>
    </row>
    <row r="554">
      <c r="L554" s="183"/>
      <c r="N554" s="47"/>
      <c r="O554" s="47"/>
      <c r="P554" s="47"/>
      <c r="Q554" s="47"/>
      <c r="R554" s="47"/>
      <c r="S554" s="47"/>
    </row>
    <row r="555">
      <c r="L555" s="183"/>
      <c r="N555" s="47"/>
      <c r="O555" s="47"/>
      <c r="P555" s="47"/>
      <c r="Q555" s="47"/>
      <c r="R555" s="47"/>
      <c r="S555" s="47"/>
    </row>
    <row r="556">
      <c r="L556" s="183"/>
      <c r="N556" s="47"/>
      <c r="O556" s="47"/>
      <c r="P556" s="47"/>
      <c r="Q556" s="47"/>
      <c r="R556" s="47"/>
      <c r="S556" s="47"/>
    </row>
    <row r="557">
      <c r="L557" s="183"/>
      <c r="N557" s="47"/>
      <c r="O557" s="47"/>
      <c r="P557" s="47"/>
      <c r="Q557" s="47"/>
      <c r="R557" s="47"/>
      <c r="S557" s="47"/>
    </row>
    <row r="558">
      <c r="L558" s="183"/>
      <c r="N558" s="47"/>
      <c r="O558" s="47"/>
      <c r="P558" s="47"/>
      <c r="Q558" s="47"/>
      <c r="R558" s="47"/>
      <c r="S558" s="47"/>
    </row>
    <row r="559">
      <c r="L559" s="183"/>
      <c r="N559" s="47"/>
      <c r="O559" s="47"/>
      <c r="P559" s="47"/>
      <c r="Q559" s="47"/>
      <c r="R559" s="47"/>
      <c r="S559" s="47"/>
    </row>
    <row r="560">
      <c r="L560" s="183"/>
      <c r="N560" s="47"/>
      <c r="O560" s="47"/>
      <c r="P560" s="47"/>
      <c r="Q560" s="47"/>
      <c r="R560" s="47"/>
      <c r="S560" s="47"/>
    </row>
    <row r="561">
      <c r="L561" s="183"/>
      <c r="N561" s="47"/>
      <c r="O561" s="47"/>
      <c r="P561" s="47"/>
      <c r="Q561" s="47"/>
      <c r="R561" s="47"/>
      <c r="S561" s="47"/>
    </row>
    <row r="562">
      <c r="L562" s="183"/>
      <c r="N562" s="47"/>
      <c r="O562" s="47"/>
      <c r="P562" s="47"/>
      <c r="Q562" s="47"/>
      <c r="R562" s="47"/>
      <c r="S562" s="47"/>
    </row>
    <row r="563">
      <c r="L563" s="183"/>
      <c r="N563" s="47"/>
      <c r="O563" s="47"/>
      <c r="P563" s="47"/>
      <c r="Q563" s="47"/>
      <c r="R563" s="47"/>
      <c r="S563" s="47"/>
    </row>
    <row r="564">
      <c r="L564" s="183"/>
      <c r="N564" s="47"/>
      <c r="O564" s="47"/>
      <c r="P564" s="47"/>
      <c r="Q564" s="47"/>
      <c r="R564" s="47"/>
      <c r="S564" s="47"/>
    </row>
    <row r="565">
      <c r="L565" s="183"/>
      <c r="N565" s="47"/>
      <c r="O565" s="47"/>
      <c r="P565" s="47"/>
      <c r="Q565" s="47"/>
      <c r="R565" s="47"/>
      <c r="S565" s="47"/>
    </row>
    <row r="566">
      <c r="L566" s="183"/>
      <c r="N566" s="47"/>
      <c r="O566" s="47"/>
      <c r="P566" s="47"/>
      <c r="Q566" s="47"/>
      <c r="R566" s="47"/>
      <c r="S566" s="47"/>
    </row>
    <row r="567">
      <c r="L567" s="183"/>
      <c r="N567" s="47"/>
      <c r="O567" s="47"/>
      <c r="P567" s="47"/>
      <c r="Q567" s="47"/>
      <c r="R567" s="47"/>
      <c r="S567" s="47"/>
    </row>
    <row r="568">
      <c r="L568" s="183"/>
      <c r="N568" s="47"/>
      <c r="O568" s="47"/>
      <c r="P568" s="47"/>
      <c r="Q568" s="47"/>
      <c r="R568" s="47"/>
      <c r="S568" s="47"/>
    </row>
    <row r="569">
      <c r="L569" s="183"/>
      <c r="N569" s="47"/>
      <c r="O569" s="47"/>
      <c r="P569" s="47"/>
      <c r="Q569" s="47"/>
      <c r="R569" s="47"/>
      <c r="S569" s="47"/>
    </row>
    <row r="570">
      <c r="L570" s="183"/>
      <c r="N570" s="47"/>
      <c r="O570" s="47"/>
      <c r="P570" s="47"/>
      <c r="Q570" s="47"/>
      <c r="R570" s="47"/>
      <c r="S570" s="47"/>
    </row>
    <row r="571">
      <c r="L571" s="183"/>
      <c r="N571" s="47"/>
      <c r="O571" s="47"/>
      <c r="P571" s="47"/>
      <c r="Q571" s="47"/>
      <c r="R571" s="47"/>
      <c r="S571" s="47"/>
    </row>
    <row r="572">
      <c r="L572" s="183"/>
      <c r="N572" s="47"/>
      <c r="O572" s="47"/>
      <c r="P572" s="47"/>
      <c r="Q572" s="47"/>
      <c r="R572" s="47"/>
      <c r="S572" s="47"/>
    </row>
    <row r="573">
      <c r="L573" s="183"/>
      <c r="N573" s="47"/>
      <c r="O573" s="47"/>
      <c r="P573" s="47"/>
      <c r="Q573" s="47"/>
      <c r="R573" s="47"/>
      <c r="S573" s="47"/>
    </row>
    <row r="574">
      <c r="L574" s="183"/>
      <c r="N574" s="47"/>
      <c r="O574" s="47"/>
      <c r="P574" s="47"/>
      <c r="Q574" s="47"/>
      <c r="R574" s="47"/>
      <c r="S574" s="47"/>
    </row>
    <row r="575">
      <c r="L575" s="183"/>
      <c r="N575" s="47"/>
      <c r="O575" s="47"/>
      <c r="P575" s="47"/>
      <c r="Q575" s="47"/>
      <c r="R575" s="47"/>
      <c r="S575" s="47"/>
    </row>
    <row r="576">
      <c r="L576" s="183"/>
      <c r="N576" s="47"/>
      <c r="O576" s="47"/>
      <c r="P576" s="47"/>
      <c r="Q576" s="47"/>
      <c r="R576" s="47"/>
      <c r="S576" s="47"/>
    </row>
    <row r="577">
      <c r="L577" s="183"/>
      <c r="N577" s="47"/>
      <c r="O577" s="47"/>
      <c r="P577" s="47"/>
      <c r="Q577" s="47"/>
      <c r="R577" s="47"/>
      <c r="S577" s="47"/>
    </row>
    <row r="578">
      <c r="L578" s="183"/>
      <c r="N578" s="47"/>
      <c r="O578" s="47"/>
      <c r="P578" s="47"/>
      <c r="Q578" s="47"/>
      <c r="R578" s="47"/>
      <c r="S578" s="47"/>
    </row>
    <row r="579">
      <c r="L579" s="183"/>
      <c r="N579" s="47"/>
      <c r="O579" s="47"/>
      <c r="P579" s="47"/>
      <c r="Q579" s="47"/>
      <c r="R579" s="47"/>
      <c r="S579" s="47"/>
    </row>
    <row r="580">
      <c r="L580" s="183"/>
      <c r="N580" s="47"/>
      <c r="O580" s="47"/>
      <c r="P580" s="47"/>
      <c r="Q580" s="47"/>
      <c r="R580" s="47"/>
      <c r="S580" s="47"/>
    </row>
    <row r="581">
      <c r="L581" s="183"/>
      <c r="N581" s="47"/>
      <c r="O581" s="47"/>
      <c r="P581" s="47"/>
      <c r="Q581" s="47"/>
      <c r="R581" s="47"/>
      <c r="S581" s="47"/>
    </row>
    <row r="582">
      <c r="L582" s="183"/>
      <c r="N582" s="47"/>
      <c r="O582" s="47"/>
      <c r="P582" s="47"/>
      <c r="Q582" s="47"/>
      <c r="R582" s="47"/>
      <c r="S582" s="47"/>
    </row>
    <row r="583">
      <c r="L583" s="183"/>
      <c r="N583" s="47"/>
      <c r="O583" s="47"/>
      <c r="P583" s="47"/>
      <c r="Q583" s="47"/>
      <c r="R583" s="47"/>
      <c r="S583" s="47"/>
    </row>
    <row r="584">
      <c r="L584" s="183"/>
      <c r="N584" s="47"/>
      <c r="O584" s="47"/>
      <c r="P584" s="47"/>
      <c r="Q584" s="47"/>
      <c r="R584" s="47"/>
      <c r="S584" s="47"/>
    </row>
    <row r="585">
      <c r="L585" s="183"/>
      <c r="N585" s="47"/>
      <c r="O585" s="47"/>
      <c r="P585" s="47"/>
      <c r="Q585" s="47"/>
      <c r="R585" s="47"/>
      <c r="S585" s="47"/>
    </row>
    <row r="586">
      <c r="L586" s="183"/>
      <c r="N586" s="47"/>
      <c r="O586" s="47"/>
      <c r="P586" s="47"/>
      <c r="Q586" s="47"/>
      <c r="R586" s="47"/>
      <c r="S586" s="47"/>
    </row>
    <row r="587">
      <c r="L587" s="183"/>
      <c r="N587" s="47"/>
      <c r="O587" s="47"/>
      <c r="P587" s="47"/>
      <c r="Q587" s="47"/>
      <c r="R587" s="47"/>
      <c r="S587" s="47"/>
    </row>
    <row r="588">
      <c r="L588" s="183"/>
      <c r="N588" s="47"/>
      <c r="O588" s="47"/>
      <c r="P588" s="47"/>
      <c r="Q588" s="47"/>
      <c r="R588" s="47"/>
      <c r="S588" s="47"/>
    </row>
    <row r="589">
      <c r="L589" s="183"/>
      <c r="N589" s="47"/>
      <c r="O589" s="47"/>
      <c r="P589" s="47"/>
      <c r="Q589" s="47"/>
      <c r="R589" s="47"/>
      <c r="S589" s="47"/>
    </row>
    <row r="590">
      <c r="L590" s="183"/>
      <c r="N590" s="47"/>
      <c r="O590" s="47"/>
      <c r="P590" s="47"/>
      <c r="Q590" s="47"/>
      <c r="R590" s="47"/>
      <c r="S590" s="47"/>
    </row>
    <row r="591">
      <c r="L591" s="183"/>
      <c r="N591" s="47"/>
      <c r="O591" s="47"/>
      <c r="P591" s="47"/>
      <c r="Q591" s="47"/>
      <c r="R591" s="47"/>
      <c r="S591" s="47"/>
    </row>
    <row r="592">
      <c r="L592" s="183"/>
      <c r="N592" s="47"/>
      <c r="O592" s="47"/>
      <c r="P592" s="47"/>
      <c r="Q592" s="47"/>
      <c r="R592" s="47"/>
      <c r="S592" s="47"/>
    </row>
    <row r="593">
      <c r="L593" s="183"/>
      <c r="N593" s="47"/>
      <c r="O593" s="47"/>
      <c r="P593" s="47"/>
      <c r="Q593" s="47"/>
      <c r="R593" s="47"/>
      <c r="S593" s="47"/>
    </row>
    <row r="594">
      <c r="L594" s="183"/>
      <c r="N594" s="47"/>
      <c r="O594" s="47"/>
      <c r="P594" s="47"/>
      <c r="Q594" s="47"/>
      <c r="R594" s="47"/>
      <c r="S594" s="47"/>
    </row>
    <row r="595">
      <c r="L595" s="183"/>
      <c r="N595" s="47"/>
      <c r="O595" s="47"/>
      <c r="P595" s="47"/>
      <c r="Q595" s="47"/>
      <c r="R595" s="47"/>
      <c r="S595" s="47"/>
    </row>
    <row r="596">
      <c r="L596" s="183"/>
      <c r="N596" s="47"/>
      <c r="O596" s="47"/>
      <c r="P596" s="47"/>
      <c r="Q596" s="47"/>
      <c r="R596" s="47"/>
      <c r="S596" s="47"/>
    </row>
    <row r="597">
      <c r="L597" s="183"/>
      <c r="N597" s="47"/>
      <c r="O597" s="47"/>
      <c r="P597" s="47"/>
      <c r="Q597" s="47"/>
      <c r="R597" s="47"/>
      <c r="S597" s="47"/>
    </row>
    <row r="598">
      <c r="L598" s="183"/>
      <c r="N598" s="47"/>
      <c r="O598" s="47"/>
      <c r="P598" s="47"/>
      <c r="Q598" s="47"/>
      <c r="R598" s="47"/>
      <c r="S598" s="47"/>
    </row>
    <row r="599">
      <c r="L599" s="183"/>
      <c r="N599" s="47"/>
      <c r="O599" s="47"/>
      <c r="P599" s="47"/>
      <c r="Q599" s="47"/>
      <c r="R599" s="47"/>
      <c r="S599" s="47"/>
    </row>
    <row r="600">
      <c r="L600" s="183"/>
      <c r="N600" s="47"/>
      <c r="O600" s="47"/>
      <c r="P600" s="47"/>
      <c r="Q600" s="47"/>
      <c r="R600" s="47"/>
      <c r="S600" s="47"/>
    </row>
    <row r="601">
      <c r="L601" s="183"/>
      <c r="N601" s="47"/>
      <c r="O601" s="47"/>
      <c r="P601" s="47"/>
      <c r="Q601" s="47"/>
      <c r="R601" s="47"/>
      <c r="S601" s="47"/>
    </row>
    <row r="602">
      <c r="L602" s="183"/>
      <c r="N602" s="47"/>
      <c r="O602" s="47"/>
      <c r="P602" s="47"/>
      <c r="Q602" s="47"/>
      <c r="R602" s="47"/>
      <c r="S602" s="47"/>
    </row>
    <row r="603">
      <c r="L603" s="183"/>
      <c r="N603" s="47"/>
      <c r="O603" s="47"/>
      <c r="P603" s="47"/>
      <c r="Q603" s="47"/>
      <c r="R603" s="47"/>
      <c r="S603" s="47"/>
    </row>
    <row r="604">
      <c r="L604" s="183"/>
      <c r="N604" s="47"/>
      <c r="O604" s="47"/>
      <c r="P604" s="47"/>
      <c r="Q604" s="47"/>
      <c r="R604" s="47"/>
      <c r="S604" s="47"/>
    </row>
    <row r="605">
      <c r="L605" s="183"/>
      <c r="N605" s="47"/>
      <c r="O605" s="47"/>
      <c r="P605" s="47"/>
      <c r="Q605" s="47"/>
      <c r="R605" s="47"/>
      <c r="S605" s="47"/>
    </row>
    <row r="606">
      <c r="L606" s="183"/>
      <c r="N606" s="47"/>
      <c r="O606" s="47"/>
      <c r="P606" s="47"/>
      <c r="Q606" s="47"/>
      <c r="R606" s="47"/>
      <c r="S606" s="47"/>
    </row>
    <row r="607">
      <c r="L607" s="183"/>
      <c r="N607" s="47"/>
      <c r="O607" s="47"/>
      <c r="P607" s="47"/>
      <c r="Q607" s="47"/>
      <c r="R607" s="47"/>
      <c r="S607" s="47"/>
    </row>
    <row r="608">
      <c r="L608" s="183"/>
      <c r="N608" s="47"/>
      <c r="O608" s="47"/>
      <c r="P608" s="47"/>
      <c r="Q608" s="47"/>
      <c r="R608" s="47"/>
      <c r="S608" s="47"/>
    </row>
    <row r="609">
      <c r="L609" s="183"/>
      <c r="N609" s="47"/>
      <c r="O609" s="47"/>
      <c r="P609" s="47"/>
      <c r="Q609" s="47"/>
      <c r="R609" s="47"/>
      <c r="S609" s="47"/>
    </row>
    <row r="610">
      <c r="L610" s="183"/>
      <c r="N610" s="47"/>
      <c r="O610" s="47"/>
      <c r="P610" s="47"/>
      <c r="Q610" s="47"/>
      <c r="R610" s="47"/>
      <c r="S610" s="47"/>
    </row>
    <row r="611">
      <c r="L611" s="183"/>
      <c r="N611" s="47"/>
      <c r="O611" s="47"/>
      <c r="P611" s="47"/>
      <c r="Q611" s="47"/>
      <c r="R611" s="47"/>
      <c r="S611" s="47"/>
    </row>
    <row r="612">
      <c r="L612" s="183"/>
      <c r="N612" s="47"/>
      <c r="O612" s="47"/>
      <c r="P612" s="47"/>
      <c r="Q612" s="47"/>
      <c r="R612" s="47"/>
      <c r="S612" s="47"/>
    </row>
    <row r="613">
      <c r="L613" s="183"/>
      <c r="N613" s="47"/>
      <c r="O613" s="47"/>
      <c r="P613" s="47"/>
      <c r="Q613" s="47"/>
      <c r="R613" s="47"/>
      <c r="S613" s="47"/>
    </row>
    <row r="614">
      <c r="L614" s="183"/>
      <c r="N614" s="47"/>
      <c r="O614" s="47"/>
      <c r="P614" s="47"/>
      <c r="Q614" s="47"/>
      <c r="R614" s="47"/>
      <c r="S614" s="47"/>
    </row>
    <row r="615">
      <c r="L615" s="183"/>
      <c r="N615" s="47"/>
      <c r="O615" s="47"/>
      <c r="P615" s="47"/>
      <c r="Q615" s="47"/>
      <c r="R615" s="47"/>
      <c r="S615" s="47"/>
    </row>
    <row r="616">
      <c r="L616" s="183"/>
      <c r="N616" s="47"/>
      <c r="O616" s="47"/>
      <c r="P616" s="47"/>
      <c r="Q616" s="47"/>
      <c r="R616" s="47"/>
      <c r="S616" s="47"/>
    </row>
    <row r="617">
      <c r="L617" s="183"/>
      <c r="N617" s="47"/>
      <c r="O617" s="47"/>
      <c r="P617" s="47"/>
      <c r="Q617" s="47"/>
      <c r="R617" s="47"/>
      <c r="S617" s="47"/>
    </row>
    <row r="618">
      <c r="L618" s="183"/>
      <c r="N618" s="47"/>
      <c r="O618" s="47"/>
      <c r="P618" s="47"/>
      <c r="Q618" s="47"/>
      <c r="R618" s="47"/>
      <c r="S618" s="47"/>
    </row>
    <row r="619">
      <c r="L619" s="183"/>
      <c r="N619" s="47"/>
      <c r="O619" s="47"/>
      <c r="P619" s="47"/>
      <c r="Q619" s="47"/>
      <c r="R619" s="47"/>
      <c r="S619" s="47"/>
    </row>
    <row r="620">
      <c r="L620" s="183"/>
      <c r="N620" s="47"/>
      <c r="O620" s="47"/>
      <c r="P620" s="47"/>
      <c r="Q620" s="47"/>
      <c r="R620" s="47"/>
      <c r="S620" s="47"/>
    </row>
    <row r="621">
      <c r="L621" s="183"/>
      <c r="N621" s="47"/>
      <c r="O621" s="47"/>
      <c r="P621" s="47"/>
      <c r="Q621" s="47"/>
      <c r="R621" s="47"/>
      <c r="S621" s="47"/>
    </row>
    <row r="622">
      <c r="L622" s="183"/>
      <c r="N622" s="47"/>
      <c r="O622" s="47"/>
      <c r="P622" s="47"/>
      <c r="Q622" s="47"/>
      <c r="R622" s="47"/>
      <c r="S622" s="47"/>
    </row>
    <row r="623">
      <c r="L623" s="183"/>
      <c r="N623" s="47"/>
      <c r="O623" s="47"/>
      <c r="P623" s="47"/>
      <c r="Q623" s="47"/>
      <c r="R623" s="47"/>
      <c r="S623" s="47"/>
    </row>
    <row r="624">
      <c r="L624" s="183"/>
      <c r="N624" s="47"/>
      <c r="O624" s="47"/>
      <c r="P624" s="47"/>
      <c r="Q624" s="47"/>
      <c r="R624" s="47"/>
      <c r="S624" s="47"/>
    </row>
    <row r="625">
      <c r="L625" s="183"/>
      <c r="N625" s="47"/>
      <c r="O625" s="47"/>
      <c r="P625" s="47"/>
      <c r="Q625" s="47"/>
      <c r="R625" s="47"/>
      <c r="S625" s="47"/>
    </row>
    <row r="626">
      <c r="L626" s="183"/>
      <c r="N626" s="47"/>
      <c r="O626" s="47"/>
      <c r="P626" s="47"/>
      <c r="Q626" s="47"/>
      <c r="R626" s="47"/>
      <c r="S626" s="47"/>
    </row>
    <row r="627">
      <c r="L627" s="183"/>
      <c r="N627" s="47"/>
      <c r="O627" s="47"/>
      <c r="P627" s="47"/>
      <c r="Q627" s="47"/>
      <c r="R627" s="47"/>
      <c r="S627" s="47"/>
    </row>
    <row r="628">
      <c r="L628" s="183"/>
      <c r="N628" s="47"/>
      <c r="O628" s="47"/>
      <c r="P628" s="47"/>
      <c r="Q628" s="47"/>
      <c r="R628" s="47"/>
      <c r="S628" s="47"/>
    </row>
    <row r="629">
      <c r="L629" s="183"/>
      <c r="N629" s="47"/>
      <c r="O629" s="47"/>
      <c r="P629" s="47"/>
      <c r="Q629" s="47"/>
      <c r="R629" s="47"/>
      <c r="S629" s="47"/>
    </row>
    <row r="630">
      <c r="L630" s="183"/>
      <c r="N630" s="47"/>
      <c r="O630" s="47"/>
      <c r="P630" s="47"/>
      <c r="Q630" s="47"/>
      <c r="R630" s="47"/>
      <c r="S630" s="47"/>
    </row>
    <row r="631">
      <c r="L631" s="183"/>
      <c r="N631" s="47"/>
      <c r="O631" s="47"/>
      <c r="P631" s="47"/>
      <c r="Q631" s="47"/>
      <c r="R631" s="47"/>
      <c r="S631" s="47"/>
    </row>
    <row r="632">
      <c r="L632" s="183"/>
      <c r="N632" s="47"/>
      <c r="O632" s="47"/>
      <c r="P632" s="47"/>
      <c r="Q632" s="47"/>
      <c r="R632" s="47"/>
      <c r="S632" s="47"/>
    </row>
    <row r="633">
      <c r="L633" s="183"/>
      <c r="N633" s="47"/>
      <c r="O633" s="47"/>
      <c r="P633" s="47"/>
      <c r="Q633" s="47"/>
      <c r="R633" s="47"/>
      <c r="S633" s="47"/>
    </row>
    <row r="634">
      <c r="L634" s="183"/>
      <c r="N634" s="47"/>
      <c r="O634" s="47"/>
      <c r="P634" s="47"/>
      <c r="Q634" s="47"/>
      <c r="R634" s="47"/>
      <c r="S634" s="47"/>
    </row>
    <row r="635">
      <c r="L635" s="183"/>
      <c r="N635" s="47"/>
      <c r="O635" s="47"/>
      <c r="P635" s="47"/>
      <c r="Q635" s="47"/>
      <c r="R635" s="47"/>
      <c r="S635" s="47"/>
    </row>
    <row r="636">
      <c r="L636" s="183"/>
      <c r="N636" s="47"/>
      <c r="O636" s="47"/>
      <c r="P636" s="47"/>
      <c r="Q636" s="47"/>
      <c r="R636" s="47"/>
      <c r="S636" s="47"/>
    </row>
    <row r="637">
      <c r="L637" s="183"/>
      <c r="N637" s="47"/>
      <c r="O637" s="47"/>
      <c r="P637" s="47"/>
      <c r="Q637" s="47"/>
      <c r="R637" s="47"/>
      <c r="S637" s="47"/>
    </row>
    <row r="638">
      <c r="L638" s="183"/>
      <c r="N638" s="47"/>
      <c r="O638" s="47"/>
      <c r="P638" s="47"/>
      <c r="Q638" s="47"/>
      <c r="R638" s="47"/>
      <c r="S638" s="47"/>
    </row>
    <row r="639">
      <c r="L639" s="183"/>
      <c r="N639" s="47"/>
      <c r="O639" s="47"/>
      <c r="P639" s="47"/>
      <c r="Q639" s="47"/>
      <c r="R639" s="47"/>
      <c r="S639" s="47"/>
    </row>
    <row r="640">
      <c r="L640" s="183"/>
      <c r="N640" s="47"/>
      <c r="O640" s="47"/>
      <c r="P640" s="47"/>
      <c r="Q640" s="47"/>
      <c r="R640" s="47"/>
      <c r="S640" s="47"/>
    </row>
    <row r="641">
      <c r="L641" s="183"/>
      <c r="N641" s="47"/>
      <c r="O641" s="47"/>
      <c r="P641" s="47"/>
      <c r="Q641" s="47"/>
      <c r="R641" s="47"/>
      <c r="S641" s="47"/>
    </row>
    <row r="642">
      <c r="L642" s="183"/>
      <c r="N642" s="47"/>
      <c r="O642" s="47"/>
      <c r="P642" s="47"/>
      <c r="Q642" s="47"/>
      <c r="R642" s="47"/>
      <c r="S642" s="47"/>
    </row>
    <row r="643">
      <c r="L643" s="183"/>
      <c r="N643" s="47"/>
      <c r="O643" s="47"/>
      <c r="P643" s="47"/>
      <c r="Q643" s="47"/>
      <c r="R643" s="47"/>
      <c r="S643" s="47"/>
    </row>
    <row r="644">
      <c r="L644" s="183"/>
      <c r="N644" s="47"/>
      <c r="O644" s="47"/>
      <c r="P644" s="47"/>
      <c r="Q644" s="47"/>
      <c r="R644" s="47"/>
      <c r="S644" s="47"/>
    </row>
    <row r="645">
      <c r="L645" s="183"/>
      <c r="N645" s="47"/>
      <c r="O645" s="47"/>
      <c r="P645" s="47"/>
      <c r="Q645" s="47"/>
      <c r="R645" s="47"/>
      <c r="S645" s="47"/>
    </row>
    <row r="646">
      <c r="L646" s="183"/>
      <c r="N646" s="47"/>
      <c r="O646" s="47"/>
      <c r="P646" s="47"/>
      <c r="Q646" s="47"/>
      <c r="R646" s="47"/>
      <c r="S646" s="47"/>
    </row>
    <row r="647">
      <c r="L647" s="183"/>
      <c r="N647" s="47"/>
      <c r="O647" s="47"/>
      <c r="P647" s="47"/>
      <c r="Q647" s="47"/>
      <c r="R647" s="47"/>
      <c r="S647" s="47"/>
    </row>
    <row r="648">
      <c r="L648" s="183"/>
      <c r="N648" s="47"/>
      <c r="O648" s="47"/>
      <c r="P648" s="47"/>
      <c r="Q648" s="47"/>
      <c r="R648" s="47"/>
      <c r="S648" s="47"/>
    </row>
    <row r="649">
      <c r="L649" s="183"/>
      <c r="N649" s="47"/>
      <c r="O649" s="47"/>
      <c r="P649" s="47"/>
      <c r="Q649" s="47"/>
      <c r="R649" s="47"/>
      <c r="S649" s="47"/>
    </row>
    <row r="650">
      <c r="L650" s="183"/>
      <c r="N650" s="47"/>
      <c r="O650" s="47"/>
      <c r="P650" s="47"/>
      <c r="Q650" s="47"/>
      <c r="R650" s="47"/>
      <c r="S650" s="47"/>
    </row>
    <row r="651">
      <c r="L651" s="183"/>
      <c r="N651" s="47"/>
      <c r="O651" s="47"/>
      <c r="P651" s="47"/>
      <c r="Q651" s="47"/>
      <c r="R651" s="47"/>
      <c r="S651" s="47"/>
    </row>
    <row r="652">
      <c r="L652" s="183"/>
      <c r="N652" s="47"/>
      <c r="O652" s="47"/>
      <c r="P652" s="47"/>
      <c r="Q652" s="47"/>
      <c r="R652" s="47"/>
      <c r="S652" s="47"/>
    </row>
    <row r="653">
      <c r="L653" s="183"/>
      <c r="N653" s="47"/>
      <c r="O653" s="47"/>
      <c r="P653" s="47"/>
      <c r="Q653" s="47"/>
      <c r="R653" s="47"/>
      <c r="S653" s="47"/>
    </row>
    <row r="654">
      <c r="L654" s="183"/>
      <c r="N654" s="47"/>
      <c r="O654" s="47"/>
      <c r="P654" s="47"/>
      <c r="Q654" s="47"/>
      <c r="R654" s="47"/>
      <c r="S654" s="47"/>
    </row>
    <row r="655">
      <c r="L655" s="183"/>
      <c r="N655" s="47"/>
      <c r="O655" s="47"/>
      <c r="P655" s="47"/>
      <c r="Q655" s="47"/>
      <c r="R655" s="47"/>
      <c r="S655" s="47"/>
    </row>
    <row r="656">
      <c r="L656" s="183"/>
      <c r="N656" s="47"/>
      <c r="O656" s="47"/>
      <c r="P656" s="47"/>
      <c r="Q656" s="47"/>
      <c r="R656" s="47"/>
      <c r="S656" s="47"/>
    </row>
    <row r="657">
      <c r="L657" s="183"/>
      <c r="N657" s="47"/>
      <c r="O657" s="47"/>
      <c r="P657" s="47"/>
      <c r="Q657" s="47"/>
      <c r="R657" s="47"/>
      <c r="S657" s="47"/>
    </row>
    <row r="658">
      <c r="L658" s="183"/>
      <c r="N658" s="47"/>
      <c r="O658" s="47"/>
      <c r="P658" s="47"/>
      <c r="Q658" s="47"/>
      <c r="R658" s="47"/>
      <c r="S658" s="47"/>
    </row>
    <row r="659">
      <c r="L659" s="183"/>
      <c r="N659" s="47"/>
      <c r="O659" s="47"/>
      <c r="P659" s="47"/>
      <c r="Q659" s="47"/>
      <c r="R659" s="47"/>
      <c r="S659" s="47"/>
    </row>
    <row r="660">
      <c r="L660" s="183"/>
      <c r="N660" s="47"/>
      <c r="O660" s="47"/>
      <c r="P660" s="47"/>
      <c r="Q660" s="47"/>
      <c r="R660" s="47"/>
      <c r="S660" s="47"/>
    </row>
    <row r="661">
      <c r="L661" s="183"/>
      <c r="N661" s="47"/>
      <c r="O661" s="47"/>
      <c r="P661" s="47"/>
      <c r="Q661" s="47"/>
      <c r="R661" s="47"/>
      <c r="S661" s="47"/>
    </row>
    <row r="662">
      <c r="L662" s="183"/>
      <c r="N662" s="47"/>
      <c r="O662" s="47"/>
      <c r="P662" s="47"/>
      <c r="Q662" s="47"/>
      <c r="R662" s="47"/>
      <c r="S662" s="47"/>
    </row>
    <row r="663">
      <c r="L663" s="183"/>
      <c r="N663" s="47"/>
      <c r="O663" s="47"/>
      <c r="P663" s="47"/>
      <c r="Q663" s="47"/>
      <c r="R663" s="47"/>
      <c r="S663" s="47"/>
    </row>
    <row r="664">
      <c r="L664" s="183"/>
      <c r="N664" s="47"/>
      <c r="O664" s="47"/>
      <c r="P664" s="47"/>
      <c r="Q664" s="47"/>
      <c r="R664" s="47"/>
      <c r="S664" s="47"/>
    </row>
    <row r="665">
      <c r="L665" s="183"/>
      <c r="N665" s="47"/>
      <c r="O665" s="47"/>
      <c r="P665" s="47"/>
      <c r="Q665" s="47"/>
      <c r="R665" s="47"/>
      <c r="S665" s="47"/>
    </row>
    <row r="666">
      <c r="L666" s="183"/>
      <c r="N666" s="47"/>
      <c r="O666" s="47"/>
      <c r="P666" s="47"/>
      <c r="Q666" s="47"/>
      <c r="R666" s="47"/>
      <c r="S666" s="47"/>
    </row>
    <row r="667">
      <c r="L667" s="183"/>
      <c r="N667" s="47"/>
      <c r="O667" s="47"/>
      <c r="P667" s="47"/>
      <c r="Q667" s="47"/>
      <c r="R667" s="47"/>
      <c r="S667" s="47"/>
    </row>
    <row r="668">
      <c r="L668" s="183"/>
      <c r="N668" s="47"/>
      <c r="O668" s="47"/>
      <c r="P668" s="47"/>
      <c r="Q668" s="47"/>
      <c r="R668" s="47"/>
      <c r="S668" s="47"/>
    </row>
    <row r="669">
      <c r="L669" s="183"/>
      <c r="N669" s="47"/>
      <c r="O669" s="47"/>
      <c r="P669" s="47"/>
      <c r="Q669" s="47"/>
      <c r="R669" s="47"/>
      <c r="S669" s="47"/>
    </row>
    <row r="670">
      <c r="L670" s="183"/>
      <c r="N670" s="47"/>
      <c r="O670" s="47"/>
      <c r="P670" s="47"/>
      <c r="Q670" s="47"/>
      <c r="R670" s="47"/>
      <c r="S670" s="47"/>
    </row>
    <row r="671">
      <c r="L671" s="183"/>
      <c r="N671" s="47"/>
      <c r="O671" s="47"/>
      <c r="P671" s="47"/>
      <c r="Q671" s="47"/>
      <c r="R671" s="47"/>
      <c r="S671" s="47"/>
    </row>
    <row r="672">
      <c r="L672" s="183"/>
      <c r="N672" s="47"/>
      <c r="O672" s="47"/>
      <c r="P672" s="47"/>
      <c r="Q672" s="47"/>
      <c r="R672" s="47"/>
      <c r="S672" s="47"/>
    </row>
    <row r="673">
      <c r="L673" s="183"/>
      <c r="N673" s="47"/>
      <c r="O673" s="47"/>
      <c r="P673" s="47"/>
      <c r="Q673" s="47"/>
      <c r="R673" s="47"/>
      <c r="S673" s="47"/>
    </row>
    <row r="674">
      <c r="L674" s="183"/>
      <c r="N674" s="47"/>
      <c r="O674" s="47"/>
      <c r="P674" s="47"/>
      <c r="Q674" s="47"/>
      <c r="R674" s="47"/>
      <c r="S674" s="47"/>
    </row>
    <row r="675">
      <c r="L675" s="183"/>
      <c r="N675" s="47"/>
      <c r="O675" s="47"/>
      <c r="P675" s="47"/>
      <c r="Q675" s="47"/>
      <c r="R675" s="47"/>
      <c r="S675" s="47"/>
    </row>
    <row r="676">
      <c r="L676" s="183"/>
      <c r="N676" s="47"/>
      <c r="O676" s="47"/>
      <c r="P676" s="47"/>
      <c r="Q676" s="47"/>
      <c r="R676" s="47"/>
      <c r="S676" s="47"/>
    </row>
    <row r="677">
      <c r="L677" s="183"/>
      <c r="N677" s="47"/>
      <c r="O677" s="47"/>
      <c r="P677" s="47"/>
      <c r="Q677" s="47"/>
      <c r="R677" s="47"/>
      <c r="S677" s="47"/>
    </row>
    <row r="678">
      <c r="L678" s="183"/>
      <c r="N678" s="47"/>
      <c r="O678" s="47"/>
      <c r="P678" s="47"/>
      <c r="Q678" s="47"/>
      <c r="R678" s="47"/>
      <c r="S678" s="47"/>
    </row>
    <row r="679">
      <c r="L679" s="183"/>
      <c r="N679" s="47"/>
      <c r="O679" s="47"/>
      <c r="P679" s="47"/>
      <c r="Q679" s="47"/>
      <c r="R679" s="47"/>
      <c r="S679" s="47"/>
    </row>
    <row r="680">
      <c r="L680" s="183"/>
      <c r="N680" s="47"/>
      <c r="O680" s="47"/>
      <c r="P680" s="47"/>
      <c r="Q680" s="47"/>
      <c r="R680" s="47"/>
      <c r="S680" s="47"/>
    </row>
    <row r="681">
      <c r="L681" s="183"/>
      <c r="N681" s="47"/>
      <c r="O681" s="47"/>
      <c r="P681" s="47"/>
      <c r="Q681" s="47"/>
      <c r="R681" s="47"/>
      <c r="S681" s="47"/>
    </row>
    <row r="682">
      <c r="L682" s="183"/>
      <c r="N682" s="47"/>
      <c r="O682" s="47"/>
      <c r="P682" s="47"/>
      <c r="Q682" s="47"/>
      <c r="R682" s="47"/>
      <c r="S682" s="47"/>
    </row>
    <row r="683">
      <c r="L683" s="183"/>
      <c r="N683" s="47"/>
      <c r="O683" s="47"/>
      <c r="P683" s="47"/>
      <c r="Q683" s="47"/>
      <c r="R683" s="47"/>
      <c r="S683" s="47"/>
    </row>
    <row r="684">
      <c r="L684" s="183"/>
      <c r="N684" s="47"/>
      <c r="O684" s="47"/>
      <c r="P684" s="47"/>
      <c r="Q684" s="47"/>
      <c r="R684" s="47"/>
      <c r="S684" s="47"/>
    </row>
    <row r="685">
      <c r="L685" s="183"/>
      <c r="N685" s="47"/>
      <c r="O685" s="47"/>
      <c r="P685" s="47"/>
      <c r="Q685" s="47"/>
      <c r="R685" s="47"/>
      <c r="S685" s="47"/>
    </row>
    <row r="686">
      <c r="L686" s="183"/>
      <c r="N686" s="47"/>
      <c r="O686" s="47"/>
      <c r="P686" s="47"/>
      <c r="Q686" s="47"/>
      <c r="R686" s="47"/>
      <c r="S686" s="47"/>
    </row>
    <row r="687">
      <c r="L687" s="183"/>
      <c r="N687" s="47"/>
      <c r="O687" s="47"/>
      <c r="P687" s="47"/>
      <c r="Q687" s="47"/>
      <c r="R687" s="47"/>
      <c r="S687" s="47"/>
    </row>
    <row r="688">
      <c r="L688" s="183"/>
      <c r="N688" s="47"/>
      <c r="O688" s="47"/>
      <c r="P688" s="47"/>
      <c r="Q688" s="47"/>
      <c r="R688" s="47"/>
      <c r="S688" s="47"/>
    </row>
    <row r="689">
      <c r="L689" s="183"/>
      <c r="N689" s="47"/>
      <c r="O689" s="47"/>
      <c r="P689" s="47"/>
      <c r="Q689" s="47"/>
      <c r="R689" s="47"/>
      <c r="S689" s="47"/>
    </row>
    <row r="690">
      <c r="L690" s="183"/>
      <c r="N690" s="47"/>
      <c r="O690" s="47"/>
      <c r="P690" s="47"/>
      <c r="Q690" s="47"/>
      <c r="R690" s="47"/>
      <c r="S690" s="47"/>
    </row>
    <row r="691">
      <c r="L691" s="183"/>
      <c r="N691" s="47"/>
      <c r="O691" s="47"/>
      <c r="P691" s="47"/>
      <c r="Q691" s="47"/>
      <c r="R691" s="47"/>
      <c r="S691" s="47"/>
    </row>
    <row r="692">
      <c r="L692" s="183"/>
      <c r="N692" s="47"/>
      <c r="O692" s="47"/>
      <c r="P692" s="47"/>
      <c r="Q692" s="47"/>
      <c r="R692" s="47"/>
      <c r="S692" s="47"/>
    </row>
    <row r="693">
      <c r="L693" s="183"/>
      <c r="N693" s="47"/>
      <c r="O693" s="47"/>
      <c r="P693" s="47"/>
      <c r="Q693" s="47"/>
      <c r="R693" s="47"/>
      <c r="S693" s="47"/>
    </row>
    <row r="694">
      <c r="L694" s="183"/>
      <c r="N694" s="47"/>
      <c r="O694" s="47"/>
      <c r="P694" s="47"/>
      <c r="Q694" s="47"/>
      <c r="R694" s="47"/>
      <c r="S694" s="47"/>
    </row>
    <row r="695">
      <c r="L695" s="183"/>
      <c r="N695" s="47"/>
      <c r="O695" s="47"/>
      <c r="P695" s="47"/>
      <c r="Q695" s="47"/>
      <c r="R695" s="47"/>
      <c r="S695" s="47"/>
    </row>
    <row r="696">
      <c r="L696" s="183"/>
      <c r="N696" s="47"/>
      <c r="O696" s="47"/>
      <c r="P696" s="47"/>
      <c r="Q696" s="47"/>
      <c r="R696" s="47"/>
      <c r="S696" s="47"/>
    </row>
    <row r="697">
      <c r="L697" s="183"/>
      <c r="N697" s="47"/>
      <c r="O697" s="47"/>
      <c r="P697" s="47"/>
      <c r="Q697" s="47"/>
      <c r="R697" s="47"/>
      <c r="S697" s="47"/>
    </row>
    <row r="698">
      <c r="L698" s="183"/>
      <c r="N698" s="47"/>
      <c r="O698" s="47"/>
      <c r="P698" s="47"/>
      <c r="Q698" s="47"/>
      <c r="R698" s="47"/>
      <c r="S698" s="47"/>
    </row>
    <row r="699">
      <c r="L699" s="183"/>
      <c r="N699" s="47"/>
      <c r="O699" s="47"/>
      <c r="P699" s="47"/>
      <c r="Q699" s="47"/>
      <c r="R699" s="47"/>
      <c r="S699" s="47"/>
    </row>
    <row r="700">
      <c r="L700" s="183"/>
      <c r="N700" s="47"/>
      <c r="O700" s="47"/>
      <c r="P700" s="47"/>
      <c r="Q700" s="47"/>
      <c r="R700" s="47"/>
      <c r="S700" s="47"/>
    </row>
    <row r="701">
      <c r="L701" s="183"/>
      <c r="N701" s="47"/>
      <c r="O701" s="47"/>
      <c r="P701" s="47"/>
      <c r="Q701" s="47"/>
      <c r="R701" s="47"/>
      <c r="S701" s="47"/>
    </row>
    <row r="702">
      <c r="L702" s="183"/>
      <c r="N702" s="47"/>
      <c r="O702" s="47"/>
      <c r="P702" s="47"/>
      <c r="Q702" s="47"/>
      <c r="R702" s="47"/>
      <c r="S702" s="47"/>
    </row>
    <row r="703">
      <c r="L703" s="183"/>
      <c r="N703" s="47"/>
      <c r="O703" s="47"/>
      <c r="P703" s="47"/>
      <c r="Q703" s="47"/>
      <c r="R703" s="47"/>
      <c r="S703" s="47"/>
    </row>
    <row r="704">
      <c r="L704" s="183"/>
      <c r="N704" s="47"/>
      <c r="O704" s="47"/>
      <c r="P704" s="47"/>
      <c r="Q704" s="47"/>
      <c r="R704" s="47"/>
      <c r="S704" s="47"/>
    </row>
    <row r="705">
      <c r="L705" s="183"/>
      <c r="N705" s="47"/>
      <c r="O705" s="47"/>
      <c r="P705" s="47"/>
      <c r="Q705" s="47"/>
      <c r="R705" s="47"/>
      <c r="S705" s="47"/>
    </row>
    <row r="706">
      <c r="L706" s="183"/>
      <c r="N706" s="47"/>
      <c r="O706" s="47"/>
      <c r="P706" s="47"/>
      <c r="Q706" s="47"/>
      <c r="R706" s="47"/>
      <c r="S706" s="47"/>
    </row>
    <row r="707">
      <c r="L707" s="183"/>
      <c r="N707" s="47"/>
      <c r="O707" s="47"/>
      <c r="P707" s="47"/>
      <c r="Q707" s="47"/>
      <c r="R707" s="47"/>
      <c r="S707" s="47"/>
    </row>
    <row r="708">
      <c r="L708" s="183"/>
      <c r="N708" s="47"/>
      <c r="O708" s="47"/>
      <c r="P708" s="47"/>
      <c r="Q708" s="47"/>
      <c r="R708" s="47"/>
      <c r="S708" s="47"/>
    </row>
    <row r="709">
      <c r="L709" s="183"/>
      <c r="N709" s="47"/>
      <c r="O709" s="47"/>
      <c r="P709" s="47"/>
      <c r="Q709" s="47"/>
      <c r="R709" s="47"/>
      <c r="S709" s="47"/>
    </row>
    <row r="710">
      <c r="L710" s="183"/>
      <c r="N710" s="47"/>
      <c r="O710" s="47"/>
      <c r="P710" s="47"/>
      <c r="Q710" s="47"/>
      <c r="R710" s="47"/>
      <c r="S710" s="47"/>
    </row>
    <row r="711">
      <c r="L711" s="183"/>
      <c r="N711" s="47"/>
      <c r="O711" s="47"/>
      <c r="P711" s="47"/>
      <c r="Q711" s="47"/>
      <c r="R711" s="47"/>
      <c r="S711" s="47"/>
    </row>
    <row r="712">
      <c r="L712" s="183"/>
      <c r="N712" s="47"/>
      <c r="O712" s="47"/>
      <c r="P712" s="47"/>
      <c r="Q712" s="47"/>
      <c r="R712" s="47"/>
      <c r="S712" s="47"/>
    </row>
    <row r="713">
      <c r="L713" s="183"/>
      <c r="N713" s="47"/>
      <c r="O713" s="47"/>
      <c r="P713" s="47"/>
      <c r="Q713" s="47"/>
      <c r="R713" s="47"/>
      <c r="S713" s="47"/>
    </row>
    <row r="714">
      <c r="L714" s="183"/>
      <c r="N714" s="47"/>
      <c r="O714" s="47"/>
      <c r="P714" s="47"/>
      <c r="Q714" s="47"/>
      <c r="R714" s="47"/>
      <c r="S714" s="47"/>
    </row>
    <row r="715">
      <c r="L715" s="183"/>
      <c r="N715" s="47"/>
      <c r="O715" s="47"/>
      <c r="P715" s="47"/>
      <c r="Q715" s="47"/>
      <c r="R715" s="47"/>
      <c r="S715" s="47"/>
    </row>
    <row r="716">
      <c r="L716" s="183"/>
      <c r="N716" s="47"/>
      <c r="O716" s="47"/>
      <c r="P716" s="47"/>
      <c r="Q716" s="47"/>
      <c r="R716" s="47"/>
      <c r="S716" s="47"/>
    </row>
    <row r="717">
      <c r="L717" s="183"/>
      <c r="N717" s="47"/>
      <c r="O717" s="47"/>
      <c r="P717" s="47"/>
      <c r="Q717" s="47"/>
      <c r="R717" s="47"/>
      <c r="S717" s="47"/>
    </row>
    <row r="718">
      <c r="L718" s="183"/>
      <c r="N718" s="47"/>
      <c r="O718" s="47"/>
      <c r="P718" s="47"/>
      <c r="Q718" s="47"/>
      <c r="R718" s="47"/>
      <c r="S718" s="47"/>
    </row>
    <row r="719">
      <c r="L719" s="183"/>
      <c r="N719" s="47"/>
      <c r="O719" s="47"/>
      <c r="P719" s="47"/>
      <c r="Q719" s="47"/>
      <c r="R719" s="47"/>
      <c r="S719" s="47"/>
    </row>
    <row r="720">
      <c r="L720" s="183"/>
      <c r="N720" s="47"/>
      <c r="O720" s="47"/>
      <c r="P720" s="47"/>
      <c r="Q720" s="47"/>
      <c r="R720" s="47"/>
      <c r="S720" s="47"/>
    </row>
    <row r="721">
      <c r="L721" s="183"/>
      <c r="N721" s="47"/>
      <c r="O721" s="47"/>
      <c r="P721" s="47"/>
      <c r="Q721" s="47"/>
      <c r="R721" s="47"/>
      <c r="S721" s="47"/>
    </row>
    <row r="722">
      <c r="L722" s="183"/>
      <c r="N722" s="47"/>
      <c r="O722" s="47"/>
      <c r="P722" s="47"/>
      <c r="Q722" s="47"/>
      <c r="R722" s="47"/>
      <c r="S722" s="47"/>
    </row>
    <row r="723">
      <c r="L723" s="183"/>
      <c r="N723" s="47"/>
      <c r="O723" s="47"/>
      <c r="P723" s="47"/>
      <c r="Q723" s="47"/>
      <c r="R723" s="47"/>
      <c r="S723" s="47"/>
    </row>
    <row r="724">
      <c r="L724" s="183"/>
      <c r="N724" s="47"/>
      <c r="O724" s="47"/>
      <c r="P724" s="47"/>
      <c r="Q724" s="47"/>
      <c r="R724" s="47"/>
      <c r="S724" s="47"/>
    </row>
    <row r="725">
      <c r="L725" s="183"/>
      <c r="N725" s="47"/>
      <c r="O725" s="47"/>
      <c r="P725" s="47"/>
      <c r="Q725" s="47"/>
      <c r="R725" s="47"/>
      <c r="S725" s="47"/>
    </row>
    <row r="726">
      <c r="L726" s="183"/>
      <c r="N726" s="47"/>
      <c r="O726" s="47"/>
      <c r="P726" s="47"/>
      <c r="Q726" s="47"/>
      <c r="R726" s="47"/>
      <c r="S726" s="47"/>
    </row>
    <row r="727">
      <c r="L727" s="183"/>
      <c r="N727" s="47"/>
      <c r="O727" s="47"/>
      <c r="P727" s="47"/>
      <c r="Q727" s="47"/>
      <c r="R727" s="47"/>
      <c r="S727" s="47"/>
    </row>
    <row r="728">
      <c r="L728" s="183"/>
      <c r="N728" s="47"/>
      <c r="O728" s="47"/>
      <c r="P728" s="47"/>
      <c r="Q728" s="47"/>
      <c r="R728" s="47"/>
      <c r="S728" s="47"/>
    </row>
    <row r="729">
      <c r="L729" s="183"/>
      <c r="N729" s="47"/>
      <c r="O729" s="47"/>
      <c r="P729" s="47"/>
      <c r="Q729" s="47"/>
      <c r="R729" s="47"/>
      <c r="S729" s="47"/>
    </row>
    <row r="730">
      <c r="L730" s="183"/>
      <c r="N730" s="47"/>
      <c r="O730" s="47"/>
      <c r="P730" s="47"/>
      <c r="Q730" s="47"/>
      <c r="R730" s="47"/>
      <c r="S730" s="47"/>
    </row>
    <row r="731">
      <c r="L731" s="183"/>
      <c r="N731" s="47"/>
      <c r="O731" s="47"/>
      <c r="P731" s="47"/>
      <c r="Q731" s="47"/>
      <c r="R731" s="47"/>
      <c r="S731" s="47"/>
    </row>
    <row r="732">
      <c r="L732" s="183"/>
      <c r="N732" s="47"/>
      <c r="O732" s="47"/>
      <c r="P732" s="47"/>
      <c r="Q732" s="47"/>
      <c r="R732" s="47"/>
      <c r="S732" s="47"/>
    </row>
    <row r="733">
      <c r="L733" s="183"/>
      <c r="N733" s="47"/>
      <c r="O733" s="47"/>
      <c r="P733" s="47"/>
      <c r="Q733" s="47"/>
      <c r="R733" s="47"/>
      <c r="S733" s="47"/>
    </row>
    <row r="734">
      <c r="L734" s="183"/>
      <c r="N734" s="47"/>
      <c r="O734" s="47"/>
      <c r="P734" s="47"/>
      <c r="Q734" s="47"/>
      <c r="R734" s="47"/>
      <c r="S734" s="47"/>
    </row>
    <row r="735">
      <c r="L735" s="183"/>
      <c r="N735" s="47"/>
      <c r="O735" s="47"/>
      <c r="P735" s="47"/>
      <c r="Q735" s="47"/>
      <c r="R735" s="47"/>
      <c r="S735" s="47"/>
    </row>
    <row r="736">
      <c r="L736" s="183"/>
      <c r="N736" s="47"/>
      <c r="O736" s="47"/>
      <c r="P736" s="47"/>
      <c r="Q736" s="47"/>
      <c r="R736" s="47"/>
      <c r="S736" s="47"/>
    </row>
    <row r="737">
      <c r="L737" s="183"/>
      <c r="N737" s="47"/>
      <c r="O737" s="47"/>
      <c r="P737" s="47"/>
      <c r="Q737" s="47"/>
      <c r="R737" s="47"/>
      <c r="S737" s="47"/>
    </row>
    <row r="738">
      <c r="L738" s="183"/>
      <c r="N738" s="47"/>
      <c r="O738" s="47"/>
      <c r="P738" s="47"/>
      <c r="Q738" s="47"/>
      <c r="R738" s="47"/>
      <c r="S738" s="47"/>
    </row>
    <row r="739">
      <c r="L739" s="183"/>
      <c r="N739" s="47"/>
      <c r="O739" s="47"/>
      <c r="P739" s="47"/>
      <c r="Q739" s="47"/>
      <c r="R739" s="47"/>
      <c r="S739" s="47"/>
    </row>
    <row r="740">
      <c r="L740" s="183"/>
      <c r="N740" s="47"/>
      <c r="O740" s="47"/>
      <c r="P740" s="47"/>
      <c r="Q740" s="47"/>
      <c r="R740" s="47"/>
      <c r="S740" s="47"/>
    </row>
    <row r="741">
      <c r="L741" s="183"/>
      <c r="N741" s="47"/>
      <c r="O741" s="47"/>
      <c r="P741" s="47"/>
      <c r="Q741" s="47"/>
      <c r="R741" s="47"/>
      <c r="S741" s="47"/>
    </row>
    <row r="742">
      <c r="L742" s="183"/>
      <c r="N742" s="47"/>
      <c r="O742" s="47"/>
      <c r="P742" s="47"/>
      <c r="Q742" s="47"/>
      <c r="R742" s="47"/>
      <c r="S742" s="47"/>
    </row>
    <row r="743">
      <c r="L743" s="183"/>
      <c r="N743" s="47"/>
      <c r="O743" s="47"/>
      <c r="P743" s="47"/>
      <c r="Q743" s="47"/>
      <c r="R743" s="47"/>
      <c r="S743" s="47"/>
    </row>
    <row r="744">
      <c r="L744" s="183"/>
      <c r="N744" s="47"/>
      <c r="O744" s="47"/>
      <c r="P744" s="47"/>
      <c r="Q744" s="47"/>
      <c r="R744" s="47"/>
      <c r="S744" s="47"/>
    </row>
    <row r="745">
      <c r="L745" s="183"/>
      <c r="N745" s="47"/>
      <c r="O745" s="47"/>
      <c r="P745" s="47"/>
      <c r="Q745" s="47"/>
      <c r="R745" s="47"/>
      <c r="S745" s="47"/>
    </row>
    <row r="746">
      <c r="L746" s="183"/>
      <c r="N746" s="47"/>
      <c r="O746" s="47"/>
      <c r="P746" s="47"/>
      <c r="Q746" s="47"/>
      <c r="R746" s="47"/>
      <c r="S746" s="47"/>
    </row>
    <row r="747">
      <c r="L747" s="183"/>
      <c r="N747" s="47"/>
      <c r="O747" s="47"/>
      <c r="P747" s="47"/>
      <c r="Q747" s="47"/>
      <c r="R747" s="47"/>
      <c r="S747" s="47"/>
    </row>
    <row r="748">
      <c r="L748" s="183"/>
      <c r="N748" s="47"/>
      <c r="O748" s="47"/>
      <c r="P748" s="47"/>
      <c r="Q748" s="47"/>
      <c r="R748" s="47"/>
      <c r="S748" s="47"/>
    </row>
    <row r="749">
      <c r="L749" s="183"/>
      <c r="N749" s="47"/>
      <c r="O749" s="47"/>
      <c r="P749" s="47"/>
      <c r="Q749" s="47"/>
      <c r="R749" s="47"/>
      <c r="S749" s="47"/>
    </row>
    <row r="750">
      <c r="L750" s="183"/>
      <c r="N750" s="47"/>
      <c r="O750" s="47"/>
      <c r="P750" s="47"/>
      <c r="Q750" s="47"/>
      <c r="R750" s="47"/>
      <c r="S750" s="47"/>
    </row>
    <row r="751">
      <c r="L751" s="183"/>
      <c r="N751" s="47"/>
      <c r="O751" s="47"/>
      <c r="P751" s="47"/>
      <c r="Q751" s="47"/>
      <c r="R751" s="47"/>
      <c r="S751" s="47"/>
    </row>
    <row r="752">
      <c r="L752" s="183"/>
      <c r="N752" s="47"/>
      <c r="O752" s="47"/>
      <c r="P752" s="47"/>
      <c r="Q752" s="47"/>
      <c r="R752" s="47"/>
      <c r="S752" s="47"/>
    </row>
    <row r="753">
      <c r="L753" s="183"/>
      <c r="N753" s="47"/>
      <c r="O753" s="47"/>
      <c r="P753" s="47"/>
      <c r="Q753" s="47"/>
      <c r="R753" s="47"/>
      <c r="S753" s="47"/>
    </row>
    <row r="754">
      <c r="L754" s="183"/>
      <c r="N754" s="47"/>
      <c r="O754" s="47"/>
      <c r="P754" s="47"/>
      <c r="Q754" s="47"/>
      <c r="R754" s="47"/>
      <c r="S754" s="47"/>
    </row>
    <row r="755">
      <c r="L755" s="183"/>
      <c r="N755" s="47"/>
      <c r="O755" s="47"/>
      <c r="P755" s="47"/>
      <c r="Q755" s="47"/>
      <c r="R755" s="47"/>
      <c r="S755" s="47"/>
    </row>
    <row r="756">
      <c r="L756" s="183"/>
      <c r="N756" s="47"/>
      <c r="O756" s="47"/>
      <c r="P756" s="47"/>
      <c r="Q756" s="47"/>
      <c r="R756" s="47"/>
      <c r="S756" s="47"/>
    </row>
    <row r="757">
      <c r="L757" s="183"/>
      <c r="N757" s="47"/>
      <c r="O757" s="47"/>
      <c r="P757" s="47"/>
      <c r="Q757" s="47"/>
      <c r="R757" s="47"/>
      <c r="S757" s="47"/>
    </row>
    <row r="758">
      <c r="L758" s="183"/>
      <c r="N758" s="47"/>
      <c r="O758" s="47"/>
      <c r="P758" s="47"/>
      <c r="Q758" s="47"/>
      <c r="R758" s="47"/>
      <c r="S758" s="47"/>
    </row>
    <row r="759">
      <c r="L759" s="183"/>
      <c r="N759" s="47"/>
      <c r="O759" s="47"/>
      <c r="P759" s="47"/>
      <c r="Q759" s="47"/>
      <c r="R759" s="47"/>
      <c r="S759" s="47"/>
    </row>
    <row r="760">
      <c r="L760" s="183"/>
      <c r="N760" s="47"/>
      <c r="O760" s="47"/>
      <c r="P760" s="47"/>
      <c r="Q760" s="47"/>
      <c r="R760" s="47"/>
      <c r="S760" s="47"/>
    </row>
    <row r="761">
      <c r="L761" s="183"/>
      <c r="N761" s="47"/>
      <c r="O761" s="47"/>
      <c r="P761" s="47"/>
      <c r="Q761" s="47"/>
      <c r="R761" s="47"/>
      <c r="S761" s="47"/>
    </row>
    <row r="762">
      <c r="L762" s="183"/>
      <c r="N762" s="47"/>
      <c r="O762" s="47"/>
      <c r="P762" s="47"/>
      <c r="Q762" s="47"/>
      <c r="R762" s="47"/>
      <c r="S762" s="47"/>
    </row>
    <row r="763">
      <c r="L763" s="183"/>
      <c r="N763" s="47"/>
      <c r="O763" s="47"/>
      <c r="P763" s="47"/>
      <c r="Q763" s="47"/>
      <c r="R763" s="47"/>
      <c r="S763" s="47"/>
    </row>
    <row r="764">
      <c r="L764" s="183"/>
      <c r="N764" s="47"/>
      <c r="O764" s="47"/>
      <c r="P764" s="47"/>
      <c r="Q764" s="47"/>
      <c r="R764" s="47"/>
      <c r="S764" s="47"/>
    </row>
    <row r="765">
      <c r="L765" s="183"/>
      <c r="N765" s="47"/>
      <c r="O765" s="47"/>
      <c r="P765" s="47"/>
      <c r="Q765" s="47"/>
      <c r="R765" s="47"/>
      <c r="S765" s="47"/>
    </row>
    <row r="766">
      <c r="L766" s="183"/>
      <c r="N766" s="47"/>
      <c r="O766" s="47"/>
      <c r="P766" s="47"/>
      <c r="Q766" s="47"/>
      <c r="R766" s="47"/>
      <c r="S766" s="47"/>
    </row>
    <row r="767">
      <c r="L767" s="183"/>
      <c r="N767" s="47"/>
      <c r="O767" s="47"/>
      <c r="P767" s="47"/>
      <c r="Q767" s="47"/>
      <c r="R767" s="47"/>
      <c r="S767" s="47"/>
    </row>
    <row r="768">
      <c r="L768" s="183"/>
      <c r="N768" s="47"/>
      <c r="O768" s="47"/>
      <c r="P768" s="47"/>
      <c r="Q768" s="47"/>
      <c r="R768" s="47"/>
      <c r="S768" s="47"/>
    </row>
    <row r="769">
      <c r="L769" s="183"/>
      <c r="N769" s="47"/>
      <c r="O769" s="47"/>
      <c r="P769" s="47"/>
      <c r="Q769" s="47"/>
      <c r="R769" s="47"/>
      <c r="S769" s="47"/>
    </row>
    <row r="770">
      <c r="L770" s="183"/>
      <c r="N770" s="47"/>
      <c r="O770" s="47"/>
      <c r="P770" s="47"/>
      <c r="Q770" s="47"/>
      <c r="R770" s="47"/>
      <c r="S770" s="47"/>
    </row>
    <row r="771">
      <c r="L771" s="183"/>
      <c r="N771" s="47"/>
      <c r="O771" s="47"/>
      <c r="P771" s="47"/>
      <c r="Q771" s="47"/>
      <c r="R771" s="47"/>
      <c r="S771" s="47"/>
    </row>
    <row r="772">
      <c r="L772" s="183"/>
      <c r="N772" s="47"/>
      <c r="O772" s="47"/>
      <c r="P772" s="47"/>
      <c r="Q772" s="47"/>
      <c r="R772" s="47"/>
      <c r="S772" s="47"/>
    </row>
    <row r="773">
      <c r="L773" s="183"/>
      <c r="N773" s="47"/>
      <c r="O773" s="47"/>
      <c r="P773" s="47"/>
      <c r="Q773" s="47"/>
      <c r="R773" s="47"/>
      <c r="S773" s="47"/>
    </row>
    <row r="774">
      <c r="L774" s="183"/>
      <c r="N774" s="47"/>
      <c r="O774" s="47"/>
      <c r="P774" s="47"/>
      <c r="Q774" s="47"/>
      <c r="R774" s="47"/>
      <c r="S774" s="47"/>
    </row>
    <row r="775">
      <c r="L775" s="183"/>
      <c r="N775" s="47"/>
      <c r="O775" s="47"/>
      <c r="P775" s="47"/>
      <c r="Q775" s="47"/>
      <c r="R775" s="47"/>
      <c r="S775" s="47"/>
    </row>
    <row r="776">
      <c r="L776" s="183"/>
      <c r="N776" s="47"/>
      <c r="O776" s="47"/>
      <c r="P776" s="47"/>
      <c r="Q776" s="47"/>
      <c r="R776" s="47"/>
      <c r="S776" s="47"/>
    </row>
    <row r="777">
      <c r="L777" s="183"/>
      <c r="N777" s="47"/>
      <c r="O777" s="47"/>
      <c r="P777" s="47"/>
      <c r="Q777" s="47"/>
      <c r="R777" s="47"/>
      <c r="S777" s="47"/>
    </row>
    <row r="778">
      <c r="L778" s="183"/>
      <c r="N778" s="47"/>
      <c r="O778" s="47"/>
      <c r="P778" s="47"/>
      <c r="Q778" s="47"/>
      <c r="R778" s="47"/>
      <c r="S778" s="47"/>
    </row>
    <row r="779">
      <c r="L779" s="183"/>
      <c r="N779" s="47"/>
      <c r="O779" s="47"/>
      <c r="P779" s="47"/>
      <c r="Q779" s="47"/>
      <c r="R779" s="47"/>
      <c r="S779" s="47"/>
    </row>
    <row r="780">
      <c r="L780" s="183"/>
      <c r="N780" s="47"/>
      <c r="O780" s="47"/>
      <c r="P780" s="47"/>
      <c r="Q780" s="47"/>
      <c r="R780" s="47"/>
      <c r="S780" s="47"/>
    </row>
    <row r="781">
      <c r="L781" s="183"/>
      <c r="N781" s="47"/>
      <c r="O781" s="47"/>
      <c r="P781" s="47"/>
      <c r="Q781" s="47"/>
      <c r="R781" s="47"/>
      <c r="S781" s="47"/>
    </row>
    <row r="782">
      <c r="L782" s="183"/>
      <c r="N782" s="47"/>
      <c r="O782" s="47"/>
      <c r="P782" s="47"/>
      <c r="Q782" s="47"/>
      <c r="R782" s="47"/>
      <c r="S782" s="47"/>
    </row>
    <row r="783">
      <c r="L783" s="183"/>
      <c r="N783" s="47"/>
      <c r="O783" s="47"/>
      <c r="P783" s="47"/>
      <c r="Q783" s="47"/>
      <c r="R783" s="47"/>
      <c r="S783" s="47"/>
    </row>
    <row r="784">
      <c r="L784" s="183"/>
      <c r="N784" s="47"/>
      <c r="O784" s="47"/>
      <c r="P784" s="47"/>
      <c r="Q784" s="47"/>
      <c r="R784" s="47"/>
      <c r="S784" s="47"/>
    </row>
    <row r="785">
      <c r="L785" s="183"/>
      <c r="N785" s="47"/>
      <c r="O785" s="47"/>
      <c r="P785" s="47"/>
      <c r="Q785" s="47"/>
      <c r="R785" s="47"/>
      <c r="S785" s="47"/>
    </row>
    <row r="786">
      <c r="L786" s="183"/>
      <c r="N786" s="47"/>
      <c r="O786" s="47"/>
      <c r="P786" s="47"/>
      <c r="Q786" s="47"/>
      <c r="R786" s="47"/>
      <c r="S786" s="47"/>
    </row>
    <row r="787">
      <c r="L787" s="183"/>
      <c r="N787" s="47"/>
      <c r="O787" s="47"/>
      <c r="P787" s="47"/>
      <c r="Q787" s="47"/>
      <c r="R787" s="47"/>
      <c r="S787" s="47"/>
    </row>
    <row r="788">
      <c r="L788" s="183"/>
      <c r="N788" s="47"/>
      <c r="O788" s="47"/>
      <c r="P788" s="47"/>
      <c r="Q788" s="47"/>
      <c r="R788" s="47"/>
      <c r="S788" s="47"/>
    </row>
    <row r="789">
      <c r="L789" s="183"/>
      <c r="N789" s="47"/>
      <c r="O789" s="47"/>
      <c r="P789" s="47"/>
      <c r="Q789" s="47"/>
      <c r="R789" s="47"/>
      <c r="S789" s="47"/>
    </row>
    <row r="790">
      <c r="L790" s="183"/>
      <c r="N790" s="47"/>
      <c r="O790" s="47"/>
      <c r="P790" s="47"/>
      <c r="Q790" s="47"/>
      <c r="R790" s="47"/>
      <c r="S790" s="47"/>
    </row>
    <row r="791">
      <c r="L791" s="183"/>
      <c r="N791" s="47"/>
      <c r="O791" s="47"/>
      <c r="P791" s="47"/>
      <c r="Q791" s="47"/>
      <c r="R791" s="47"/>
      <c r="S791" s="47"/>
    </row>
    <row r="792">
      <c r="L792" s="183"/>
      <c r="N792" s="47"/>
      <c r="O792" s="47"/>
      <c r="P792" s="47"/>
      <c r="Q792" s="47"/>
      <c r="R792" s="47"/>
      <c r="S792" s="47"/>
    </row>
    <row r="793">
      <c r="L793" s="183"/>
      <c r="N793" s="47"/>
      <c r="O793" s="47"/>
      <c r="P793" s="47"/>
      <c r="Q793" s="47"/>
      <c r="R793" s="47"/>
      <c r="S793" s="47"/>
    </row>
    <row r="794">
      <c r="L794" s="183"/>
      <c r="N794" s="47"/>
      <c r="O794" s="47"/>
      <c r="P794" s="47"/>
      <c r="Q794" s="47"/>
      <c r="R794" s="47"/>
      <c r="S794" s="47"/>
    </row>
    <row r="795">
      <c r="L795" s="183"/>
      <c r="N795" s="47"/>
      <c r="O795" s="47"/>
      <c r="P795" s="47"/>
      <c r="Q795" s="47"/>
      <c r="R795" s="47"/>
      <c r="S795" s="47"/>
    </row>
    <row r="796">
      <c r="L796" s="183"/>
      <c r="N796" s="47"/>
      <c r="O796" s="47"/>
      <c r="P796" s="47"/>
      <c r="Q796" s="47"/>
      <c r="R796" s="47"/>
      <c r="S796" s="47"/>
    </row>
    <row r="797">
      <c r="L797" s="183"/>
      <c r="N797" s="47"/>
      <c r="O797" s="47"/>
      <c r="P797" s="47"/>
      <c r="Q797" s="47"/>
      <c r="R797" s="47"/>
      <c r="S797" s="47"/>
    </row>
    <row r="798">
      <c r="L798" s="183"/>
      <c r="N798" s="47"/>
      <c r="O798" s="47"/>
      <c r="P798" s="47"/>
      <c r="Q798" s="47"/>
      <c r="R798" s="47"/>
      <c r="S798" s="47"/>
    </row>
    <row r="799">
      <c r="L799" s="183"/>
      <c r="N799" s="47"/>
      <c r="O799" s="47"/>
      <c r="P799" s="47"/>
      <c r="Q799" s="47"/>
      <c r="R799" s="47"/>
      <c r="S799" s="47"/>
    </row>
    <row r="800">
      <c r="L800" s="183"/>
      <c r="N800" s="47"/>
      <c r="O800" s="47"/>
      <c r="P800" s="47"/>
      <c r="Q800" s="47"/>
      <c r="R800" s="47"/>
      <c r="S800" s="47"/>
    </row>
    <row r="801">
      <c r="L801" s="183"/>
      <c r="N801" s="47"/>
      <c r="O801" s="47"/>
      <c r="P801" s="47"/>
      <c r="Q801" s="47"/>
      <c r="R801" s="47"/>
      <c r="S801" s="47"/>
    </row>
    <row r="802">
      <c r="L802" s="183"/>
      <c r="N802" s="47"/>
      <c r="O802" s="47"/>
      <c r="P802" s="47"/>
      <c r="Q802" s="47"/>
      <c r="R802" s="47"/>
      <c r="S802" s="47"/>
    </row>
    <row r="803">
      <c r="L803" s="183"/>
      <c r="N803" s="47"/>
      <c r="O803" s="47"/>
      <c r="P803" s="47"/>
      <c r="Q803" s="47"/>
      <c r="R803" s="47"/>
      <c r="S803" s="47"/>
    </row>
    <row r="804">
      <c r="L804" s="183"/>
      <c r="N804" s="47"/>
      <c r="O804" s="47"/>
      <c r="P804" s="47"/>
      <c r="Q804" s="47"/>
      <c r="R804" s="47"/>
      <c r="S804" s="47"/>
    </row>
    <row r="805">
      <c r="L805" s="183"/>
      <c r="N805" s="47"/>
      <c r="O805" s="47"/>
      <c r="P805" s="47"/>
      <c r="Q805" s="47"/>
      <c r="R805" s="47"/>
      <c r="S805" s="47"/>
    </row>
    <row r="806">
      <c r="L806" s="183"/>
      <c r="N806" s="47"/>
      <c r="O806" s="47"/>
      <c r="P806" s="47"/>
      <c r="Q806" s="47"/>
      <c r="R806" s="47"/>
      <c r="S806" s="47"/>
    </row>
    <row r="807">
      <c r="L807" s="183"/>
      <c r="N807" s="47"/>
      <c r="O807" s="47"/>
      <c r="P807" s="47"/>
      <c r="Q807" s="47"/>
      <c r="R807" s="47"/>
      <c r="S807" s="47"/>
    </row>
    <row r="808">
      <c r="L808" s="183"/>
      <c r="N808" s="47"/>
      <c r="O808" s="47"/>
      <c r="P808" s="47"/>
      <c r="Q808" s="47"/>
      <c r="R808" s="47"/>
      <c r="S808" s="47"/>
    </row>
    <row r="809">
      <c r="L809" s="183"/>
      <c r="N809" s="47"/>
      <c r="O809" s="47"/>
      <c r="P809" s="47"/>
      <c r="Q809" s="47"/>
      <c r="R809" s="47"/>
      <c r="S809" s="47"/>
    </row>
    <row r="810">
      <c r="L810" s="183"/>
      <c r="N810" s="47"/>
      <c r="O810" s="47"/>
      <c r="P810" s="47"/>
      <c r="Q810" s="47"/>
      <c r="R810" s="47"/>
      <c r="S810" s="47"/>
    </row>
    <row r="811">
      <c r="L811" s="183"/>
      <c r="N811" s="47"/>
      <c r="O811" s="47"/>
      <c r="P811" s="47"/>
      <c r="Q811" s="47"/>
      <c r="R811" s="47"/>
      <c r="S811" s="47"/>
    </row>
    <row r="812">
      <c r="L812" s="183"/>
      <c r="N812" s="47"/>
      <c r="O812" s="47"/>
      <c r="P812" s="47"/>
      <c r="Q812" s="47"/>
      <c r="R812" s="47"/>
      <c r="S812" s="47"/>
    </row>
    <row r="813">
      <c r="L813" s="183"/>
      <c r="N813" s="47"/>
      <c r="O813" s="47"/>
      <c r="P813" s="47"/>
      <c r="Q813" s="47"/>
      <c r="R813" s="47"/>
      <c r="S813" s="47"/>
    </row>
    <row r="814">
      <c r="L814" s="183"/>
      <c r="N814" s="47"/>
      <c r="O814" s="47"/>
      <c r="P814" s="47"/>
      <c r="Q814" s="47"/>
      <c r="R814" s="47"/>
      <c r="S814" s="47"/>
    </row>
    <row r="815">
      <c r="L815" s="183"/>
      <c r="N815" s="47"/>
      <c r="O815" s="47"/>
      <c r="P815" s="47"/>
      <c r="Q815" s="47"/>
      <c r="R815" s="47"/>
      <c r="S815" s="47"/>
    </row>
    <row r="816">
      <c r="L816" s="183"/>
      <c r="N816" s="47"/>
      <c r="O816" s="47"/>
      <c r="P816" s="47"/>
      <c r="Q816" s="47"/>
      <c r="R816" s="47"/>
      <c r="S816" s="47"/>
    </row>
    <row r="817">
      <c r="L817" s="183"/>
      <c r="N817" s="47"/>
      <c r="O817" s="47"/>
      <c r="P817" s="47"/>
      <c r="Q817" s="47"/>
      <c r="R817" s="47"/>
      <c r="S817" s="47"/>
    </row>
    <row r="818">
      <c r="L818" s="183"/>
      <c r="N818" s="47"/>
      <c r="O818" s="47"/>
      <c r="P818" s="47"/>
      <c r="Q818" s="47"/>
      <c r="R818" s="47"/>
      <c r="S818" s="47"/>
    </row>
    <row r="819">
      <c r="L819" s="183"/>
      <c r="N819" s="47"/>
      <c r="O819" s="47"/>
      <c r="P819" s="47"/>
      <c r="Q819" s="47"/>
      <c r="R819" s="47"/>
      <c r="S819" s="47"/>
    </row>
    <row r="820">
      <c r="L820" s="183"/>
      <c r="N820" s="47"/>
      <c r="O820" s="47"/>
      <c r="P820" s="47"/>
      <c r="Q820" s="47"/>
      <c r="R820" s="47"/>
      <c r="S820" s="47"/>
    </row>
    <row r="821">
      <c r="L821" s="183"/>
      <c r="N821" s="47"/>
      <c r="O821" s="47"/>
      <c r="P821" s="47"/>
      <c r="Q821" s="47"/>
      <c r="R821" s="47"/>
      <c r="S821" s="47"/>
    </row>
    <row r="822">
      <c r="L822" s="183"/>
      <c r="N822" s="47"/>
      <c r="O822" s="47"/>
      <c r="P822" s="47"/>
      <c r="Q822" s="47"/>
      <c r="R822" s="47"/>
      <c r="S822" s="47"/>
    </row>
    <row r="823">
      <c r="L823" s="183"/>
      <c r="N823" s="47"/>
      <c r="O823" s="47"/>
      <c r="P823" s="47"/>
      <c r="Q823" s="47"/>
      <c r="R823" s="47"/>
      <c r="S823" s="47"/>
    </row>
    <row r="824">
      <c r="L824" s="183"/>
      <c r="N824" s="47"/>
      <c r="O824" s="47"/>
      <c r="P824" s="47"/>
      <c r="Q824" s="47"/>
      <c r="R824" s="47"/>
      <c r="S824" s="47"/>
    </row>
    <row r="825">
      <c r="L825" s="183"/>
      <c r="N825" s="47"/>
      <c r="O825" s="47"/>
      <c r="P825" s="47"/>
      <c r="Q825" s="47"/>
      <c r="R825" s="47"/>
      <c r="S825" s="47"/>
    </row>
    <row r="826">
      <c r="L826" s="183"/>
      <c r="N826" s="47"/>
      <c r="O826" s="47"/>
      <c r="P826" s="47"/>
      <c r="Q826" s="47"/>
      <c r="R826" s="47"/>
      <c r="S826" s="47"/>
    </row>
    <row r="827">
      <c r="L827" s="183"/>
      <c r="N827" s="47"/>
      <c r="O827" s="47"/>
      <c r="P827" s="47"/>
      <c r="Q827" s="47"/>
      <c r="R827" s="47"/>
      <c r="S827" s="47"/>
    </row>
    <row r="828">
      <c r="L828" s="183"/>
      <c r="N828" s="47"/>
      <c r="O828" s="47"/>
      <c r="P828" s="47"/>
      <c r="Q828" s="47"/>
      <c r="R828" s="47"/>
      <c r="S828" s="47"/>
    </row>
    <row r="829">
      <c r="L829" s="183"/>
      <c r="N829" s="47"/>
      <c r="O829" s="47"/>
      <c r="P829" s="47"/>
      <c r="Q829" s="47"/>
      <c r="R829" s="47"/>
      <c r="S829" s="47"/>
    </row>
    <row r="830">
      <c r="L830" s="183"/>
      <c r="N830" s="47"/>
      <c r="O830" s="47"/>
      <c r="P830" s="47"/>
      <c r="Q830" s="47"/>
      <c r="R830" s="47"/>
      <c r="S830" s="47"/>
    </row>
    <row r="831">
      <c r="L831" s="183"/>
      <c r="N831" s="47"/>
      <c r="O831" s="47"/>
      <c r="P831" s="47"/>
      <c r="Q831" s="47"/>
      <c r="R831" s="47"/>
      <c r="S831" s="47"/>
    </row>
    <row r="832">
      <c r="L832" s="183"/>
      <c r="N832" s="47"/>
      <c r="O832" s="47"/>
      <c r="P832" s="47"/>
      <c r="Q832" s="47"/>
      <c r="R832" s="47"/>
      <c r="S832" s="47"/>
    </row>
    <row r="833">
      <c r="L833" s="183"/>
      <c r="N833" s="47"/>
      <c r="O833" s="47"/>
      <c r="P833" s="47"/>
      <c r="Q833" s="47"/>
      <c r="R833" s="47"/>
      <c r="S833" s="47"/>
    </row>
    <row r="834">
      <c r="L834" s="183"/>
      <c r="N834" s="47"/>
      <c r="O834" s="47"/>
      <c r="P834" s="47"/>
      <c r="Q834" s="47"/>
      <c r="R834" s="47"/>
      <c r="S834" s="47"/>
    </row>
    <row r="835">
      <c r="L835" s="183"/>
      <c r="N835" s="47"/>
      <c r="O835" s="47"/>
      <c r="P835" s="47"/>
      <c r="Q835" s="47"/>
      <c r="R835" s="47"/>
      <c r="S835" s="47"/>
    </row>
    <row r="836">
      <c r="L836" s="183"/>
      <c r="N836" s="47"/>
      <c r="O836" s="47"/>
      <c r="P836" s="47"/>
      <c r="Q836" s="47"/>
      <c r="R836" s="47"/>
      <c r="S836" s="47"/>
    </row>
    <row r="837">
      <c r="L837" s="183"/>
      <c r="N837" s="47"/>
      <c r="O837" s="47"/>
      <c r="P837" s="47"/>
      <c r="Q837" s="47"/>
      <c r="R837" s="47"/>
      <c r="S837" s="47"/>
    </row>
    <row r="838">
      <c r="L838" s="183"/>
      <c r="N838" s="47"/>
      <c r="O838" s="47"/>
      <c r="P838" s="47"/>
      <c r="Q838" s="47"/>
      <c r="R838" s="47"/>
      <c r="S838" s="47"/>
    </row>
    <row r="839">
      <c r="L839" s="183"/>
      <c r="N839" s="47"/>
      <c r="O839" s="47"/>
      <c r="P839" s="47"/>
      <c r="Q839" s="47"/>
      <c r="R839" s="47"/>
      <c r="S839" s="47"/>
    </row>
    <row r="840">
      <c r="L840" s="183"/>
      <c r="N840" s="47"/>
      <c r="O840" s="47"/>
      <c r="P840" s="47"/>
      <c r="Q840" s="47"/>
      <c r="R840" s="47"/>
      <c r="S840" s="47"/>
    </row>
    <row r="841">
      <c r="L841" s="183"/>
      <c r="N841" s="47"/>
      <c r="O841" s="47"/>
      <c r="P841" s="47"/>
      <c r="Q841" s="47"/>
      <c r="R841" s="47"/>
      <c r="S841" s="47"/>
    </row>
    <row r="842">
      <c r="L842" s="183"/>
      <c r="N842" s="47"/>
      <c r="O842" s="47"/>
      <c r="P842" s="47"/>
      <c r="Q842" s="47"/>
      <c r="R842" s="47"/>
      <c r="S842" s="47"/>
    </row>
    <row r="843">
      <c r="L843" s="183"/>
      <c r="N843" s="47"/>
      <c r="O843" s="47"/>
      <c r="P843" s="47"/>
      <c r="Q843" s="47"/>
      <c r="R843" s="47"/>
      <c r="S843" s="47"/>
    </row>
    <row r="844">
      <c r="L844" s="183"/>
      <c r="N844" s="47"/>
      <c r="O844" s="47"/>
      <c r="P844" s="47"/>
      <c r="Q844" s="47"/>
      <c r="R844" s="47"/>
      <c r="S844" s="47"/>
    </row>
    <row r="845">
      <c r="L845" s="183"/>
      <c r="N845" s="47"/>
      <c r="O845" s="47"/>
      <c r="P845" s="47"/>
      <c r="Q845" s="47"/>
      <c r="R845" s="47"/>
      <c r="S845" s="47"/>
    </row>
    <row r="846">
      <c r="L846" s="183"/>
      <c r="N846" s="47"/>
      <c r="O846" s="47"/>
      <c r="P846" s="47"/>
      <c r="Q846" s="47"/>
      <c r="R846" s="47"/>
      <c r="S846" s="47"/>
    </row>
    <row r="847">
      <c r="L847" s="183"/>
      <c r="N847" s="47"/>
      <c r="O847" s="47"/>
      <c r="P847" s="47"/>
      <c r="Q847" s="47"/>
      <c r="R847" s="47"/>
      <c r="S847" s="47"/>
    </row>
    <row r="848">
      <c r="L848" s="183"/>
      <c r="N848" s="47"/>
      <c r="O848" s="47"/>
      <c r="P848" s="47"/>
      <c r="Q848" s="47"/>
      <c r="R848" s="47"/>
      <c r="S848" s="47"/>
    </row>
    <row r="849">
      <c r="L849" s="183"/>
      <c r="N849" s="47"/>
      <c r="O849" s="47"/>
      <c r="P849" s="47"/>
      <c r="Q849" s="47"/>
      <c r="R849" s="47"/>
      <c r="S849" s="47"/>
    </row>
    <row r="850">
      <c r="L850" s="183"/>
      <c r="N850" s="47"/>
      <c r="O850" s="47"/>
      <c r="P850" s="47"/>
      <c r="Q850" s="47"/>
      <c r="R850" s="47"/>
      <c r="S850" s="47"/>
    </row>
    <row r="851">
      <c r="L851" s="183"/>
      <c r="N851" s="47"/>
      <c r="O851" s="47"/>
      <c r="P851" s="47"/>
      <c r="Q851" s="47"/>
      <c r="R851" s="47"/>
      <c r="S851" s="47"/>
    </row>
    <row r="852">
      <c r="L852" s="183"/>
      <c r="N852" s="47"/>
      <c r="O852" s="47"/>
      <c r="P852" s="47"/>
      <c r="Q852" s="47"/>
      <c r="R852" s="47"/>
      <c r="S852" s="47"/>
    </row>
    <row r="853">
      <c r="L853" s="183"/>
      <c r="N853" s="47"/>
      <c r="O853" s="47"/>
      <c r="P853" s="47"/>
      <c r="Q853" s="47"/>
      <c r="R853" s="47"/>
      <c r="S853" s="47"/>
    </row>
    <row r="854">
      <c r="L854" s="183"/>
      <c r="N854" s="47"/>
      <c r="O854" s="47"/>
      <c r="P854" s="47"/>
      <c r="Q854" s="47"/>
      <c r="R854" s="47"/>
      <c r="S854" s="47"/>
    </row>
    <row r="855">
      <c r="L855" s="183"/>
      <c r="N855" s="47"/>
      <c r="O855" s="47"/>
      <c r="P855" s="47"/>
      <c r="Q855" s="47"/>
      <c r="R855" s="47"/>
      <c r="S855" s="47"/>
    </row>
    <row r="856">
      <c r="L856" s="183"/>
      <c r="N856" s="47"/>
      <c r="O856" s="47"/>
      <c r="P856" s="47"/>
      <c r="Q856" s="47"/>
      <c r="R856" s="47"/>
      <c r="S856" s="47"/>
    </row>
    <row r="857">
      <c r="L857" s="183"/>
      <c r="N857" s="47"/>
      <c r="O857" s="47"/>
      <c r="P857" s="47"/>
      <c r="Q857" s="47"/>
      <c r="R857" s="47"/>
      <c r="S857" s="47"/>
    </row>
    <row r="858">
      <c r="L858" s="183"/>
      <c r="N858" s="47"/>
      <c r="O858" s="47"/>
      <c r="P858" s="47"/>
      <c r="Q858" s="47"/>
      <c r="R858" s="47"/>
      <c r="S858" s="47"/>
    </row>
    <row r="859">
      <c r="L859" s="183"/>
      <c r="N859" s="47"/>
      <c r="O859" s="47"/>
      <c r="P859" s="47"/>
      <c r="Q859" s="47"/>
      <c r="R859" s="47"/>
      <c r="S859" s="47"/>
    </row>
    <row r="860">
      <c r="L860" s="183"/>
      <c r="N860" s="47"/>
      <c r="O860" s="47"/>
      <c r="P860" s="47"/>
      <c r="Q860" s="47"/>
      <c r="R860" s="47"/>
      <c r="S860" s="47"/>
    </row>
    <row r="861">
      <c r="L861" s="183"/>
      <c r="N861" s="47"/>
      <c r="O861" s="47"/>
      <c r="P861" s="47"/>
      <c r="Q861" s="47"/>
      <c r="R861" s="47"/>
      <c r="S861" s="47"/>
    </row>
    <row r="862">
      <c r="L862" s="183"/>
      <c r="N862" s="47"/>
      <c r="O862" s="47"/>
      <c r="P862" s="47"/>
      <c r="Q862" s="47"/>
      <c r="R862" s="47"/>
      <c r="S862" s="47"/>
    </row>
    <row r="863">
      <c r="L863" s="183"/>
      <c r="N863" s="47"/>
      <c r="O863" s="47"/>
      <c r="P863" s="47"/>
      <c r="Q863" s="47"/>
      <c r="R863" s="47"/>
      <c r="S863" s="47"/>
    </row>
    <row r="864">
      <c r="L864" s="183"/>
      <c r="N864" s="47"/>
      <c r="O864" s="47"/>
      <c r="P864" s="47"/>
      <c r="Q864" s="47"/>
      <c r="R864" s="47"/>
      <c r="S864" s="47"/>
    </row>
    <row r="865">
      <c r="L865" s="183"/>
      <c r="N865" s="47"/>
      <c r="O865" s="47"/>
      <c r="P865" s="47"/>
      <c r="Q865" s="47"/>
      <c r="R865" s="47"/>
      <c r="S865" s="47"/>
    </row>
    <row r="866">
      <c r="L866" s="183"/>
      <c r="N866" s="47"/>
      <c r="O866" s="47"/>
      <c r="P866" s="47"/>
      <c r="Q866" s="47"/>
      <c r="R866" s="47"/>
      <c r="S866" s="47"/>
    </row>
    <row r="867">
      <c r="L867" s="183"/>
      <c r="N867" s="47"/>
      <c r="O867" s="47"/>
      <c r="P867" s="47"/>
      <c r="Q867" s="47"/>
      <c r="R867" s="47"/>
      <c r="S867" s="47"/>
    </row>
    <row r="868">
      <c r="L868" s="183"/>
      <c r="N868" s="47"/>
      <c r="O868" s="47"/>
      <c r="P868" s="47"/>
      <c r="Q868" s="47"/>
      <c r="R868" s="47"/>
      <c r="S868" s="47"/>
    </row>
    <row r="869">
      <c r="L869" s="183"/>
      <c r="N869" s="47"/>
      <c r="O869" s="47"/>
      <c r="P869" s="47"/>
      <c r="Q869" s="47"/>
      <c r="R869" s="47"/>
      <c r="S869" s="47"/>
    </row>
    <row r="870">
      <c r="L870" s="183"/>
      <c r="N870" s="47"/>
      <c r="O870" s="47"/>
      <c r="P870" s="47"/>
      <c r="Q870" s="47"/>
      <c r="R870" s="47"/>
      <c r="S870" s="47"/>
    </row>
    <row r="871">
      <c r="L871" s="183"/>
      <c r="N871" s="47"/>
      <c r="O871" s="47"/>
      <c r="P871" s="47"/>
      <c r="Q871" s="47"/>
      <c r="R871" s="47"/>
      <c r="S871" s="47"/>
    </row>
    <row r="872">
      <c r="L872" s="183"/>
      <c r="N872" s="47"/>
      <c r="O872" s="47"/>
      <c r="P872" s="47"/>
      <c r="Q872" s="47"/>
      <c r="R872" s="47"/>
      <c r="S872" s="47"/>
    </row>
    <row r="873">
      <c r="L873" s="183"/>
      <c r="N873" s="47"/>
      <c r="O873" s="47"/>
      <c r="P873" s="47"/>
      <c r="Q873" s="47"/>
      <c r="R873" s="47"/>
      <c r="S873" s="47"/>
    </row>
    <row r="874">
      <c r="L874" s="183"/>
      <c r="N874" s="47"/>
      <c r="O874" s="47"/>
      <c r="P874" s="47"/>
      <c r="Q874" s="47"/>
      <c r="R874" s="47"/>
      <c r="S874" s="47"/>
    </row>
    <row r="875">
      <c r="L875" s="183"/>
      <c r="N875" s="47"/>
      <c r="O875" s="47"/>
      <c r="P875" s="47"/>
      <c r="Q875" s="47"/>
      <c r="R875" s="47"/>
      <c r="S875" s="47"/>
    </row>
    <row r="876">
      <c r="L876" s="183"/>
      <c r="N876" s="47"/>
      <c r="O876" s="47"/>
      <c r="P876" s="47"/>
      <c r="Q876" s="47"/>
      <c r="R876" s="47"/>
      <c r="S876" s="47"/>
    </row>
    <row r="877">
      <c r="L877" s="183"/>
      <c r="N877" s="47"/>
      <c r="O877" s="47"/>
      <c r="P877" s="47"/>
      <c r="Q877" s="47"/>
      <c r="R877" s="47"/>
      <c r="S877" s="47"/>
    </row>
    <row r="878">
      <c r="L878" s="183"/>
      <c r="N878" s="47"/>
      <c r="O878" s="47"/>
      <c r="P878" s="47"/>
      <c r="Q878" s="47"/>
      <c r="R878" s="47"/>
      <c r="S878" s="47"/>
    </row>
    <row r="879">
      <c r="L879" s="183"/>
      <c r="N879" s="47"/>
      <c r="O879" s="47"/>
      <c r="P879" s="47"/>
      <c r="Q879" s="47"/>
      <c r="R879" s="47"/>
      <c r="S879" s="47"/>
    </row>
    <row r="880">
      <c r="L880" s="183"/>
      <c r="N880" s="47"/>
      <c r="O880" s="47"/>
      <c r="P880" s="47"/>
      <c r="Q880" s="47"/>
      <c r="R880" s="47"/>
      <c r="S880" s="47"/>
    </row>
    <row r="881">
      <c r="L881" s="183"/>
      <c r="N881" s="47"/>
      <c r="O881" s="47"/>
      <c r="P881" s="47"/>
      <c r="Q881" s="47"/>
      <c r="R881" s="47"/>
      <c r="S881" s="47"/>
    </row>
    <row r="882">
      <c r="L882" s="183"/>
      <c r="N882" s="47"/>
      <c r="O882" s="47"/>
      <c r="P882" s="47"/>
      <c r="Q882" s="47"/>
      <c r="R882" s="47"/>
      <c r="S882" s="47"/>
    </row>
    <row r="883">
      <c r="L883" s="183"/>
      <c r="N883" s="47"/>
      <c r="O883" s="47"/>
      <c r="P883" s="47"/>
      <c r="Q883" s="47"/>
      <c r="R883" s="47"/>
      <c r="S883" s="47"/>
    </row>
    <row r="884">
      <c r="L884" s="183"/>
      <c r="N884" s="47"/>
      <c r="O884" s="47"/>
      <c r="P884" s="47"/>
      <c r="Q884" s="47"/>
      <c r="R884" s="47"/>
      <c r="S884" s="47"/>
    </row>
    <row r="885">
      <c r="L885" s="183"/>
      <c r="N885" s="47"/>
      <c r="O885" s="47"/>
      <c r="P885" s="47"/>
      <c r="Q885" s="47"/>
      <c r="R885" s="47"/>
      <c r="S885" s="47"/>
    </row>
    <row r="886">
      <c r="L886" s="183"/>
      <c r="N886" s="47"/>
      <c r="O886" s="47"/>
      <c r="P886" s="47"/>
      <c r="Q886" s="47"/>
      <c r="R886" s="47"/>
      <c r="S886" s="47"/>
    </row>
    <row r="887">
      <c r="L887" s="183"/>
      <c r="N887" s="47"/>
      <c r="O887" s="47"/>
      <c r="P887" s="47"/>
      <c r="Q887" s="47"/>
      <c r="R887" s="47"/>
      <c r="S887" s="47"/>
    </row>
    <row r="888">
      <c r="L888" s="183"/>
      <c r="N888" s="47"/>
      <c r="O888" s="47"/>
      <c r="P888" s="47"/>
      <c r="Q888" s="47"/>
      <c r="R888" s="47"/>
      <c r="S888" s="47"/>
    </row>
    <row r="889">
      <c r="L889" s="183"/>
      <c r="N889" s="47"/>
      <c r="O889" s="47"/>
      <c r="P889" s="47"/>
      <c r="Q889" s="47"/>
      <c r="R889" s="47"/>
      <c r="S889" s="47"/>
    </row>
    <row r="890">
      <c r="L890" s="183"/>
      <c r="N890" s="47"/>
      <c r="O890" s="47"/>
      <c r="P890" s="47"/>
      <c r="Q890" s="47"/>
      <c r="R890" s="47"/>
      <c r="S890" s="47"/>
    </row>
    <row r="891">
      <c r="L891" s="183"/>
      <c r="N891" s="47"/>
      <c r="O891" s="47"/>
      <c r="P891" s="47"/>
      <c r="Q891" s="47"/>
      <c r="R891" s="47"/>
      <c r="S891" s="47"/>
    </row>
    <row r="892">
      <c r="L892" s="183"/>
      <c r="N892" s="47"/>
      <c r="O892" s="47"/>
      <c r="P892" s="47"/>
      <c r="Q892" s="47"/>
      <c r="R892" s="47"/>
      <c r="S892" s="47"/>
    </row>
    <row r="893">
      <c r="L893" s="183"/>
      <c r="N893" s="47"/>
      <c r="O893" s="47"/>
      <c r="P893" s="47"/>
      <c r="Q893" s="47"/>
      <c r="R893" s="47"/>
      <c r="S893" s="47"/>
    </row>
    <row r="894">
      <c r="L894" s="183"/>
      <c r="N894" s="47"/>
      <c r="O894" s="47"/>
      <c r="P894" s="47"/>
      <c r="Q894" s="47"/>
      <c r="R894" s="47"/>
      <c r="S894" s="47"/>
    </row>
    <row r="895">
      <c r="L895" s="183"/>
      <c r="N895" s="47"/>
      <c r="O895" s="47"/>
      <c r="P895" s="47"/>
      <c r="Q895" s="47"/>
      <c r="R895" s="47"/>
      <c r="S895" s="47"/>
    </row>
    <row r="896">
      <c r="L896" s="183"/>
      <c r="N896" s="47"/>
      <c r="O896" s="47"/>
      <c r="P896" s="47"/>
      <c r="Q896" s="47"/>
      <c r="R896" s="47"/>
      <c r="S896" s="47"/>
    </row>
    <row r="897">
      <c r="L897" s="183"/>
      <c r="N897" s="47"/>
      <c r="O897" s="47"/>
      <c r="P897" s="47"/>
      <c r="Q897" s="47"/>
      <c r="R897" s="47"/>
      <c r="S897" s="47"/>
    </row>
    <row r="898">
      <c r="L898" s="183"/>
      <c r="N898" s="47"/>
      <c r="O898" s="47"/>
      <c r="P898" s="47"/>
      <c r="Q898" s="47"/>
      <c r="R898" s="47"/>
      <c r="S898" s="47"/>
    </row>
    <row r="899">
      <c r="L899" s="183"/>
      <c r="N899" s="47"/>
      <c r="O899" s="47"/>
      <c r="P899" s="47"/>
      <c r="Q899" s="47"/>
      <c r="R899" s="47"/>
      <c r="S899" s="47"/>
    </row>
    <row r="900">
      <c r="L900" s="183"/>
      <c r="N900" s="47"/>
      <c r="O900" s="47"/>
      <c r="P900" s="47"/>
      <c r="Q900" s="47"/>
      <c r="R900" s="47"/>
      <c r="S900" s="47"/>
    </row>
    <row r="901">
      <c r="L901" s="183"/>
      <c r="N901" s="47"/>
      <c r="O901" s="47"/>
      <c r="P901" s="47"/>
      <c r="Q901" s="47"/>
      <c r="R901" s="47"/>
      <c r="S901" s="47"/>
    </row>
    <row r="902">
      <c r="L902" s="183"/>
      <c r="N902" s="47"/>
      <c r="O902" s="47"/>
      <c r="P902" s="47"/>
      <c r="Q902" s="47"/>
      <c r="R902" s="47"/>
      <c r="S902" s="47"/>
    </row>
    <row r="903">
      <c r="L903" s="183"/>
      <c r="N903" s="47"/>
      <c r="O903" s="47"/>
      <c r="P903" s="47"/>
      <c r="Q903" s="47"/>
      <c r="R903" s="47"/>
      <c r="S903" s="47"/>
    </row>
    <row r="904">
      <c r="L904" s="183"/>
      <c r="N904" s="47"/>
      <c r="O904" s="47"/>
      <c r="P904" s="47"/>
      <c r="Q904" s="47"/>
      <c r="R904" s="47"/>
      <c r="S904" s="47"/>
    </row>
    <row r="905">
      <c r="L905" s="183"/>
      <c r="N905" s="47"/>
      <c r="O905" s="47"/>
      <c r="P905" s="47"/>
      <c r="Q905" s="47"/>
      <c r="R905" s="47"/>
      <c r="S905" s="47"/>
    </row>
    <row r="906">
      <c r="L906" s="183"/>
      <c r="N906" s="47"/>
      <c r="O906" s="47"/>
      <c r="P906" s="47"/>
      <c r="Q906" s="47"/>
      <c r="R906" s="47"/>
      <c r="S906" s="47"/>
    </row>
    <row r="907">
      <c r="L907" s="183"/>
      <c r="N907" s="47"/>
      <c r="O907" s="47"/>
      <c r="P907" s="47"/>
      <c r="Q907" s="47"/>
      <c r="R907" s="47"/>
      <c r="S907" s="47"/>
    </row>
    <row r="908">
      <c r="L908" s="183"/>
      <c r="N908" s="47"/>
      <c r="O908" s="47"/>
      <c r="P908" s="47"/>
      <c r="Q908" s="47"/>
      <c r="R908" s="47"/>
      <c r="S908" s="47"/>
    </row>
    <row r="909">
      <c r="L909" s="183"/>
      <c r="N909" s="47"/>
      <c r="O909" s="47"/>
      <c r="P909" s="47"/>
      <c r="Q909" s="47"/>
      <c r="R909" s="47"/>
      <c r="S909" s="47"/>
    </row>
    <row r="910">
      <c r="L910" s="183"/>
      <c r="N910" s="47"/>
      <c r="O910" s="47"/>
      <c r="P910" s="47"/>
      <c r="Q910" s="47"/>
      <c r="R910" s="47"/>
      <c r="S910" s="47"/>
    </row>
    <row r="911">
      <c r="L911" s="183"/>
      <c r="N911" s="47"/>
      <c r="O911" s="47"/>
      <c r="P911" s="47"/>
      <c r="Q911" s="47"/>
      <c r="R911" s="47"/>
      <c r="S911" s="47"/>
    </row>
    <row r="912">
      <c r="L912" s="183"/>
      <c r="N912" s="47"/>
      <c r="O912" s="47"/>
      <c r="P912" s="47"/>
      <c r="Q912" s="47"/>
      <c r="R912" s="47"/>
      <c r="S912" s="47"/>
    </row>
    <row r="913">
      <c r="L913" s="183"/>
      <c r="N913" s="47"/>
      <c r="O913" s="47"/>
      <c r="P913" s="47"/>
      <c r="Q913" s="47"/>
      <c r="R913" s="47"/>
      <c r="S913" s="47"/>
    </row>
    <row r="914">
      <c r="L914" s="183"/>
      <c r="N914" s="47"/>
      <c r="O914" s="47"/>
      <c r="P914" s="47"/>
      <c r="Q914" s="47"/>
      <c r="R914" s="47"/>
      <c r="S914" s="47"/>
    </row>
    <row r="915">
      <c r="L915" s="183"/>
      <c r="N915" s="47"/>
      <c r="O915" s="47"/>
      <c r="P915" s="47"/>
      <c r="Q915" s="47"/>
      <c r="R915" s="47"/>
      <c r="S915" s="47"/>
    </row>
    <row r="916">
      <c r="L916" s="183"/>
      <c r="N916" s="47"/>
      <c r="O916" s="47"/>
      <c r="P916" s="47"/>
      <c r="Q916" s="47"/>
      <c r="R916" s="47"/>
      <c r="S916" s="47"/>
    </row>
    <row r="917">
      <c r="L917" s="183"/>
      <c r="N917" s="47"/>
      <c r="O917" s="47"/>
      <c r="P917" s="47"/>
      <c r="Q917" s="47"/>
      <c r="R917" s="47"/>
      <c r="S917" s="47"/>
    </row>
    <row r="918">
      <c r="L918" s="183"/>
      <c r="N918" s="47"/>
      <c r="O918" s="47"/>
      <c r="P918" s="47"/>
      <c r="Q918" s="47"/>
      <c r="R918" s="47"/>
      <c r="S918" s="47"/>
    </row>
    <row r="919">
      <c r="L919" s="183"/>
      <c r="N919" s="47"/>
      <c r="O919" s="47"/>
      <c r="P919" s="47"/>
      <c r="Q919" s="47"/>
      <c r="R919" s="47"/>
      <c r="S919" s="47"/>
    </row>
    <row r="920">
      <c r="L920" s="183"/>
      <c r="N920" s="47"/>
      <c r="O920" s="47"/>
      <c r="P920" s="47"/>
      <c r="Q920" s="47"/>
      <c r="R920" s="47"/>
      <c r="S920" s="47"/>
    </row>
    <row r="921">
      <c r="L921" s="183"/>
      <c r="N921" s="47"/>
      <c r="O921" s="47"/>
      <c r="P921" s="47"/>
      <c r="Q921" s="47"/>
      <c r="R921" s="47"/>
      <c r="S921" s="47"/>
    </row>
    <row r="922">
      <c r="L922" s="183"/>
      <c r="N922" s="47"/>
      <c r="O922" s="47"/>
      <c r="P922" s="47"/>
      <c r="Q922" s="47"/>
      <c r="R922" s="47"/>
      <c r="S922" s="47"/>
    </row>
    <row r="923">
      <c r="L923" s="183"/>
      <c r="N923" s="47"/>
      <c r="O923" s="47"/>
      <c r="P923" s="47"/>
      <c r="Q923" s="47"/>
      <c r="R923" s="47"/>
      <c r="S923" s="47"/>
    </row>
    <row r="924">
      <c r="L924" s="183"/>
      <c r="N924" s="47"/>
      <c r="O924" s="47"/>
      <c r="P924" s="47"/>
      <c r="Q924" s="47"/>
      <c r="R924" s="47"/>
      <c r="S924" s="47"/>
    </row>
    <row r="925">
      <c r="L925" s="183"/>
      <c r="N925" s="47"/>
      <c r="O925" s="47"/>
      <c r="P925" s="47"/>
      <c r="Q925" s="47"/>
      <c r="R925" s="47"/>
      <c r="S925" s="47"/>
    </row>
    <row r="926">
      <c r="L926" s="183"/>
      <c r="N926" s="47"/>
      <c r="O926" s="47"/>
      <c r="P926" s="47"/>
      <c r="Q926" s="47"/>
      <c r="R926" s="47"/>
      <c r="S926" s="47"/>
    </row>
    <row r="927">
      <c r="L927" s="183"/>
      <c r="N927" s="47"/>
      <c r="O927" s="47"/>
      <c r="P927" s="47"/>
      <c r="Q927" s="47"/>
      <c r="R927" s="47"/>
      <c r="S927" s="47"/>
    </row>
    <row r="928">
      <c r="L928" s="183"/>
      <c r="N928" s="47"/>
      <c r="O928" s="47"/>
      <c r="P928" s="47"/>
      <c r="Q928" s="47"/>
      <c r="R928" s="47"/>
      <c r="S928" s="47"/>
    </row>
    <row r="929">
      <c r="L929" s="183"/>
      <c r="N929" s="47"/>
      <c r="O929" s="47"/>
      <c r="P929" s="47"/>
      <c r="Q929" s="47"/>
      <c r="R929" s="47"/>
      <c r="S929" s="47"/>
    </row>
    <row r="930">
      <c r="L930" s="183"/>
      <c r="N930" s="47"/>
      <c r="O930" s="47"/>
      <c r="P930" s="47"/>
      <c r="Q930" s="47"/>
      <c r="R930" s="47"/>
      <c r="S930" s="47"/>
    </row>
    <row r="931">
      <c r="L931" s="183"/>
      <c r="N931" s="47"/>
      <c r="O931" s="47"/>
      <c r="P931" s="47"/>
      <c r="Q931" s="47"/>
      <c r="R931" s="47"/>
      <c r="S931" s="47"/>
    </row>
    <row r="932">
      <c r="L932" s="183"/>
      <c r="N932" s="47"/>
      <c r="O932" s="47"/>
      <c r="P932" s="47"/>
      <c r="Q932" s="47"/>
      <c r="R932" s="47"/>
      <c r="S932" s="47"/>
    </row>
    <row r="933">
      <c r="L933" s="183"/>
      <c r="N933" s="47"/>
      <c r="O933" s="47"/>
      <c r="P933" s="47"/>
      <c r="Q933" s="47"/>
      <c r="R933" s="47"/>
      <c r="S933" s="47"/>
    </row>
    <row r="934">
      <c r="L934" s="183"/>
      <c r="N934" s="47"/>
      <c r="O934" s="47"/>
      <c r="P934" s="47"/>
      <c r="Q934" s="47"/>
      <c r="R934" s="47"/>
      <c r="S934" s="47"/>
    </row>
    <row r="935">
      <c r="L935" s="183"/>
      <c r="N935" s="47"/>
      <c r="O935" s="47"/>
      <c r="P935" s="47"/>
      <c r="Q935" s="47"/>
      <c r="R935" s="47"/>
      <c r="S935" s="47"/>
    </row>
    <row r="936">
      <c r="L936" s="183"/>
      <c r="N936" s="47"/>
      <c r="O936" s="47"/>
      <c r="P936" s="47"/>
      <c r="Q936" s="47"/>
      <c r="R936" s="47"/>
      <c r="S936" s="47"/>
    </row>
    <row r="937">
      <c r="L937" s="183"/>
      <c r="N937" s="47"/>
      <c r="O937" s="47"/>
      <c r="P937" s="47"/>
      <c r="Q937" s="47"/>
      <c r="R937" s="47"/>
      <c r="S937" s="47"/>
    </row>
    <row r="938">
      <c r="L938" s="183"/>
      <c r="N938" s="47"/>
      <c r="O938" s="47"/>
      <c r="P938" s="47"/>
      <c r="Q938" s="47"/>
      <c r="R938" s="47"/>
      <c r="S938" s="47"/>
    </row>
    <row r="939">
      <c r="L939" s="183"/>
      <c r="N939" s="47"/>
      <c r="O939" s="47"/>
      <c r="P939" s="47"/>
      <c r="Q939" s="47"/>
      <c r="R939" s="47"/>
      <c r="S939" s="47"/>
    </row>
    <row r="940">
      <c r="L940" s="183"/>
      <c r="N940" s="47"/>
      <c r="O940" s="47"/>
      <c r="P940" s="47"/>
      <c r="Q940" s="47"/>
      <c r="R940" s="47"/>
      <c r="S940" s="47"/>
    </row>
    <row r="941">
      <c r="L941" s="183"/>
      <c r="N941" s="47"/>
      <c r="O941" s="47"/>
      <c r="P941" s="47"/>
      <c r="Q941" s="47"/>
      <c r="R941" s="47"/>
      <c r="S941" s="47"/>
    </row>
    <row r="942">
      <c r="L942" s="183"/>
      <c r="N942" s="47"/>
      <c r="O942" s="47"/>
      <c r="P942" s="47"/>
      <c r="Q942" s="47"/>
      <c r="R942" s="47"/>
      <c r="S942" s="47"/>
    </row>
    <row r="943">
      <c r="L943" s="183"/>
      <c r="N943" s="47"/>
      <c r="O943" s="47"/>
      <c r="P943" s="47"/>
      <c r="Q943" s="47"/>
      <c r="R943" s="47"/>
      <c r="S943" s="47"/>
    </row>
    <row r="944">
      <c r="L944" s="183"/>
      <c r="N944" s="47"/>
      <c r="O944" s="47"/>
      <c r="P944" s="47"/>
      <c r="Q944" s="47"/>
      <c r="R944" s="47"/>
      <c r="S944" s="47"/>
    </row>
    <row r="945">
      <c r="L945" s="183"/>
      <c r="N945" s="47"/>
      <c r="O945" s="47"/>
      <c r="P945" s="47"/>
      <c r="Q945" s="47"/>
      <c r="R945" s="47"/>
      <c r="S945" s="47"/>
    </row>
    <row r="946">
      <c r="L946" s="183"/>
      <c r="N946" s="47"/>
      <c r="O946" s="47"/>
      <c r="P946" s="47"/>
      <c r="Q946" s="47"/>
      <c r="R946" s="47"/>
      <c r="S946" s="47"/>
    </row>
    <row r="947">
      <c r="L947" s="183"/>
      <c r="N947" s="47"/>
      <c r="O947" s="47"/>
      <c r="P947" s="47"/>
      <c r="Q947" s="47"/>
      <c r="R947" s="47"/>
      <c r="S947" s="47"/>
    </row>
    <row r="948">
      <c r="L948" s="183"/>
      <c r="N948" s="47"/>
      <c r="O948" s="47"/>
      <c r="P948" s="47"/>
      <c r="Q948" s="47"/>
      <c r="R948" s="47"/>
      <c r="S948" s="47"/>
    </row>
    <row r="949">
      <c r="L949" s="183"/>
      <c r="N949" s="47"/>
      <c r="O949" s="47"/>
      <c r="P949" s="47"/>
      <c r="Q949" s="47"/>
      <c r="R949" s="47"/>
      <c r="S949" s="47"/>
    </row>
    <row r="950">
      <c r="L950" s="183"/>
      <c r="N950" s="47"/>
      <c r="O950" s="47"/>
      <c r="P950" s="47"/>
      <c r="Q950" s="47"/>
      <c r="R950" s="47"/>
      <c r="S950" s="47"/>
    </row>
    <row r="951">
      <c r="L951" s="183"/>
      <c r="N951" s="47"/>
      <c r="O951" s="47"/>
      <c r="P951" s="47"/>
      <c r="Q951" s="47"/>
      <c r="R951" s="47"/>
      <c r="S951" s="47"/>
    </row>
    <row r="952">
      <c r="L952" s="183"/>
      <c r="N952" s="47"/>
      <c r="O952" s="47"/>
      <c r="P952" s="47"/>
      <c r="Q952" s="47"/>
      <c r="R952" s="47"/>
      <c r="S952" s="47"/>
    </row>
    <row r="953">
      <c r="L953" s="183"/>
      <c r="N953" s="47"/>
      <c r="O953" s="47"/>
      <c r="P953" s="47"/>
      <c r="Q953" s="47"/>
      <c r="R953" s="47"/>
      <c r="S953" s="47"/>
    </row>
    <row r="954">
      <c r="L954" s="183"/>
      <c r="N954" s="47"/>
      <c r="O954" s="47"/>
      <c r="P954" s="47"/>
      <c r="Q954" s="47"/>
      <c r="R954" s="47"/>
      <c r="S954" s="47"/>
    </row>
    <row r="955">
      <c r="L955" s="183"/>
      <c r="N955" s="47"/>
      <c r="O955" s="47"/>
      <c r="P955" s="47"/>
      <c r="Q955" s="47"/>
      <c r="R955" s="47"/>
      <c r="S955" s="47"/>
    </row>
    <row r="956">
      <c r="L956" s="183"/>
      <c r="N956" s="47"/>
      <c r="O956" s="47"/>
      <c r="P956" s="47"/>
      <c r="Q956" s="47"/>
      <c r="R956" s="47"/>
      <c r="S956" s="47"/>
    </row>
    <row r="957">
      <c r="L957" s="183"/>
      <c r="N957" s="47"/>
      <c r="O957" s="47"/>
      <c r="P957" s="47"/>
      <c r="Q957" s="47"/>
      <c r="R957" s="47"/>
      <c r="S957" s="47"/>
    </row>
    <row r="958">
      <c r="L958" s="183"/>
      <c r="N958" s="47"/>
      <c r="O958" s="47"/>
      <c r="P958" s="47"/>
      <c r="Q958" s="47"/>
      <c r="R958" s="47"/>
      <c r="S958" s="47"/>
    </row>
    <row r="959">
      <c r="L959" s="183"/>
      <c r="N959" s="47"/>
      <c r="O959" s="47"/>
      <c r="P959" s="47"/>
      <c r="Q959" s="47"/>
      <c r="R959" s="47"/>
      <c r="S959" s="47"/>
    </row>
    <row r="960">
      <c r="L960" s="183"/>
      <c r="N960" s="47"/>
      <c r="O960" s="47"/>
      <c r="P960" s="47"/>
      <c r="Q960" s="47"/>
      <c r="R960" s="47"/>
      <c r="S960" s="47"/>
    </row>
    <row r="961">
      <c r="L961" s="183"/>
      <c r="N961" s="47"/>
      <c r="O961" s="47"/>
      <c r="P961" s="47"/>
      <c r="Q961" s="47"/>
      <c r="R961" s="47"/>
      <c r="S961" s="47"/>
    </row>
    <row r="962">
      <c r="L962" s="183"/>
      <c r="N962" s="47"/>
      <c r="O962" s="47"/>
      <c r="P962" s="47"/>
      <c r="Q962" s="47"/>
      <c r="R962" s="47"/>
      <c r="S962" s="47"/>
    </row>
    <row r="963">
      <c r="L963" s="183"/>
      <c r="N963" s="47"/>
      <c r="O963" s="47"/>
      <c r="P963" s="47"/>
      <c r="Q963" s="47"/>
      <c r="R963" s="47"/>
      <c r="S963" s="47"/>
    </row>
    <row r="964">
      <c r="L964" s="183"/>
      <c r="N964" s="47"/>
      <c r="O964" s="47"/>
      <c r="P964" s="47"/>
      <c r="Q964" s="47"/>
      <c r="R964" s="47"/>
      <c r="S964" s="47"/>
    </row>
    <row r="965">
      <c r="L965" s="183"/>
      <c r="N965" s="47"/>
      <c r="O965" s="47"/>
      <c r="P965" s="47"/>
      <c r="Q965" s="47"/>
      <c r="R965" s="47"/>
      <c r="S965" s="47"/>
    </row>
    <row r="966">
      <c r="L966" s="183"/>
      <c r="N966" s="47"/>
      <c r="O966" s="47"/>
      <c r="P966" s="47"/>
      <c r="Q966" s="47"/>
      <c r="R966" s="47"/>
      <c r="S966" s="47"/>
    </row>
    <row r="967">
      <c r="L967" s="183"/>
      <c r="N967" s="47"/>
      <c r="O967" s="47"/>
      <c r="P967" s="47"/>
      <c r="Q967" s="47"/>
      <c r="R967" s="47"/>
      <c r="S967" s="47"/>
    </row>
    <row r="968">
      <c r="L968" s="183"/>
      <c r="N968" s="47"/>
      <c r="O968" s="47"/>
      <c r="P968" s="47"/>
      <c r="Q968" s="47"/>
      <c r="R968" s="47"/>
      <c r="S968" s="47"/>
    </row>
    <row r="969">
      <c r="L969" s="183"/>
      <c r="N969" s="47"/>
      <c r="O969" s="47"/>
      <c r="P969" s="47"/>
      <c r="Q969" s="47"/>
      <c r="R969" s="47"/>
      <c r="S969" s="47"/>
    </row>
    <row r="970">
      <c r="L970" s="183"/>
      <c r="N970" s="47"/>
      <c r="O970" s="47"/>
      <c r="P970" s="47"/>
      <c r="Q970" s="47"/>
      <c r="R970" s="47"/>
      <c r="S970" s="47"/>
    </row>
    <row r="971">
      <c r="L971" s="183"/>
      <c r="N971" s="47"/>
      <c r="O971" s="47"/>
      <c r="P971" s="47"/>
      <c r="Q971" s="47"/>
      <c r="R971" s="47"/>
      <c r="S971" s="47"/>
    </row>
    <row r="972">
      <c r="L972" s="183"/>
      <c r="N972" s="47"/>
      <c r="O972" s="47"/>
      <c r="P972" s="47"/>
      <c r="Q972" s="47"/>
      <c r="R972" s="47"/>
      <c r="S972" s="47"/>
    </row>
    <row r="973">
      <c r="L973" s="183"/>
      <c r="N973" s="47"/>
      <c r="O973" s="47"/>
      <c r="P973" s="47"/>
      <c r="Q973" s="47"/>
      <c r="R973" s="47"/>
      <c r="S973" s="47"/>
    </row>
    <row r="974">
      <c r="L974" s="183"/>
      <c r="N974" s="47"/>
      <c r="O974" s="47"/>
      <c r="P974" s="47"/>
      <c r="Q974" s="47"/>
      <c r="R974" s="47"/>
      <c r="S974" s="47"/>
    </row>
    <row r="975">
      <c r="L975" s="183"/>
      <c r="N975" s="47"/>
      <c r="O975" s="47"/>
      <c r="P975" s="47"/>
      <c r="Q975" s="47"/>
      <c r="R975" s="47"/>
      <c r="S975" s="47"/>
    </row>
    <row r="976">
      <c r="L976" s="183"/>
      <c r="N976" s="47"/>
      <c r="O976" s="47"/>
      <c r="P976" s="47"/>
      <c r="Q976" s="47"/>
      <c r="R976" s="47"/>
      <c r="S976" s="47"/>
    </row>
    <row r="977">
      <c r="L977" s="183"/>
      <c r="N977" s="47"/>
      <c r="O977" s="47"/>
      <c r="P977" s="47"/>
      <c r="Q977" s="47"/>
      <c r="R977" s="47"/>
      <c r="S977" s="47"/>
    </row>
    <row r="978">
      <c r="L978" s="183"/>
      <c r="N978" s="47"/>
      <c r="O978" s="47"/>
      <c r="P978" s="47"/>
      <c r="Q978" s="47"/>
      <c r="R978" s="47"/>
      <c r="S978" s="47"/>
    </row>
    <row r="979">
      <c r="L979" s="183"/>
      <c r="N979" s="47"/>
      <c r="O979" s="47"/>
      <c r="P979" s="47"/>
      <c r="Q979" s="47"/>
      <c r="R979" s="47"/>
      <c r="S979" s="47"/>
    </row>
    <row r="980">
      <c r="L980" s="183"/>
      <c r="N980" s="47"/>
      <c r="O980" s="47"/>
      <c r="P980" s="47"/>
      <c r="Q980" s="47"/>
      <c r="R980" s="47"/>
      <c r="S980" s="47"/>
    </row>
    <row r="981">
      <c r="L981" s="183"/>
      <c r="N981" s="47"/>
      <c r="O981" s="47"/>
      <c r="P981" s="47"/>
      <c r="Q981" s="47"/>
      <c r="R981" s="47"/>
      <c r="S981" s="47"/>
    </row>
    <row r="982">
      <c r="L982" s="183"/>
      <c r="N982" s="47"/>
      <c r="O982" s="47"/>
      <c r="P982" s="47"/>
      <c r="Q982" s="47"/>
      <c r="R982" s="47"/>
      <c r="S982" s="47"/>
    </row>
    <row r="983">
      <c r="L983" s="183"/>
      <c r="N983" s="47"/>
      <c r="O983" s="47"/>
      <c r="P983" s="47"/>
      <c r="Q983" s="47"/>
      <c r="R983" s="47"/>
      <c r="S983" s="47"/>
    </row>
    <row r="984">
      <c r="L984" s="183"/>
      <c r="N984" s="47"/>
      <c r="O984" s="47"/>
      <c r="P984" s="47"/>
      <c r="Q984" s="47"/>
      <c r="R984" s="47"/>
      <c r="S984" s="47"/>
    </row>
    <row r="985">
      <c r="L985" s="183"/>
      <c r="N985" s="47"/>
      <c r="O985" s="47"/>
      <c r="P985" s="47"/>
      <c r="Q985" s="47"/>
      <c r="R985" s="47"/>
      <c r="S985" s="47"/>
    </row>
    <row r="986">
      <c r="L986" s="183"/>
      <c r="N986" s="47"/>
      <c r="O986" s="47"/>
      <c r="P986" s="47"/>
      <c r="Q986" s="47"/>
      <c r="R986" s="47"/>
      <c r="S986" s="47"/>
    </row>
    <row r="987">
      <c r="L987" s="183"/>
      <c r="N987" s="47"/>
      <c r="O987" s="47"/>
      <c r="P987" s="47"/>
      <c r="Q987" s="47"/>
      <c r="R987" s="47"/>
      <c r="S987" s="47"/>
    </row>
    <row r="988">
      <c r="L988" s="183"/>
      <c r="N988" s="47"/>
      <c r="O988" s="47"/>
      <c r="P988" s="47"/>
      <c r="Q988" s="47"/>
      <c r="R988" s="47"/>
      <c r="S988" s="47"/>
    </row>
    <row r="989">
      <c r="L989" s="183"/>
      <c r="N989" s="47"/>
      <c r="O989" s="47"/>
      <c r="P989" s="47"/>
      <c r="Q989" s="47"/>
      <c r="R989" s="47"/>
      <c r="S989" s="47"/>
    </row>
    <row r="990">
      <c r="L990" s="183"/>
      <c r="N990" s="47"/>
      <c r="O990" s="47"/>
      <c r="P990" s="47"/>
      <c r="Q990" s="47"/>
      <c r="R990" s="47"/>
      <c r="S990" s="47"/>
    </row>
    <row r="991">
      <c r="L991" s="183"/>
      <c r="N991" s="47"/>
      <c r="O991" s="47"/>
      <c r="P991" s="47"/>
      <c r="Q991" s="47"/>
      <c r="R991" s="47"/>
      <c r="S991" s="47"/>
    </row>
    <row r="992">
      <c r="L992" s="183"/>
      <c r="N992" s="47"/>
      <c r="O992" s="47"/>
      <c r="P992" s="47"/>
      <c r="Q992" s="47"/>
      <c r="R992" s="47"/>
      <c r="S992" s="47"/>
    </row>
    <row r="993">
      <c r="L993" s="183"/>
      <c r="N993" s="47"/>
      <c r="O993" s="47"/>
      <c r="P993" s="47"/>
      <c r="Q993" s="47"/>
      <c r="R993" s="47"/>
      <c r="S993" s="47"/>
    </row>
    <row r="994">
      <c r="L994" s="183"/>
      <c r="N994" s="47"/>
      <c r="O994" s="47"/>
      <c r="P994" s="47"/>
      <c r="Q994" s="47"/>
      <c r="R994" s="47"/>
      <c r="S994" s="47"/>
    </row>
    <row r="995">
      <c r="L995" s="183"/>
      <c r="N995" s="47"/>
      <c r="O995" s="47"/>
      <c r="P995" s="47"/>
      <c r="Q995" s="47"/>
      <c r="R995" s="47"/>
      <c r="S995" s="47"/>
    </row>
    <row r="996">
      <c r="L996" s="183"/>
      <c r="N996" s="47"/>
      <c r="O996" s="47"/>
      <c r="P996" s="47"/>
      <c r="Q996" s="47"/>
      <c r="R996" s="47"/>
      <c r="S996" s="47"/>
    </row>
    <row r="997">
      <c r="L997" s="183"/>
      <c r="N997" s="47"/>
      <c r="O997" s="47"/>
      <c r="P997" s="47"/>
      <c r="Q997" s="47"/>
      <c r="R997" s="47"/>
      <c r="S997" s="47"/>
    </row>
    <row r="998">
      <c r="L998" s="183"/>
      <c r="N998" s="47"/>
      <c r="O998" s="47"/>
      <c r="P998" s="47"/>
      <c r="Q998" s="47"/>
      <c r="R998" s="47"/>
      <c r="S998" s="47"/>
    </row>
    <row r="999">
      <c r="L999" s="183"/>
      <c r="N999" s="47"/>
      <c r="O999" s="47"/>
      <c r="P999" s="47"/>
      <c r="Q999" s="47"/>
      <c r="R999" s="47"/>
      <c r="S999" s="47"/>
    </row>
    <row r="1000">
      <c r="L1000" s="183"/>
      <c r="N1000" s="47"/>
      <c r="O1000" s="47"/>
      <c r="P1000" s="47"/>
      <c r="Q1000" s="47"/>
      <c r="R1000" s="47"/>
      <c r="S1000" s="47"/>
    </row>
    <row r="1001">
      <c r="L1001" s="183"/>
      <c r="N1001" s="47"/>
      <c r="O1001" s="47"/>
      <c r="P1001" s="47"/>
      <c r="Q1001" s="47"/>
      <c r="R1001" s="47"/>
      <c r="S1001" s="47"/>
    </row>
    <row r="1002">
      <c r="L1002" s="183"/>
      <c r="N1002" s="47"/>
      <c r="O1002" s="47"/>
      <c r="P1002" s="47"/>
      <c r="Q1002" s="47"/>
      <c r="R1002" s="47"/>
      <c r="S1002" s="47"/>
    </row>
    <row r="1003">
      <c r="L1003" s="183"/>
      <c r="N1003" s="47"/>
      <c r="O1003" s="47"/>
      <c r="P1003" s="47"/>
      <c r="Q1003" s="47"/>
      <c r="R1003" s="47"/>
      <c r="S1003" s="47"/>
    </row>
    <row r="1004">
      <c r="L1004" s="183"/>
      <c r="N1004" s="47"/>
      <c r="O1004" s="47"/>
      <c r="P1004" s="47"/>
      <c r="Q1004" s="47"/>
      <c r="R1004" s="47"/>
      <c r="S1004" s="47"/>
    </row>
  </sheetData>
  <mergeCells count="4">
    <mergeCell ref="N1:S1"/>
    <mergeCell ref="V1:AA1"/>
    <mergeCell ref="A11:E11"/>
    <mergeCell ref="A12:E12"/>
  </mergeCells>
  <drawing r:id="rId1"/>
</worksheet>
</file>